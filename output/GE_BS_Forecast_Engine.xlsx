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1.xml" ContentType="application/vnd.openxmlformats-officedocument.spreadsheetml.table+xml"/>
  <Override PartName="/xl/worksheets/sheet19.xml" ContentType="application/vnd.openxmlformats-officedocument.spreadsheetml.worksheet+xml"/>
  <Override PartName="/xl/tables/table12.xml" ContentType="application/vnd.openxmlformats-officedocument.spreadsheetml.table+xml"/>
  <Override PartName="/xl/worksheets/sheet20.xml" ContentType="application/vnd.openxmlformats-officedocument.spreadsheetml.worksheet+xml"/>
  <Override PartName="/xl/tables/table1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PARAM" sheetId="2" state="visible" r:id="rId2"/>
    <sheet xmlns:r="http://schemas.openxmlformats.org/officeDocument/2006/relationships" name="M_TherapeuticArea" sheetId="3" state="visible" r:id="rId3"/>
    <sheet xmlns:r="http://schemas.openxmlformats.org/officeDocument/2006/relationships" name="M_Ingredient" sheetId="4" state="visible" r:id="rId4"/>
    <sheet xmlns:r="http://schemas.openxmlformats.org/officeDocument/2006/relationships" name="M_Product" sheetId="5" state="visible" r:id="rId5"/>
    <sheet xmlns:r="http://schemas.openxmlformats.org/officeDocument/2006/relationships" name="M_SKU" sheetId="6" state="visible" r:id="rId6"/>
    <sheet xmlns:r="http://schemas.openxmlformats.org/officeDocument/2006/relationships" name="M_Events" sheetId="7" state="visible" r:id="rId7"/>
    <sheet xmlns:r="http://schemas.openxmlformats.org/officeDocument/2006/relationships" name="M_FXRate" sheetId="8" state="visible" r:id="rId8"/>
    <sheet xmlns:r="http://schemas.openxmlformats.org/officeDocument/2006/relationships" name="D_IQVIA" sheetId="9" state="visible" r:id="rId9"/>
    <sheet xmlns:r="http://schemas.openxmlformats.org/officeDocument/2006/relationships" name="D_SellIn" sheetId="10" state="visible" r:id="rId10"/>
    <sheet xmlns:r="http://schemas.openxmlformats.org/officeDocument/2006/relationships" name="D_SellOut" sheetId="11" state="visible" r:id="rId11"/>
    <sheet xmlns:r="http://schemas.openxmlformats.org/officeDocument/2006/relationships" name="D_Inventory" sheetId="12" state="visible" r:id="rId12"/>
    <sheet xmlns:r="http://schemas.openxmlformats.org/officeDocument/2006/relationships" name="C_MarketForecast" sheetId="13" state="visible" r:id="rId13"/>
    <sheet xmlns:r="http://schemas.openxmlformats.org/officeDocument/2006/relationships" name="C_Penetration" sheetId="14" state="visible" r:id="rId14"/>
    <sheet xmlns:r="http://schemas.openxmlformats.org/officeDocument/2006/relationships" name="C_ShareForecast" sheetId="15" state="visible" r:id="rId15"/>
    <sheet xmlns:r="http://schemas.openxmlformats.org/officeDocument/2006/relationships" name="C_SKUMix" sheetId="16" state="visible" r:id="rId16"/>
    <sheet xmlns:r="http://schemas.openxmlformats.org/officeDocument/2006/relationships" name="C_Integrated" sheetId="17" state="visible" r:id="rId17"/>
    <sheet xmlns:r="http://schemas.openxmlformats.org/officeDocument/2006/relationships" name="OUT_Adjusted" sheetId="18" state="visible" r:id="rId18"/>
    <sheet xmlns:r="http://schemas.openxmlformats.org/officeDocument/2006/relationships" name="OUT_Excluded" sheetId="19" state="visible" r:id="rId19"/>
    <sheet xmlns:r="http://schemas.openxmlformats.org/officeDocument/2006/relationships" name="LOG" sheetId="20" state="visible" r:id="rId20"/>
  </sheets>
  <definedNames>
    <definedName name="PARAM_L_ING01">'PARAM'!$E$10</definedName>
    <definedName name="PARAM_L_ING02">'PARAM'!$E$11</definedName>
    <definedName name="PARAM_L_ING03">'PARAM'!$E$12</definedName>
    <definedName name="PARAM_L_ING04">'PARAM'!$E$13</definedName>
    <definedName name="PARAM_k_ING01">'PARAM'!$E$14</definedName>
    <definedName name="PARAM_k_ING02">'PARAM'!$E$15</definedName>
    <definedName name="PARAM_k_ING03">'PARAM'!$E$16</definedName>
    <definedName name="PARAM_k_ING04">'PARAM'!$E$17</definedName>
    <definedName name="PARAM_x0_ING01">'PARAM'!$E$18</definedName>
    <definedName name="PARAM_x0_ING02">'PARAM'!$E$19</definedName>
    <definedName name="PARAM_x0_ING03">'PARAM'!$E$20</definedName>
    <definedName name="PARAM_x0_ING04">'PARAM'!$E$21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Yu Gothic"/>
      <b val="1"/>
      <color rgb="001F4E79"/>
      <sz val="16"/>
    </font>
    <font>
      <name val="Yu Gothic"/>
      <color rgb="007F7F7F"/>
      <sz val="10"/>
    </font>
    <font>
      <name val="Yu Gothic"/>
      <b val="1"/>
      <color rgb="00FFFFFF"/>
      <sz val="11"/>
    </font>
    <font>
      <name val="Yu Gothic"/>
      <b val="1"/>
      <color rgb="001F4E79"/>
      <sz val="12"/>
    </font>
    <font>
      <name val="Yu Gothic"/>
      <color rgb="00000000"/>
      <sz val="10"/>
    </font>
    <font>
      <name val="Yu Gothic"/>
      <b val="1"/>
      <color rgb="00FFFFFF"/>
      <sz val="14"/>
    </font>
    <font>
      <name val="Yu Gothic"/>
      <b val="1"/>
      <color rgb="001A5276"/>
      <sz val="11"/>
    </font>
    <font>
      <name val="Yu Gothic"/>
      <b val="1"/>
      <color rgb="00FFFFFF"/>
      <sz val="12"/>
    </font>
    <font>
      <name val="Yu Gothic"/>
      <color rgb="005D5D5D"/>
      <sz val="9"/>
    </font>
    <font>
      <name val="Yu Gothic"/>
      <color rgb="007F7F7F"/>
      <sz val="9"/>
    </font>
  </fonts>
  <fills count="18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F2F2F2"/>
      </patternFill>
    </fill>
    <fill>
      <patternFill patternType="solid">
        <fgColor rgb="00D6EAF8"/>
      </patternFill>
    </fill>
    <fill>
      <patternFill patternType="solid">
        <fgColor rgb="00FEF9E7"/>
      </patternFill>
    </fill>
    <fill>
      <patternFill patternType="solid">
        <fgColor rgb="00EBF5FB"/>
      </patternFill>
    </fill>
    <fill>
      <patternFill patternType="solid">
        <fgColor rgb="00E9F7EF"/>
      </patternFill>
    </fill>
    <fill>
      <patternFill patternType="solid">
        <fgColor rgb="00FDEDEC"/>
      </patternFill>
    </fill>
    <fill>
      <patternFill patternType="solid">
        <fgColor rgb="00F5EEF8"/>
      </patternFill>
    </fill>
    <fill>
      <patternFill patternType="solid">
        <fgColor rgb="00FDF2E9"/>
      </patternFill>
    </fill>
    <fill>
      <patternFill patternType="solid">
        <fgColor rgb="00E8F8F5"/>
      </patternFill>
    </fill>
    <fill>
      <patternFill patternType="solid">
        <fgColor rgb="00F0F3F4"/>
      </patternFill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4A235A"/>
      </patternFill>
    </fill>
    <fill>
      <patternFill patternType="solid">
        <fgColor rgb="007B241C"/>
      </patternFill>
    </fill>
    <fill>
      <patternFill patternType="solid">
        <fgColor rgb="005D5D5D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/>
    </xf>
    <xf numFmtId="0" fontId="0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8" fillId="1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16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1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9" fillId="0" borderId="0" applyAlignment="1" pivotButton="0" quotePrefix="0" xfId="0">
      <alignment horizontal="left"/>
    </xf>
    <xf numFmtId="0" fontId="3" fillId="13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/>
    </xf>
    <xf numFmtId="0" fontId="5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/>
    </xf>
    <xf numFmtId="0" fontId="3" fillId="14" borderId="0" applyAlignment="1" pivotButton="0" quotePrefix="0" xfId="0">
      <alignment horizontal="left" vertical="center"/>
    </xf>
    <xf numFmtId="0" fontId="3" fillId="15" borderId="0" applyAlignment="1" pivotButton="0" quotePrefix="0" xfId="0">
      <alignment horizontal="left" vertical="center"/>
    </xf>
    <xf numFmtId="0" fontId="3" fillId="16" borderId="0" applyAlignment="1" pivotButton="0" quotePrefix="0" xfId="0">
      <alignment horizontal="left" vertical="center"/>
    </xf>
    <xf numFmtId="3" fontId="0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10" fillId="6" borderId="1" pivotButton="0" quotePrefix="0" xfId="0"/>
    <xf numFmtId="0" fontId="0" fillId="5" borderId="1" pivotButton="0" quotePrefix="0" xfId="0"/>
    <xf numFmtId="3" fontId="0" fillId="5" borderId="1" applyAlignment="1" pivotButton="0" quotePrefix="0" xfId="0">
      <alignment horizontal="center" vertical="center"/>
    </xf>
    <xf numFmtId="0" fontId="1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ING01 メトホルミン塩酸塩  市場数量（実績＋FORECAST.ETS予測）</a:t>
            </a:r>
          </a:p>
        </rich>
      </tx>
    </title>
    <plotArea>
      <lineChart>
        <grouping val="standard"/>
        <ser>
          <idx val="0"/>
          <order val="0"/>
          <tx>
            <v>実績数量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'C_MarketForecast'!$A$4:$A$80</f>
            </numRef>
          </cat>
          <val>
            <numRef>
              <f>'C_MarketForecast'!$B$4:$B$44</f>
            </numRef>
          </val>
        </ser>
        <ser>
          <idx val="1"/>
          <order val="1"/>
          <tx>
            <v>予測（ETS）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'C_MarketForecast'!$A$4:$A$80</f>
            </numRef>
          </cat>
          <val>
            <numRef>
              <f>'C_MarketForecast'!$D$44:$D$80</f>
            </numRef>
          </val>
        </ser>
        <ser>
          <idx val="2"/>
          <order val="2"/>
          <tx>
            <v>上限80%CI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'C_MarketForecast'!$A$4:$A$80</f>
            </numRef>
          </cat>
          <val>
            <numRef>
              <f>'C_MarketForecast'!$F$44:$F$80</f>
            </numRef>
          </val>
        </ser>
        <ser>
          <idx val="3"/>
          <order val="3"/>
          <tx>
            <v>下限80%CI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'C_MarketForecast'!$A$4:$A$80</f>
            </numRef>
          </cat>
          <val>
            <numRef>
              <f>'C_MarketForecast'!$E$44:$E$80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販売数量（本）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ING02 アトルバスタチン  市場数量（実績＋FORECAST.ETS予測）</a:t>
            </a:r>
          </a:p>
        </rich>
      </tx>
    </title>
    <plotArea>
      <lineChart>
        <grouping val="standard"/>
        <ser>
          <idx val="0"/>
          <order val="0"/>
          <tx>
            <v>実績数量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'C_MarketForecast'!$A$85:$A$161</f>
            </numRef>
          </cat>
          <val>
            <numRef>
              <f>'C_MarketForecast'!$B$85:$B$125</f>
            </numRef>
          </val>
        </ser>
        <ser>
          <idx val="1"/>
          <order val="1"/>
          <tx>
            <v>予測（ETS）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'C_MarketForecast'!$A$85:$A$161</f>
            </numRef>
          </cat>
          <val>
            <numRef>
              <f>'C_MarketForecast'!$D$125:$D$161</f>
            </numRef>
          </val>
        </ser>
        <ser>
          <idx val="2"/>
          <order val="2"/>
          <tx>
            <v>上限80%CI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'C_MarketForecast'!$A$85:$A$161</f>
            </numRef>
          </cat>
          <val>
            <numRef>
              <f>'C_MarketForecast'!$F$125:$F$161</f>
            </numRef>
          </val>
        </ser>
        <ser>
          <idx val="3"/>
          <order val="3"/>
          <tx>
            <v>下限80%CI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'C_MarketForecast'!$A$85:$A$161</f>
            </numRef>
          </cat>
          <val>
            <numRef>
              <f>'C_MarketForecast'!$E$125:$E$161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販売数量（本）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ING03 フィルグラスチム  市場数量（実績＋FORECAST.ETS予測）</a:t>
            </a:r>
          </a:p>
        </rich>
      </tx>
    </title>
    <plotArea>
      <lineChart>
        <grouping val="standard"/>
        <ser>
          <idx val="0"/>
          <order val="0"/>
          <tx>
            <v>実績数量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'C_MarketForecast'!$A$166:$A$242</f>
            </numRef>
          </cat>
          <val>
            <numRef>
              <f>'C_MarketForecast'!$B$166:$B$206</f>
            </numRef>
          </val>
        </ser>
        <ser>
          <idx val="1"/>
          <order val="1"/>
          <tx>
            <v>予測（ETS）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'C_MarketForecast'!$A$166:$A$242</f>
            </numRef>
          </cat>
          <val>
            <numRef>
              <f>'C_MarketForecast'!$D$206:$D$242</f>
            </numRef>
          </val>
        </ser>
        <ser>
          <idx val="2"/>
          <order val="2"/>
          <tx>
            <v>上限80%CI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'C_MarketForecast'!$A$166:$A$242</f>
            </numRef>
          </cat>
          <val>
            <numRef>
              <f>'C_MarketForecast'!$F$206:$F$242</f>
            </numRef>
          </val>
        </ser>
        <ser>
          <idx val="3"/>
          <order val="3"/>
          <tx>
            <v>下限80%CI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'C_MarketForecast'!$A$166:$A$242</f>
            </numRef>
          </cat>
          <val>
            <numRef>
              <f>'C_MarketForecast'!$E$206:$E$242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販売数量（本）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ING04 インフリキシマブ  市場数量（実績＋FORECAST.ETS予測）</a:t>
            </a:r>
          </a:p>
        </rich>
      </tx>
    </title>
    <plotArea>
      <lineChart>
        <grouping val="standard"/>
        <ser>
          <idx val="0"/>
          <order val="0"/>
          <tx>
            <v>実績数量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'C_MarketForecast'!$A$247:$A$323</f>
            </numRef>
          </cat>
          <val>
            <numRef>
              <f>'C_MarketForecast'!$B$247:$B$287</f>
            </numRef>
          </val>
        </ser>
        <ser>
          <idx val="1"/>
          <order val="1"/>
          <tx>
            <v>予測（ETS）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'C_MarketForecast'!$A$247:$A$323</f>
            </numRef>
          </cat>
          <val>
            <numRef>
              <f>'C_MarketForecast'!$D$287:$D$323</f>
            </numRef>
          </val>
        </ser>
        <ser>
          <idx val="2"/>
          <order val="2"/>
          <tx>
            <v>上限80%CI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'C_MarketForecast'!$A$247:$A$323</f>
            </numRef>
          </cat>
          <val>
            <numRef>
              <f>'C_MarketForecast'!$F$287:$F$323</f>
            </numRef>
          </val>
        </ser>
        <ser>
          <idx val="3"/>
          <order val="3"/>
          <tx>
            <v>下限80%CI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'C_MarketForecast'!$A$247:$A$323</f>
            </numRef>
          </cat>
          <val>
            <numRef>
              <f>'C_MarketForecast'!$E$287:$E$323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販売数量（本）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ING01 メトホルミン塩酸塩  浸透率予測</a:t>
            </a:r>
          </a:p>
        </rich>
      </tx>
    </title>
    <plotArea>
      <lineChart>
        <grouping val="standard"/>
        <ser>
          <idx val="0"/>
          <order val="0"/>
          <tx>
            <strRef>
              <f>'C_Penetration'!C4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'C_Penetration'!$A$5:$A$81</f>
            </numRef>
          </cat>
          <val>
            <numRef>
              <f>'C_Penetration'!$C$5:$C$45</f>
            </numRef>
          </val>
        </ser>
        <ser>
          <idx val="1"/>
          <order val="1"/>
          <tx>
            <strRef>
              <f>'C_Penetration'!D4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'C_Penetration'!$A$5:$A$81</f>
            </numRef>
          </cat>
          <val>
            <numRef>
              <f>'C_Penetration'!$D$5:$D$81</f>
            </numRef>
          </val>
        </ser>
        <ser>
          <idx val="2"/>
          <order val="2"/>
          <tx>
            <v>予測（制度変更加味）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'C_Penetration'!$A$5:$A$81</f>
            </numRef>
          </cat>
          <val>
            <numRef>
              <f>'C_Penetration'!$F$45:$F$81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浸透率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ING02 アトルバスタチン  浸透率予測</a:t>
            </a:r>
          </a:p>
        </rich>
      </tx>
    </title>
    <plotArea>
      <lineChart>
        <grouping val="standard"/>
        <ser>
          <idx val="0"/>
          <order val="0"/>
          <tx>
            <strRef>
              <f>'C_Penetration'!C85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'C_Penetration'!$A$86:$A$162</f>
            </numRef>
          </cat>
          <val>
            <numRef>
              <f>'C_Penetration'!$C$86:$C$126</f>
            </numRef>
          </val>
        </ser>
        <ser>
          <idx val="1"/>
          <order val="1"/>
          <tx>
            <strRef>
              <f>'C_Penetration'!D85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'C_Penetration'!$A$86:$A$162</f>
            </numRef>
          </cat>
          <val>
            <numRef>
              <f>'C_Penetration'!$D$86:$D$162</f>
            </numRef>
          </val>
        </ser>
        <ser>
          <idx val="2"/>
          <order val="2"/>
          <tx>
            <v>予測（制度変更加味）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'C_Penetration'!$A$86:$A$162</f>
            </numRef>
          </cat>
          <val>
            <numRef>
              <f>'C_Penetration'!$F$126:$F$162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浸透率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ING03 フィルグラスチム  浸透率予測</a:t>
            </a:r>
          </a:p>
        </rich>
      </tx>
    </title>
    <plotArea>
      <lineChart>
        <grouping val="standard"/>
        <ser>
          <idx val="0"/>
          <order val="0"/>
          <tx>
            <strRef>
              <f>'C_Penetration'!C166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'C_Penetration'!$A$167:$A$243</f>
            </numRef>
          </cat>
          <val>
            <numRef>
              <f>'C_Penetration'!$C$167:$C$207</f>
            </numRef>
          </val>
        </ser>
        <ser>
          <idx val="1"/>
          <order val="1"/>
          <tx>
            <strRef>
              <f>'C_Penetration'!D166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'C_Penetration'!$A$167:$A$243</f>
            </numRef>
          </cat>
          <val>
            <numRef>
              <f>'C_Penetration'!$D$167:$D$243</f>
            </numRef>
          </val>
        </ser>
        <ser>
          <idx val="2"/>
          <order val="2"/>
          <tx>
            <v>予測（制度変更加味）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'C_Penetration'!$A$167:$A$243</f>
            </numRef>
          </cat>
          <val>
            <numRef>
              <f>'C_Penetration'!$F$207:$F$243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浸透率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ING04 インフリキシマブ  浸透率予測</a:t>
            </a:r>
          </a:p>
        </rich>
      </tx>
    </title>
    <plotArea>
      <lineChart>
        <grouping val="standard"/>
        <ser>
          <idx val="0"/>
          <order val="0"/>
          <tx>
            <strRef>
              <f>'C_Penetration'!C247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'C_Penetration'!$A$248:$A$324</f>
            </numRef>
          </cat>
          <val>
            <numRef>
              <f>'C_Penetration'!$C$248:$C$288</f>
            </numRef>
          </val>
        </ser>
        <ser>
          <idx val="1"/>
          <order val="1"/>
          <tx>
            <strRef>
              <f>'C_Penetration'!D247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'C_Penetration'!$A$248:$A$324</f>
            </numRef>
          </cat>
          <val>
            <numRef>
              <f>'C_Penetration'!$D$248:$D$324</f>
            </numRef>
          </val>
        </ser>
        <ser>
          <idx val="2"/>
          <order val="2"/>
          <tx>
            <v>予測（制度変更加味）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'C_Penetration'!$A$248:$A$324</f>
            </numRef>
          </cat>
          <val>
            <numRef>
              <f>'C_Penetration'!$F$288:$F$324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浸透率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Relationship Type="http://schemas.openxmlformats.org/officeDocument/2006/relationships/chart" Target="/xl/charts/chart8.xml" Id="rId4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82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163</row>
      <rowOff>0</rowOff>
    </from>
    <ext cx="792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244</row>
      <rowOff>0</rowOff>
    </from>
    <ext cx="7920000" cy="50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2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83</row>
      <rowOff>0</rowOff>
    </from>
    <ext cx="720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164</row>
      <rowOff>0</rowOff>
    </from>
    <ext cx="720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245</row>
      <rowOff>0</rowOff>
    </from>
    <ext cx="7200000" cy="50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M_TherapeuticArea" displayName="tbl_M_TherapeuticArea" ref="A1:B5" headerRowCount="1">
  <autoFilter ref="A1:B5"/>
  <tableColumns count="2">
    <tableColumn id="1" name="therapeutic_area_id"/>
    <tableColumn id="2" name="nam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M_Ingredient" displayName="tbl_M_Ingredient" ref="A1:D5" headerRowCount="1">
  <autoFilter ref="A1:D5"/>
  <tableColumns count="4">
    <tableColumn id="1" name="ingredient_id"/>
    <tableColumn id="2" name="therapeutic_area_id"/>
    <tableColumn id="3" name="name"/>
    <tableColumn id="4" name="drug_typ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_M_Product" displayName="tbl_M_Product" ref="A1:D5" headerRowCount="1">
  <autoFilter ref="A1:D5"/>
  <tableColumns count="4">
    <tableColumn id="1" name="product_id"/>
    <tableColumn id="2" name="ingredient_id"/>
    <tableColumn id="3" name="product_name"/>
    <tableColumn id="4" name="typ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_M_SKU" displayName="tbl_M_SKU" ref="A1:H8" headerRowCount="1">
  <autoFilter ref="A1:H8"/>
  <tableColumns count="8">
    <tableColumn id="1" name="sku_id"/>
    <tableColumn id="2" name="product_id"/>
    <tableColumn id="3" name="package_form"/>
    <tableColumn id="4" name="package_size"/>
    <tableColumn id="5" name="strength"/>
    <tableColumn id="6" name="unit"/>
    <tableColumn id="7" name="jan_code"/>
    <tableColumn id="8" name="launch_dat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_M_Events" displayName="tbl_M_Events" ref="A1:H6" headerRowCount="1">
  <autoFilter ref="A1:H6"/>
  <tableColumns count="8">
    <tableColumn id="1" name="event_date"/>
    <tableColumn id="2" name="event_type"/>
    <tableColumn id="3" name="impact_scope"/>
    <tableColumn id="4" name="impact_target"/>
    <tableColumn id="5" name="impact_parameter"/>
    <tableColumn id="6" name="impact_value"/>
    <tableColumn id="7" name="effect_lag_months"/>
    <tableColumn id="8" name="mem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_M_FXRate" displayName="tbl_M_FXRate" ref="A1:E16" headerRowCount="1">
  <autoFilter ref="A1:E16"/>
  <tableColumns count="5">
    <tableColumn id="1" name="rate_type"/>
    <tableColumn id="2" name="period"/>
    <tableColumn id="3" name="jpy_per_usd"/>
    <tableColumn id="4" name="updated_by"/>
    <tableColumn id="5" name="updated_at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_D_IQVIA" displayName="tbl_D_IQVIA" ref="A1:J657" headerRowCount="1">
  <autoFilter ref="A1:J657"/>
  <tableColumns count="10">
    <tableColumn id="1" name="period"/>
    <tableColumn id="2" name="therapeutic_area"/>
    <tableColumn id="3" name="ingredient_name"/>
    <tableColumn id="4" name="manufacturer_type"/>
    <tableColumn id="5" name="product_name"/>
    <tableColumn id="6" name="formulation"/>
    <tableColumn id="7" name="sales_units"/>
    <tableColumn id="8" name="unit_price_jpy"/>
    <tableColumn id="9" name="sales_amount_jpy"/>
    <tableColumn id="10" name="generic_biosimilar_penetration_rate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id="8" name="tbl_D_SellIn" displayName="tbl_D_SellIn" ref="A1:F862" headerRowCount="1">
  <autoFilter ref="A1:F862"/>
  <tableColumns count="6">
    <tableColumn id="1" name="period"/>
    <tableColumn id="2" name="sku_id"/>
    <tableColumn id="3" name="product_name"/>
    <tableColumn id="4" name="distributor"/>
    <tableColumn id="5" name="quantity"/>
    <tableColumn id="6" name="amount_jpy"/>
  </tableColumns>
  <tableStyleInfo name="TableStyleMedium14" showFirstColumn="0" showLastColumn="0" showRowStripes="1" showColumnStripes="0"/>
</table>
</file>

<file path=xl/tables/table9.xml><?xml version="1.0" encoding="utf-8"?>
<table xmlns="http://schemas.openxmlformats.org/spreadsheetml/2006/main" id="9" name="tbl_D_SellOut" displayName="tbl_D_SellOut" ref="A1:F739" headerRowCount="1">
  <autoFilter ref="A1:F739"/>
  <tableColumns count="6">
    <tableColumn id="1" name="period"/>
    <tableColumn id="2" name="sku_id"/>
    <tableColumn id="3" name="product_name"/>
    <tableColumn id="4" name="facility_type"/>
    <tableColumn id="5" name="quantity"/>
    <tableColumn id="6" name="amount_jpy"/>
  </tableColumns>
  <tableStyleInfo name="TableStyleMedium14" showFirstColumn="0" showLastColumn="0" showRowStripes="1" showColumnStripes="0"/>
</table>
</file>

<file path=xl/tables/table10.xml><?xml version="1.0" encoding="utf-8"?>
<table xmlns="http://schemas.openxmlformats.org/spreadsheetml/2006/main" id="10" name="tbl_D_Inventory" displayName="tbl_D_Inventory" ref="A1:F862" headerRowCount="1">
  <autoFilter ref="A1:F862"/>
  <tableColumns count="6">
    <tableColumn id="1" name="period"/>
    <tableColumn id="2" name="sku_id"/>
    <tableColumn id="3" name="product_name"/>
    <tableColumn id="4" name="distributor"/>
    <tableColumn id="5" name="ending_inventory_qty"/>
    <tableColumn id="6" name="ending_inventory_amount_jpy"/>
  </tableColumns>
  <tableStyleInfo name="TableStyleMedium14" showFirstColumn="0" showLastColumn="0" showRowStripes="1" showColumnStripes="0"/>
</table>
</file>

<file path=xl/tables/table11.xml><?xml version="1.0" encoding="utf-8"?>
<table xmlns="http://schemas.openxmlformats.org/spreadsheetml/2006/main" id="11" name="tbl_OUT_Adjusted" displayName="tbl_OUT_Adjusted" ref="A1:L1" headerRowCount="1">
  <autoFilter ref="A1:L1"/>
  <tableColumns count="12">
    <tableColumn id="1" name="period"/>
    <tableColumn id="2" name="sku_id"/>
    <tableColumn id="3" name="ingredient_id"/>
    <tableColumn id="4" name="product_id"/>
    <tableColumn id="5" name="scenario_axis1"/>
    <tableColumn id="6" name="scenario_axis2"/>
    <tableColumn id="7" name="sellout_forecast_units"/>
    <tableColumn id="8" name="sellout_forecast_jpy"/>
    <tableColumn id="9" name="sellout_forecast_usd"/>
    <tableColumn id="10" name="sellin_forecast_units"/>
    <tableColumn id="11" name="sellin_forecast_jpy"/>
    <tableColumn id="12" name="sellin_forecast_usd"/>
  </tableColumns>
  <tableStyleInfo name="TableStyleMedium3" showFirstColumn="0" showLastColumn="0" showRowStripes="1" showColumnStripes="0"/>
</table>
</file>

<file path=xl/tables/table12.xml><?xml version="1.0" encoding="utf-8"?>
<table xmlns="http://schemas.openxmlformats.org/spreadsheetml/2006/main" id="12" name="tbl_OUT_Excluded" displayName="tbl_OUT_Excluded" ref="A1:L1" headerRowCount="1">
  <autoFilter ref="A1:L1"/>
  <tableColumns count="12">
    <tableColumn id="1" name="period"/>
    <tableColumn id="2" name="sku_id"/>
    <tableColumn id="3" name="ingredient_id"/>
    <tableColumn id="4" name="product_id"/>
    <tableColumn id="5" name="scenario_axis1"/>
    <tableColumn id="6" name="scenario_axis2"/>
    <tableColumn id="7" name="sellout_forecast_units"/>
    <tableColumn id="8" name="sellout_forecast_jpy"/>
    <tableColumn id="9" name="sellout_forecast_usd"/>
    <tableColumn id="10" name="sellin_forecast_units"/>
    <tableColumn id="11" name="sellin_forecast_jpy"/>
    <tableColumn id="12" name="sellin_forecast_usd"/>
  </tableColumns>
  <tableStyleInfo name="TableStyleMedium3" showFirstColumn="0" showLastColumn="0" showRowStripes="1" showColumnStripes="0"/>
</table>
</file>

<file path=xl/tables/table13.xml><?xml version="1.0" encoding="utf-8"?>
<table xmlns="http://schemas.openxmlformats.org/spreadsheetml/2006/main" id="13" name="tbl_LOG" displayName="tbl_LOG" ref="A1:G1" headerRowCount="1">
  <autoFilter ref="A1:G1"/>
  <tableColumns count="7">
    <tableColumn id="1" name="timestamp"/>
    <tableColumn id="2" name="user"/>
    <tableColumn id="3" name="sheet"/>
    <tableColumn id="4" name="cell_address"/>
    <tableColumn id="5" name="parameter_name"/>
    <tableColumn id="6" name="old_value"/>
    <tableColumn id="7" name="new_valu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B1:C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60" customWidth="1" min="3" max="3"/>
  </cols>
  <sheetData>
    <row r="1" ht="30" customHeight="1">
      <c r="B1" s="1" t="inlineStr">
        <is>
          <t>GE/BS 販売予測エンジン（Excel版）</t>
        </is>
      </c>
    </row>
    <row r="2" ht="18" customHeight="1">
      <c r="B2" s="2" t="inlineStr">
        <is>
          <t>GE_BS_Forecast_Engine.xlsx  |  Phase 1-1 初期版</t>
        </is>
      </c>
    </row>
    <row r="4">
      <c r="B4" s="3" t="inlineStr">
        <is>
          <t>シート名</t>
        </is>
      </c>
      <c r="C4" s="3" t="inlineStr">
        <is>
          <t>内容</t>
        </is>
      </c>
    </row>
    <row r="5">
      <c r="B5" s="4" t="inlineStr">
        <is>
          <t>START</t>
        </is>
      </c>
      <c r="C5" s="4" t="inlineStr">
        <is>
          <t>本ガイドシート（読み取り専用）</t>
        </is>
      </c>
    </row>
    <row r="6">
      <c r="B6" s="5" t="inlineStr">
        <is>
          <t>PARAM</t>
        </is>
      </c>
      <c r="C6" s="5" t="inlineStr">
        <is>
          <t>全パラメータ一覧（ユーザー編集）</t>
        </is>
      </c>
    </row>
    <row r="7">
      <c r="B7" s="4" t="inlineStr">
        <is>
          <t>M_TherapeuticArea</t>
        </is>
      </c>
      <c r="C7" s="4" t="inlineStr">
        <is>
          <t>疾患領域マスタ</t>
        </is>
      </c>
    </row>
    <row r="8">
      <c r="B8" s="5" t="inlineStr">
        <is>
          <t>M_Ingredient</t>
        </is>
      </c>
      <c r="C8" s="5" t="inlineStr">
        <is>
          <t>成分マスタ</t>
        </is>
      </c>
    </row>
    <row r="9">
      <c r="B9" s="4" t="inlineStr">
        <is>
          <t>M_Product</t>
        </is>
      </c>
      <c r="C9" s="4" t="inlineStr">
        <is>
          <t>製品マスタ</t>
        </is>
      </c>
    </row>
    <row r="10">
      <c r="B10" s="5" t="inlineStr">
        <is>
          <t>M_SKU</t>
        </is>
      </c>
      <c r="C10" s="5" t="inlineStr">
        <is>
          <t>SKUマスタ</t>
        </is>
      </c>
    </row>
    <row r="11">
      <c r="B11" s="4" t="inlineStr">
        <is>
          <t>M_Events</t>
        </is>
      </c>
      <c r="C11" s="4" t="inlineStr">
        <is>
          <t>制度イベントマスタ</t>
        </is>
      </c>
    </row>
    <row r="12">
      <c r="B12" s="5" t="inlineStr">
        <is>
          <t>M_FXRate</t>
        </is>
      </c>
      <c r="C12" s="5" t="inlineStr">
        <is>
          <t>為替レートマスタ</t>
        </is>
      </c>
    </row>
    <row r="13">
      <c r="B13" s="4" t="inlineStr">
        <is>
          <t>D_IQVIA</t>
        </is>
      </c>
      <c r="C13" s="4" t="inlineStr">
        <is>
          <t>IQVIA市場データ（Power Query取込）</t>
        </is>
      </c>
    </row>
    <row r="14">
      <c r="B14" s="5" t="inlineStr">
        <is>
          <t>D_SellIn</t>
        </is>
      </c>
      <c r="C14" s="5" t="inlineStr">
        <is>
          <t>自社Sell-inデータ</t>
        </is>
      </c>
    </row>
    <row r="15">
      <c r="B15" s="4" t="inlineStr">
        <is>
          <t>D_SellOut</t>
        </is>
      </c>
      <c r="C15" s="4" t="inlineStr">
        <is>
          <t>自社Sell-outデータ</t>
        </is>
      </c>
    </row>
    <row r="16">
      <c r="B16" s="5" t="inlineStr">
        <is>
          <t>D_Inventory</t>
        </is>
      </c>
      <c r="C16" s="5" t="inlineStr">
        <is>
          <t>卸別月末在庫データ</t>
        </is>
      </c>
    </row>
    <row r="17">
      <c r="B17" s="4" t="inlineStr">
        <is>
          <t>C_MarketForecast</t>
        </is>
      </c>
      <c r="C17" s="4" t="inlineStr">
        <is>
          <t>Step1: 市場トレンド予測（FORECAST.ETS）</t>
        </is>
      </c>
    </row>
    <row r="18">
      <c r="B18" s="5" t="inlineStr">
        <is>
          <t>C_Penetration</t>
        </is>
      </c>
      <c r="C18" s="5" t="inlineStr">
        <is>
          <t>Step2: 浸透率予測（ロジスティック曲線）</t>
        </is>
      </c>
    </row>
    <row r="19">
      <c r="B19" s="4" t="inlineStr">
        <is>
          <t>C_ShareForecast</t>
        </is>
      </c>
      <c r="C19" s="4" t="inlineStr">
        <is>
          <t>Step3: 自社製品シェア予測</t>
        </is>
      </c>
    </row>
    <row r="20">
      <c r="B20" s="5" t="inlineStr">
        <is>
          <t>C_SKUMix</t>
        </is>
      </c>
      <c r="C20" s="5" t="inlineStr">
        <is>
          <t>Step4: SKU構成比トレンド予測</t>
        </is>
      </c>
    </row>
    <row r="21">
      <c r="B21" s="4" t="inlineStr">
        <is>
          <t>C_Integrated</t>
        </is>
      </c>
      <c r="C21" s="4" t="inlineStr">
        <is>
          <t>Step5: 統合予測（シナリオ別）</t>
        </is>
      </c>
    </row>
    <row r="22">
      <c r="B22" s="5" t="inlineStr">
        <is>
          <t>OUT_Adjusted</t>
        </is>
      </c>
      <c r="C22" s="5" t="inlineStr">
        <is>
          <t>出力: 制度変更加味シナリオ</t>
        </is>
      </c>
    </row>
    <row r="23">
      <c r="B23" s="4" t="inlineStr">
        <is>
          <t>OUT_Excluded</t>
        </is>
      </c>
      <c r="C23" s="4" t="inlineStr">
        <is>
          <t>出力: 制度変更非加味シナリオ</t>
        </is>
      </c>
    </row>
    <row r="24">
      <c r="B24" s="5" t="inlineStr">
        <is>
          <t>LOG</t>
        </is>
      </c>
      <c r="C24" s="5" t="inlineStr">
        <is>
          <t>パラメータ変更履歴（VBA自動記録）</t>
        </is>
      </c>
    </row>
    <row r="26" ht="16" customHeight="1">
      <c r="B26" s="6" t="inlineStr">
        <is>
          <t>■ 月次更新手順</t>
        </is>
      </c>
    </row>
    <row r="27">
      <c r="B27" s="7" t="inlineStr">
        <is>
          <t>① CSVデータを docs/sample_data/ に配置</t>
        </is>
      </c>
    </row>
    <row r="28">
      <c r="B28" s="7" t="inlineStr">
        <is>
          <t>② [データ] → [すべて更新] で Power Query を実行</t>
        </is>
      </c>
    </row>
    <row r="29">
      <c r="B29" s="7" t="inlineStr">
        <is>
          <t>③ PARAM シートでパラメータを確認・調整</t>
        </is>
      </c>
    </row>
    <row r="30">
      <c r="B30" s="7" t="inlineStr">
        <is>
          <t>④ Ctrl+Alt+F9 でブック全体を再計算</t>
        </is>
      </c>
    </row>
    <row r="31">
      <c r="B31" s="7" t="inlineStr">
        <is>
          <t>⑤ Power BI (.pbix) を開いて [更新] をクリック</t>
        </is>
      </c>
    </row>
  </sheetData>
  <mergeCells count="2">
    <mergeCell ref="B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86C1"/>
    <outlinePr summaryBelow="1" summaryRight="1"/>
    <pageSetUpPr/>
  </sheetPr>
  <dimension ref="B1:G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2" customWidth="1" min="3" max="3"/>
    <col width="18" customWidth="1" min="4" max="4"/>
    <col width="16" customWidth="1" min="5" max="5"/>
    <col width="14" customWidth="1" min="6" max="6"/>
    <col width="36" customWidth="1" min="7" max="7"/>
  </cols>
  <sheetData>
    <row r="1" ht="28" customHeight="1">
      <c r="B1" s="8" t="inlineStr">
        <is>
          <t>PARAM  ―  パラメータ管理シート</t>
        </is>
      </c>
    </row>
    <row r="2" ht="20" customHeight="1">
      <c r="B2" s="3" t="inlineStr">
        <is>
          <t>セクション</t>
        </is>
      </c>
      <c r="C2" s="3" t="inlineStr">
        <is>
          <t>パラメータ</t>
        </is>
      </c>
      <c r="D2" s="3" t="inlineStr">
        <is>
          <t>対象</t>
        </is>
      </c>
      <c r="E2" s="3" t="inlineStr">
        <is>
          <t>値（入力）</t>
        </is>
      </c>
      <c r="F2" s="3" t="inlineStr">
        <is>
          <t>単位</t>
        </is>
      </c>
      <c r="G2" s="3" t="inlineStr">
        <is>
          <t>備考</t>
        </is>
      </c>
    </row>
    <row r="3" ht="20" customHeight="1">
      <c r="B3" s="9" t="inlineStr">
        <is>
          <t>【 薬価 】</t>
        </is>
      </c>
      <c r="C3" s="33" t="n"/>
      <c r="D3" s="33" t="n"/>
      <c r="E3" s="33" t="n"/>
      <c r="F3" s="33" t="n"/>
      <c r="G3" s="34" t="n"/>
    </row>
    <row r="4" ht="17" customHeight="1">
      <c r="B4" s="10" t="inlineStr">
        <is>
          <t>薬価</t>
        </is>
      </c>
      <c r="C4" s="10" t="inlineStr">
        <is>
          <t>次回改定予定月</t>
        </is>
      </c>
      <c r="D4" s="10" t="inlineStr"/>
      <c r="E4" s="11" t="inlineStr">
        <is>
          <t>2026-04</t>
        </is>
      </c>
      <c r="F4" s="10" t="inlineStr">
        <is>
          <t>年-月</t>
        </is>
      </c>
      <c r="G4" s="10" t="inlineStr">
        <is>
          <t>次回改定の発効月</t>
        </is>
      </c>
    </row>
    <row r="5" ht="17" customHeight="1">
      <c r="B5" s="10" t="inlineStr">
        <is>
          <t>薬価</t>
        </is>
      </c>
      <c r="C5" s="10" t="inlineStr">
        <is>
          <t>改定率（ING01）</t>
        </is>
      </c>
      <c r="D5" s="10" t="inlineStr">
        <is>
          <t>ING01</t>
        </is>
      </c>
      <c r="E5" s="11" t="n">
        <v>-0.055</v>
      </c>
      <c r="F5" s="10" t="inlineStr">
        <is>
          <t>%</t>
        </is>
      </c>
      <c r="G5" s="10" t="inlineStr">
        <is>
          <t>過去実績平均値</t>
        </is>
      </c>
    </row>
    <row r="6" ht="17" customHeight="1">
      <c r="B6" s="10" t="inlineStr">
        <is>
          <t>薬価</t>
        </is>
      </c>
      <c r="C6" s="10" t="inlineStr">
        <is>
          <t>改定率（ING02）</t>
        </is>
      </c>
      <c r="D6" s="10" t="inlineStr">
        <is>
          <t>ING02</t>
        </is>
      </c>
      <c r="E6" s="11" t="n">
        <v>-0.062</v>
      </c>
      <c r="F6" s="10" t="inlineStr">
        <is>
          <t>%</t>
        </is>
      </c>
      <c r="G6" s="10" t="inlineStr">
        <is>
          <t>過去実績平均値</t>
        </is>
      </c>
    </row>
    <row r="7" ht="17" customHeight="1">
      <c r="B7" s="10" t="inlineStr">
        <is>
          <t>薬価</t>
        </is>
      </c>
      <c r="C7" s="10" t="inlineStr">
        <is>
          <t>改定率（ING03）</t>
        </is>
      </c>
      <c r="D7" s="10" t="inlineStr">
        <is>
          <t>ING03</t>
        </is>
      </c>
      <c r="E7" s="11" t="n">
        <v>-0.048</v>
      </c>
      <c r="F7" s="10" t="inlineStr">
        <is>
          <t>%</t>
        </is>
      </c>
      <c r="G7" s="10" t="inlineStr">
        <is>
          <t>過去実績平均値</t>
        </is>
      </c>
    </row>
    <row r="8" ht="17" customHeight="1">
      <c r="B8" s="10" t="inlineStr">
        <is>
          <t>薬価</t>
        </is>
      </c>
      <c r="C8" s="10" t="inlineStr">
        <is>
          <t>改定率（ING04）</t>
        </is>
      </c>
      <c r="D8" s="10" t="inlineStr">
        <is>
          <t>ING04</t>
        </is>
      </c>
      <c r="E8" s="11" t="n">
        <v>-0.07000000000000001</v>
      </c>
      <c r="F8" s="10" t="inlineStr">
        <is>
          <t>%</t>
        </is>
      </c>
      <c r="G8" s="10" t="inlineStr">
        <is>
          <t>過去実績平均値</t>
        </is>
      </c>
    </row>
    <row r="9" ht="20" customHeight="1">
      <c r="B9" s="9" t="inlineStr">
        <is>
          <t>【 浸透率 】</t>
        </is>
      </c>
      <c r="C9" s="33" t="n"/>
      <c r="D9" s="33" t="n"/>
      <c r="E9" s="33" t="n"/>
      <c r="F9" s="33" t="n"/>
      <c r="G9" s="34" t="n"/>
    </row>
    <row r="10" ht="17" customHeight="1">
      <c r="B10" s="12" t="inlineStr">
        <is>
          <t>浸透率</t>
        </is>
      </c>
      <c r="C10" s="12" t="inlineStr">
        <is>
          <t>浸透率上限L（ING01）</t>
        </is>
      </c>
      <c r="D10" s="12" t="inlineStr">
        <is>
          <t>ING01</t>
        </is>
      </c>
      <c r="E10" s="13" t="n">
        <v>0.87</v>
      </c>
      <c r="F10" s="12" t="inlineStr">
        <is>
          <t>0〜1</t>
        </is>
      </c>
      <c r="G10" s="12" t="inlineStr">
        <is>
          <t>Solverフィッティング結果</t>
        </is>
      </c>
    </row>
    <row r="11" ht="17" customHeight="1">
      <c r="B11" s="12" t="inlineStr">
        <is>
          <t>浸透率</t>
        </is>
      </c>
      <c r="C11" s="12" t="inlineStr">
        <is>
          <t>浸透率上限L（ING02）</t>
        </is>
      </c>
      <c r="D11" s="12" t="inlineStr">
        <is>
          <t>ING02</t>
        </is>
      </c>
      <c r="E11" s="13" t="n">
        <v>0.83</v>
      </c>
      <c r="F11" s="12" t="inlineStr">
        <is>
          <t>0〜1</t>
        </is>
      </c>
      <c r="G11" s="12" t="inlineStr">
        <is>
          <t>Solverフィッティング結果</t>
        </is>
      </c>
    </row>
    <row r="12" ht="17" customHeight="1">
      <c r="B12" s="12" t="inlineStr">
        <is>
          <t>浸透率</t>
        </is>
      </c>
      <c r="C12" s="12" t="inlineStr">
        <is>
          <t>浸透率上限L（ING03）</t>
        </is>
      </c>
      <c r="D12" s="12" t="inlineStr">
        <is>
          <t>ING03</t>
        </is>
      </c>
      <c r="E12" s="13" t="n">
        <v>0.58</v>
      </c>
      <c r="F12" s="12" t="inlineStr">
        <is>
          <t>0〜1</t>
        </is>
      </c>
      <c r="G12" s="12" t="inlineStr">
        <is>
          <t>Solverフィッティング結果</t>
        </is>
      </c>
    </row>
    <row r="13" ht="17" customHeight="1">
      <c r="B13" s="12" t="inlineStr">
        <is>
          <t>浸透率</t>
        </is>
      </c>
      <c r="C13" s="12" t="inlineStr">
        <is>
          <t>浸透率上限L（ING04）</t>
        </is>
      </c>
      <c r="D13" s="12" t="inlineStr">
        <is>
          <t>ING04</t>
        </is>
      </c>
      <c r="E13" s="13" t="n">
        <v>0.42</v>
      </c>
      <c r="F13" s="12" t="inlineStr">
        <is>
          <t>0〜1</t>
        </is>
      </c>
      <c r="G13" s="12" t="inlineStr">
        <is>
          <t>Solverフィッティング結果</t>
        </is>
      </c>
    </row>
    <row r="14" ht="17" customHeight="1">
      <c r="B14" s="12" t="inlineStr">
        <is>
          <t>浸透率</t>
        </is>
      </c>
      <c r="C14" s="12" t="inlineStr">
        <is>
          <t>立ち上がり速度k（ING01）</t>
        </is>
      </c>
      <c r="D14" s="12" t="inlineStr">
        <is>
          <t>ING01</t>
        </is>
      </c>
      <c r="E14" s="13" t="n">
        <v>0.1</v>
      </c>
      <c r="F14" s="12" t="inlineStr">
        <is>
          <t>正の実数</t>
        </is>
      </c>
      <c r="G14" s="12" t="inlineStr">
        <is>
          <t>Solverフィッティング結果</t>
        </is>
      </c>
    </row>
    <row r="15" ht="17" customHeight="1">
      <c r="B15" s="12" t="inlineStr">
        <is>
          <t>浸透率</t>
        </is>
      </c>
      <c r="C15" s="12" t="inlineStr">
        <is>
          <t>立ち上がり速度k（ING02）</t>
        </is>
      </c>
      <c r="D15" s="12" t="inlineStr">
        <is>
          <t>ING02</t>
        </is>
      </c>
      <c r="E15" s="13" t="n">
        <v>0.1</v>
      </c>
      <c r="F15" s="12" t="inlineStr">
        <is>
          <t>正の実数</t>
        </is>
      </c>
      <c r="G15" s="12" t="inlineStr">
        <is>
          <t>Solverフィッティング結果</t>
        </is>
      </c>
    </row>
    <row r="16" ht="17" customHeight="1">
      <c r="B16" s="12" t="inlineStr">
        <is>
          <t>浸透率</t>
        </is>
      </c>
      <c r="C16" s="12" t="inlineStr">
        <is>
          <t>立ち上がり速度k（ING03）</t>
        </is>
      </c>
      <c r="D16" s="12" t="inlineStr">
        <is>
          <t>ING03</t>
        </is>
      </c>
      <c r="E16" s="13" t="n">
        <v>0.13</v>
      </c>
      <c r="F16" s="12" t="inlineStr">
        <is>
          <t>正の実数</t>
        </is>
      </c>
      <c r="G16" s="12" t="inlineStr">
        <is>
          <t>Solverフィッティング結果</t>
        </is>
      </c>
    </row>
    <row r="17" ht="17" customHeight="1">
      <c r="B17" s="12" t="inlineStr">
        <is>
          <t>浸透率</t>
        </is>
      </c>
      <c r="C17" s="12" t="inlineStr">
        <is>
          <t>立ち上がり速度k（ING04）</t>
        </is>
      </c>
      <c r="D17" s="12" t="inlineStr">
        <is>
          <t>ING04</t>
        </is>
      </c>
      <c r="E17" s="13" t="n">
        <v>0.11</v>
      </c>
      <c r="F17" s="12" t="inlineStr">
        <is>
          <t>正の実数</t>
        </is>
      </c>
      <c r="G17" s="12" t="inlineStr">
        <is>
          <t>Solverフィッティング結果</t>
        </is>
      </c>
    </row>
    <row r="18" ht="17" customHeight="1">
      <c r="B18" s="12" t="inlineStr">
        <is>
          <t>浸透率</t>
        </is>
      </c>
      <c r="C18" s="12" t="inlineStr">
        <is>
          <t>変曲点x0（ING01）</t>
        </is>
      </c>
      <c r="D18" s="12" t="inlineStr">
        <is>
          <t>ING01</t>
        </is>
      </c>
      <c r="E18" s="13" t="n">
        <v>-25</v>
      </c>
      <c r="F18" s="12" t="inlineStr">
        <is>
          <t>月数</t>
        </is>
      </c>
      <c r="G18" s="12" t="inlineStr">
        <is>
          <t>実績開始からの経過月</t>
        </is>
      </c>
    </row>
    <row r="19" ht="17" customHeight="1">
      <c r="B19" s="12" t="inlineStr">
        <is>
          <t>浸透率</t>
        </is>
      </c>
      <c r="C19" s="12" t="inlineStr">
        <is>
          <t>変曲点x0（ING02）</t>
        </is>
      </c>
      <c r="D19" s="12" t="inlineStr">
        <is>
          <t>ING02</t>
        </is>
      </c>
      <c r="E19" s="13" t="n">
        <v>-20</v>
      </c>
      <c r="F19" s="12" t="inlineStr">
        <is>
          <t>月数</t>
        </is>
      </c>
      <c r="G19" s="12" t="inlineStr">
        <is>
          <t>実績開始からの経過月</t>
        </is>
      </c>
    </row>
    <row r="20" ht="17" customHeight="1">
      <c r="B20" s="12" t="inlineStr">
        <is>
          <t>浸透率</t>
        </is>
      </c>
      <c r="C20" s="12" t="inlineStr">
        <is>
          <t>変曲点x0（ING03）</t>
        </is>
      </c>
      <c r="D20" s="12" t="inlineStr">
        <is>
          <t>ING03</t>
        </is>
      </c>
      <c r="E20" s="13" t="n">
        <v>16</v>
      </c>
      <c r="F20" s="12" t="inlineStr">
        <is>
          <t>月数</t>
        </is>
      </c>
      <c r="G20" s="12" t="inlineStr">
        <is>
          <t>実績開始からの経過月</t>
        </is>
      </c>
    </row>
    <row r="21" ht="17" customHeight="1">
      <c r="B21" s="12" t="inlineStr">
        <is>
          <t>浸透率</t>
        </is>
      </c>
      <c r="C21" s="12" t="inlineStr">
        <is>
          <t>変曲点x0（ING04）</t>
        </is>
      </c>
      <c r="D21" s="12" t="inlineStr">
        <is>
          <t>ING04</t>
        </is>
      </c>
      <c r="E21" s="13" t="n">
        <v>20</v>
      </c>
      <c r="F21" s="12" t="inlineStr">
        <is>
          <t>月数</t>
        </is>
      </c>
      <c r="G21" s="12" t="inlineStr">
        <is>
          <t>実績開始からの経過月</t>
        </is>
      </c>
    </row>
    <row r="22" ht="20" customHeight="1">
      <c r="B22" s="9" t="inlineStr">
        <is>
          <t>【 市場 】</t>
        </is>
      </c>
      <c r="C22" s="33" t="n"/>
      <c r="D22" s="33" t="n"/>
      <c r="E22" s="33" t="n"/>
      <c r="F22" s="33" t="n"/>
      <c r="G22" s="34" t="n"/>
    </row>
    <row r="23" ht="17" customHeight="1">
      <c r="B23" s="14" t="inlineStr">
        <is>
          <t>市場</t>
        </is>
      </c>
      <c r="C23" s="14" t="inlineStr">
        <is>
          <t>疾患領域市場成長率（TA01）</t>
        </is>
      </c>
      <c r="D23" s="14" t="inlineStr">
        <is>
          <t>TA01</t>
        </is>
      </c>
      <c r="E23" s="15" t="n">
        <v>0.015</v>
      </c>
      <c r="F23" s="14" t="inlineStr">
        <is>
          <t>%/年</t>
        </is>
      </c>
      <c r="G23" s="14" t="inlineStr">
        <is>
          <t>代謝・内分泌領域</t>
        </is>
      </c>
    </row>
    <row r="24" ht="17" customHeight="1">
      <c r="B24" s="14" t="inlineStr">
        <is>
          <t>市場</t>
        </is>
      </c>
      <c r="C24" s="14" t="inlineStr">
        <is>
          <t>疾患領域市場成長率（TA02）</t>
        </is>
      </c>
      <c r="D24" s="14" t="inlineStr">
        <is>
          <t>TA02</t>
        </is>
      </c>
      <c r="E24" s="15" t="n">
        <v>0.01</v>
      </c>
      <c r="F24" s="14" t="inlineStr">
        <is>
          <t>%/年</t>
        </is>
      </c>
      <c r="G24" s="14" t="inlineStr">
        <is>
          <t>循環器領域</t>
        </is>
      </c>
    </row>
    <row r="25" ht="17" customHeight="1">
      <c r="B25" s="14" t="inlineStr">
        <is>
          <t>市場</t>
        </is>
      </c>
      <c r="C25" s="14" t="inlineStr">
        <is>
          <t>疾患領域市場成長率（TA03）</t>
        </is>
      </c>
      <c r="D25" s="14" t="inlineStr">
        <is>
          <t>TA03</t>
        </is>
      </c>
      <c r="E25" s="15" t="n">
        <v>0.008</v>
      </c>
      <c r="F25" s="14" t="inlineStr">
        <is>
          <t>%/年</t>
        </is>
      </c>
      <c r="G25" s="14" t="inlineStr">
        <is>
          <t>血液領域</t>
        </is>
      </c>
    </row>
    <row r="26" ht="17" customHeight="1">
      <c r="B26" s="14" t="inlineStr">
        <is>
          <t>市場</t>
        </is>
      </c>
      <c r="C26" s="14" t="inlineStr">
        <is>
          <t>疾患領域市場成長率（TA04）</t>
        </is>
      </c>
      <c r="D26" s="14" t="inlineStr">
        <is>
          <t>TA04</t>
        </is>
      </c>
      <c r="E26" s="15" t="n">
        <v>0.025</v>
      </c>
      <c r="F26" s="14" t="inlineStr">
        <is>
          <t>%/年</t>
        </is>
      </c>
      <c r="G26" s="14" t="inlineStr">
        <is>
          <t>免疫領域</t>
        </is>
      </c>
    </row>
    <row r="27" ht="20" customHeight="1">
      <c r="B27" s="9" t="inlineStr">
        <is>
          <t>【 競合 】</t>
        </is>
      </c>
      <c r="C27" s="33" t="n"/>
      <c r="D27" s="33" t="n"/>
      <c r="E27" s="33" t="n"/>
      <c r="F27" s="33" t="n"/>
      <c r="G27" s="34" t="n"/>
    </row>
    <row r="28" ht="17" customHeight="1">
      <c r="B28" s="16" t="inlineStr">
        <is>
          <t>競合</t>
        </is>
      </c>
      <c r="C28" s="16" t="inlineStr">
        <is>
          <t>新規競合参入時期（ING01）</t>
        </is>
      </c>
      <c r="D28" s="16" t="inlineStr">
        <is>
          <t>ING01</t>
        </is>
      </c>
      <c r="E28" s="17" t="inlineStr">
        <is>
          <t>2026-10</t>
        </is>
      </c>
      <c r="F28" s="16" t="inlineStr">
        <is>
          <t>年-月</t>
        </is>
      </c>
      <c r="G28" s="16" t="inlineStr">
        <is>
          <t>手動入力</t>
        </is>
      </c>
    </row>
    <row r="29" ht="17" customHeight="1">
      <c r="B29" s="16" t="inlineStr">
        <is>
          <t>競合</t>
        </is>
      </c>
      <c r="C29" s="16" t="inlineStr">
        <is>
          <t>想定競合シェア（ING01）</t>
        </is>
      </c>
      <c r="D29" s="16" t="inlineStr">
        <is>
          <t>ING01</t>
        </is>
      </c>
      <c r="E29" s="17" t="n">
        <v>0.05</v>
      </c>
      <c r="F29" s="16" t="inlineStr">
        <is>
          <t>%</t>
        </is>
      </c>
      <c r="G29" s="16" t="inlineStr">
        <is>
          <t>参入後の最大シェア</t>
        </is>
      </c>
    </row>
    <row r="30" ht="17" customHeight="1">
      <c r="B30" s="16" t="inlineStr">
        <is>
          <t>競合</t>
        </is>
      </c>
      <c r="C30" s="16" t="inlineStr">
        <is>
          <t>新規競合参入時期（ING02）</t>
        </is>
      </c>
      <c r="D30" s="16" t="inlineStr">
        <is>
          <t>ING02</t>
        </is>
      </c>
      <c r="E30" s="17" t="inlineStr"/>
      <c r="F30" s="16" t="inlineStr">
        <is>
          <t>年-月</t>
        </is>
      </c>
      <c r="G30" s="16" t="inlineStr">
        <is>
          <t>未定の場合は空欄</t>
        </is>
      </c>
    </row>
    <row r="31" ht="17" customHeight="1">
      <c r="B31" s="16" t="inlineStr">
        <is>
          <t>競合</t>
        </is>
      </c>
      <c r="C31" s="16" t="inlineStr">
        <is>
          <t>想定競合シェア（ING02）</t>
        </is>
      </c>
      <c r="D31" s="16" t="inlineStr">
        <is>
          <t>ING02</t>
        </is>
      </c>
      <c r="E31" s="17" t="inlineStr"/>
      <c r="F31" s="16" t="inlineStr">
        <is>
          <t>%</t>
        </is>
      </c>
      <c r="G31" s="16" t="inlineStr">
        <is>
          <t>未定の場合は空欄</t>
        </is>
      </c>
    </row>
    <row r="32" ht="20" customHeight="1">
      <c r="B32" s="9" t="inlineStr">
        <is>
          <t>【 在庫 】</t>
        </is>
      </c>
      <c r="C32" s="33" t="n"/>
      <c r="D32" s="33" t="n"/>
      <c r="E32" s="33" t="n"/>
      <c r="F32" s="33" t="n"/>
      <c r="G32" s="34" t="n"/>
    </row>
    <row r="33" ht="17" customHeight="1">
      <c r="B33" s="18" t="inlineStr">
        <is>
          <t>在庫</t>
        </is>
      </c>
      <c r="C33" s="18" t="inlineStr">
        <is>
          <t>適正在庫日数（卸A）</t>
        </is>
      </c>
      <c r="D33" s="18" t="inlineStr">
        <is>
          <t>卸A</t>
        </is>
      </c>
      <c r="E33" s="19" t="n">
        <v>30</v>
      </c>
      <c r="F33" s="18" t="inlineStr">
        <is>
          <t>日</t>
        </is>
      </c>
      <c r="G33" s="18" t="inlineStr">
        <is>
          <t>実測平均</t>
        </is>
      </c>
    </row>
    <row r="34" ht="17" customHeight="1">
      <c r="B34" s="18" t="inlineStr">
        <is>
          <t>在庫</t>
        </is>
      </c>
      <c r="C34" s="18" t="inlineStr">
        <is>
          <t>適正在庫日数（卸B）</t>
        </is>
      </c>
      <c r="D34" s="18" t="inlineStr">
        <is>
          <t>卸B</t>
        </is>
      </c>
      <c r="E34" s="19" t="n">
        <v>28</v>
      </c>
      <c r="F34" s="18" t="inlineStr">
        <is>
          <t>日</t>
        </is>
      </c>
      <c r="G34" s="18" t="inlineStr">
        <is>
          <t>実測平均</t>
        </is>
      </c>
    </row>
    <row r="35" ht="17" customHeight="1">
      <c r="B35" s="18" t="inlineStr">
        <is>
          <t>在庫</t>
        </is>
      </c>
      <c r="C35" s="18" t="inlineStr">
        <is>
          <t>適正在庫日数（卸C）</t>
        </is>
      </c>
      <c r="D35" s="18" t="inlineStr">
        <is>
          <t>卸C</t>
        </is>
      </c>
      <c r="E35" s="19" t="n">
        <v>32</v>
      </c>
      <c r="F35" s="18" t="inlineStr">
        <is>
          <t>日</t>
        </is>
      </c>
      <c r="G35" s="18" t="inlineStr">
        <is>
          <t>実測平均</t>
        </is>
      </c>
    </row>
    <row r="36" ht="17" customHeight="1">
      <c r="B36" s="18" t="inlineStr">
        <is>
          <t>在庫</t>
        </is>
      </c>
      <c r="C36" s="18" t="inlineStr">
        <is>
          <t>改定前積み増し率</t>
        </is>
      </c>
      <c r="D36" s="18" t="inlineStr"/>
      <c r="E36" s="19" t="n">
        <v>0.15</v>
      </c>
      <c r="F36" s="18" t="inlineStr">
        <is>
          <t>%</t>
        </is>
      </c>
      <c r="G36" s="18" t="inlineStr">
        <is>
          <t>薬価改定前の卸積み増し率</t>
        </is>
      </c>
    </row>
    <row r="37" ht="17" customHeight="1">
      <c r="B37" s="18" t="inlineStr">
        <is>
          <t>在庫</t>
        </is>
      </c>
      <c r="C37" s="18" t="inlineStr">
        <is>
          <t>改定後調整率</t>
        </is>
      </c>
      <c r="D37" s="18" t="inlineStr"/>
      <c r="E37" s="19" t="n">
        <v>-0.1</v>
      </c>
      <c r="F37" s="18" t="inlineStr">
        <is>
          <t>%</t>
        </is>
      </c>
      <c r="G37" s="18" t="inlineStr">
        <is>
          <t>改定後の在庫取り崩し率</t>
        </is>
      </c>
    </row>
    <row r="38" ht="20" customHeight="1">
      <c r="B38" s="9" t="inlineStr">
        <is>
          <t>【 SKUミックス 】</t>
        </is>
      </c>
      <c r="C38" s="33" t="n"/>
      <c r="D38" s="33" t="n"/>
      <c r="E38" s="33" t="n"/>
      <c r="F38" s="33" t="n"/>
      <c r="G38" s="34" t="n"/>
    </row>
    <row r="39" ht="17" customHeight="1">
      <c r="B39" s="20" t="inlineStr">
        <is>
          <t>SKUミックス</t>
        </is>
      </c>
      <c r="C39" s="20" t="inlineStr">
        <is>
          <t>SKU0101 トレンド係数</t>
        </is>
      </c>
      <c r="D39" s="20" t="inlineStr">
        <is>
          <t>SKU0101</t>
        </is>
      </c>
      <c r="E39" s="21" t="inlineStr"/>
      <c r="F39" s="20" t="inlineStr">
        <is>
          <t>自動算出</t>
        </is>
      </c>
      <c r="G39" s="20" t="inlineStr">
        <is>
          <t>TREND関数の結果を上書き可</t>
        </is>
      </c>
    </row>
    <row r="40" ht="17" customHeight="1">
      <c r="B40" s="20" t="inlineStr">
        <is>
          <t>SKUミックス</t>
        </is>
      </c>
      <c r="C40" s="20" t="inlineStr">
        <is>
          <t>SKU0102 トレンド係数</t>
        </is>
      </c>
      <c r="D40" s="20" t="inlineStr">
        <is>
          <t>SKU0102</t>
        </is>
      </c>
      <c r="E40" s="21" t="inlineStr"/>
      <c r="F40" s="20" t="inlineStr">
        <is>
          <t>自動算出</t>
        </is>
      </c>
      <c r="G40" s="20" t="inlineStr">
        <is>
          <t>TREND関数の結果を上書き可</t>
        </is>
      </c>
    </row>
    <row r="41" ht="17" customHeight="1">
      <c r="B41" s="20" t="inlineStr">
        <is>
          <t>SKUミックス</t>
        </is>
      </c>
      <c r="C41" s="20" t="inlineStr">
        <is>
          <t>SKU0201 トレンド係数</t>
        </is>
      </c>
      <c r="D41" s="20" t="inlineStr">
        <is>
          <t>SKU0201</t>
        </is>
      </c>
      <c r="E41" s="21" t="inlineStr"/>
      <c r="F41" s="20" t="inlineStr">
        <is>
          <t>自動算出</t>
        </is>
      </c>
      <c r="G41" s="20" t="inlineStr">
        <is>
          <t>TREND関数の結果を上書き可</t>
        </is>
      </c>
    </row>
    <row r="42" ht="17" customHeight="1">
      <c r="B42" s="20" t="inlineStr">
        <is>
          <t>SKUミックス</t>
        </is>
      </c>
      <c r="C42" s="20" t="inlineStr">
        <is>
          <t>SKU0202 トレンド係数</t>
        </is>
      </c>
      <c r="D42" s="20" t="inlineStr">
        <is>
          <t>SKU0202</t>
        </is>
      </c>
      <c r="E42" s="21" t="inlineStr"/>
      <c r="F42" s="20" t="inlineStr">
        <is>
          <t>自動算出</t>
        </is>
      </c>
      <c r="G42" s="20" t="inlineStr">
        <is>
          <t>TREND関数の結果を上書き可</t>
        </is>
      </c>
    </row>
    <row r="43" ht="17" customHeight="1">
      <c r="B43" s="20" t="inlineStr">
        <is>
          <t>SKUミックス</t>
        </is>
      </c>
      <c r="C43" s="20" t="inlineStr">
        <is>
          <t>SKU0301 トレンド係数</t>
        </is>
      </c>
      <c r="D43" s="20" t="inlineStr">
        <is>
          <t>SKU0301</t>
        </is>
      </c>
      <c r="E43" s="21" t="inlineStr"/>
      <c r="F43" s="20" t="inlineStr">
        <is>
          <t>自動算出</t>
        </is>
      </c>
      <c r="G43" s="20" t="inlineStr">
        <is>
          <t>TREND関数の結果を上書き可</t>
        </is>
      </c>
    </row>
    <row r="44" ht="17" customHeight="1">
      <c r="B44" s="20" t="inlineStr">
        <is>
          <t>SKUミックス</t>
        </is>
      </c>
      <c r="C44" s="20" t="inlineStr">
        <is>
          <t>SKU0302 トレンド係数</t>
        </is>
      </c>
      <c r="D44" s="20" t="inlineStr">
        <is>
          <t>SKU0302</t>
        </is>
      </c>
      <c r="E44" s="21" t="inlineStr"/>
      <c r="F44" s="20" t="inlineStr">
        <is>
          <t>自動算出</t>
        </is>
      </c>
      <c r="G44" s="20" t="inlineStr">
        <is>
          <t>TREND関数の結果を上書き可</t>
        </is>
      </c>
    </row>
    <row r="45" ht="17" customHeight="1">
      <c r="B45" s="20" t="inlineStr">
        <is>
          <t>SKUミックス</t>
        </is>
      </c>
      <c r="C45" s="20" t="inlineStr">
        <is>
          <t>SKU0401 トレンド係数</t>
        </is>
      </c>
      <c r="D45" s="20" t="inlineStr">
        <is>
          <t>SKU0401</t>
        </is>
      </c>
      <c r="E45" s="21" t="inlineStr"/>
      <c r="F45" s="20" t="inlineStr">
        <is>
          <t>自動算出</t>
        </is>
      </c>
      <c r="G45" s="20" t="inlineStr">
        <is>
          <t>TREND関数の結果を上書き可</t>
        </is>
      </c>
    </row>
    <row r="46" ht="20" customHeight="1">
      <c r="B46" s="9" t="inlineStr">
        <is>
          <t>【 通貨 】</t>
        </is>
      </c>
      <c r="C46" s="33" t="n"/>
      <c r="D46" s="33" t="n"/>
      <c r="E46" s="33" t="n"/>
      <c r="F46" s="33" t="n"/>
      <c r="G46" s="34" t="n"/>
    </row>
    <row r="47" ht="17" customHeight="1">
      <c r="B47" s="22" t="inlineStr">
        <is>
          <t>通貨</t>
        </is>
      </c>
      <c r="C47" s="22" t="inlineStr">
        <is>
          <t>予測仮定レート（JPY/USD）</t>
        </is>
      </c>
      <c r="D47" s="22" t="inlineStr"/>
      <c r="E47" s="23" t="n">
        <v>150</v>
      </c>
      <c r="F47" s="22" t="inlineStr">
        <is>
          <t>円/USD</t>
        </is>
      </c>
      <c r="G47" s="22" t="inlineStr">
        <is>
          <t>直近実績レートを初期値とする</t>
        </is>
      </c>
    </row>
    <row r="48" ht="20" customHeight="1">
      <c r="B48" s="9" t="inlineStr">
        <is>
          <t>【 シナリオ 】</t>
        </is>
      </c>
      <c r="C48" s="33" t="n"/>
      <c r="D48" s="33" t="n"/>
      <c r="E48" s="33" t="n"/>
      <c r="F48" s="33" t="n"/>
      <c r="G48" s="34" t="n"/>
    </row>
    <row r="49" ht="17" customHeight="1">
      <c r="B49" s="24" t="inlineStr">
        <is>
          <t>シナリオ</t>
        </is>
      </c>
      <c r="C49" s="24" t="inlineStr">
        <is>
          <t>楽観シナリオ 調整幅</t>
        </is>
      </c>
      <c r="D49" s="24" t="inlineStr"/>
      <c r="E49" s="25" t="n">
        <v>0.1</v>
      </c>
      <c r="F49" s="24" t="inlineStr">
        <is>
          <t>%</t>
        </is>
      </c>
      <c r="G49" s="24" t="inlineStr">
        <is>
          <t>ベースから+10%を初期値</t>
        </is>
      </c>
    </row>
    <row r="50" ht="17" customHeight="1">
      <c r="B50" s="24" t="inlineStr">
        <is>
          <t>シナリオ</t>
        </is>
      </c>
      <c r="C50" s="24" t="inlineStr">
        <is>
          <t>悲観シナリオ 調整幅</t>
        </is>
      </c>
      <c r="D50" s="24" t="inlineStr"/>
      <c r="E50" s="25" t="n">
        <v>-0.1</v>
      </c>
      <c r="F50" s="24" t="inlineStr">
        <is>
          <t>%</t>
        </is>
      </c>
      <c r="G50" s="24" t="inlineStr">
        <is>
          <t>ベースから-10%を初期値</t>
        </is>
      </c>
    </row>
  </sheetData>
  <mergeCells count="9">
    <mergeCell ref="B3:G3"/>
    <mergeCell ref="B38:G38"/>
    <mergeCell ref="B46:G46"/>
    <mergeCell ref="B22:G22"/>
    <mergeCell ref="B27:G27"/>
    <mergeCell ref="B9:G9"/>
    <mergeCell ref="B1:G1"/>
    <mergeCell ref="B32:G32"/>
    <mergeCell ref="B48:G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26" t="inlineStr">
        <is>
          <t>therapeutic_area_id</t>
        </is>
      </c>
      <c r="B1" s="26" t="inlineStr">
        <is>
          <t>name</t>
        </is>
      </c>
    </row>
    <row r="2">
      <c r="A2" s="5" t="inlineStr">
        <is>
          <t>TA01</t>
        </is>
      </c>
      <c r="B2" s="5" t="inlineStr">
        <is>
          <t>代謝・内分泌領域</t>
        </is>
      </c>
    </row>
    <row r="3">
      <c r="A3" s="4" t="inlineStr">
        <is>
          <t>TA02</t>
        </is>
      </c>
      <c r="B3" s="4" t="inlineStr">
        <is>
          <t>循環器領域</t>
        </is>
      </c>
    </row>
    <row r="4">
      <c r="A4" s="5" t="inlineStr">
        <is>
          <t>TA03</t>
        </is>
      </c>
      <c r="B4" s="5" t="inlineStr">
        <is>
          <t>腫瘍支持療法領域</t>
        </is>
      </c>
    </row>
    <row r="5">
      <c r="A5" s="4" t="inlineStr">
        <is>
          <t>TA04</t>
        </is>
      </c>
      <c r="B5" s="4" t="inlineStr">
        <is>
          <t>免疫炎症領域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3" customWidth="1" min="3" max="3"/>
    <col width="14" customWidth="1" min="4" max="4"/>
  </cols>
  <sheetData>
    <row r="1">
      <c r="A1" s="26" t="inlineStr">
        <is>
          <t>ingredient_id</t>
        </is>
      </c>
      <c r="B1" s="26" t="inlineStr">
        <is>
          <t>therapeutic_area_id</t>
        </is>
      </c>
      <c r="C1" s="26" t="inlineStr">
        <is>
          <t>name</t>
        </is>
      </c>
      <c r="D1" s="26" t="inlineStr">
        <is>
          <t>drug_type</t>
        </is>
      </c>
    </row>
    <row r="2">
      <c r="A2" s="5" t="inlineStr">
        <is>
          <t>ING01</t>
        </is>
      </c>
      <c r="B2" s="5" t="inlineStr">
        <is>
          <t>TA01</t>
        </is>
      </c>
      <c r="C2" s="5" t="inlineStr">
        <is>
          <t>メトホルミン塩酸塩</t>
        </is>
      </c>
      <c r="D2" s="5" t="inlineStr">
        <is>
          <t>generic</t>
        </is>
      </c>
    </row>
    <row r="3">
      <c r="A3" s="4" t="inlineStr">
        <is>
          <t>ING02</t>
        </is>
      </c>
      <c r="B3" s="4" t="inlineStr">
        <is>
          <t>TA02</t>
        </is>
      </c>
      <c r="C3" s="4" t="inlineStr">
        <is>
          <t>アトルバスタチン</t>
        </is>
      </c>
      <c r="D3" s="4" t="inlineStr">
        <is>
          <t>generic</t>
        </is>
      </c>
    </row>
    <row r="4">
      <c r="A4" s="5" t="inlineStr">
        <is>
          <t>ING03</t>
        </is>
      </c>
      <c r="B4" s="5" t="inlineStr">
        <is>
          <t>TA03</t>
        </is>
      </c>
      <c r="C4" s="5" t="inlineStr">
        <is>
          <t>フィルグラスチム</t>
        </is>
      </c>
      <c r="D4" s="5" t="inlineStr">
        <is>
          <t>biosimilar</t>
        </is>
      </c>
    </row>
    <row r="5">
      <c r="A5" s="4" t="inlineStr">
        <is>
          <t>ING04</t>
        </is>
      </c>
      <c r="B5" s="4" t="inlineStr">
        <is>
          <t>TA04</t>
        </is>
      </c>
      <c r="C5" s="4" t="inlineStr">
        <is>
          <t>インフリキシマブ</t>
        </is>
      </c>
      <c r="D5" s="4" t="inlineStr">
        <is>
          <t>biosimilar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4" customWidth="1" min="3" max="3"/>
    <col width="14" customWidth="1" min="4" max="4"/>
  </cols>
  <sheetData>
    <row r="1">
      <c r="A1" s="26" t="inlineStr">
        <is>
          <t>product_id</t>
        </is>
      </c>
      <c r="B1" s="26" t="inlineStr">
        <is>
          <t>ingredient_id</t>
        </is>
      </c>
      <c r="C1" s="26" t="inlineStr">
        <is>
          <t>product_name</t>
        </is>
      </c>
      <c r="D1" s="26" t="inlineStr">
        <is>
          <t>type</t>
        </is>
      </c>
    </row>
    <row r="2">
      <c r="A2" s="5" t="inlineStr">
        <is>
          <t>PROD01</t>
        </is>
      </c>
      <c r="B2" s="5" t="inlineStr">
        <is>
          <t>ING01</t>
        </is>
      </c>
      <c r="C2" s="5" t="inlineStr">
        <is>
          <t>メトグルコGE「サンド」</t>
        </is>
      </c>
      <c r="D2" s="5" t="inlineStr">
        <is>
          <t>generic</t>
        </is>
      </c>
    </row>
    <row r="3">
      <c r="A3" s="4" t="inlineStr">
        <is>
          <t>PROD02</t>
        </is>
      </c>
      <c r="B3" s="4" t="inlineStr">
        <is>
          <t>ING02</t>
        </is>
      </c>
      <c r="C3" s="4" t="inlineStr">
        <is>
          <t>アトルバスタチンOD錠「サンド」</t>
        </is>
      </c>
      <c r="D3" s="4" t="inlineStr">
        <is>
          <t>generic</t>
        </is>
      </c>
    </row>
    <row r="4">
      <c r="A4" s="5" t="inlineStr">
        <is>
          <t>PROD03</t>
        </is>
      </c>
      <c r="B4" s="5" t="inlineStr">
        <is>
          <t>ING03</t>
        </is>
      </c>
      <c r="C4" s="5" t="inlineStr">
        <is>
          <t>フィルグラスチムBS注「サンド」</t>
        </is>
      </c>
      <c r="D4" s="5" t="inlineStr">
        <is>
          <t>biosimilar</t>
        </is>
      </c>
    </row>
    <row r="5">
      <c r="A5" s="4" t="inlineStr">
        <is>
          <t>PROD04</t>
        </is>
      </c>
      <c r="B5" s="4" t="inlineStr">
        <is>
          <t>ING04</t>
        </is>
      </c>
      <c r="C5" s="4" t="inlineStr">
        <is>
          <t>インフリキシマブBS点滴静注用「サンド」</t>
        </is>
      </c>
      <c r="D5" s="4" t="inlineStr">
        <is>
          <t>biosimilar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6" customWidth="1" min="3" max="3"/>
    <col width="16" customWidth="1" min="4" max="4"/>
    <col width="15" customWidth="1" min="5" max="5"/>
    <col width="8" customWidth="1" min="6" max="6"/>
    <col width="17" customWidth="1" min="7" max="7"/>
    <col width="15" customWidth="1" min="8" max="8"/>
  </cols>
  <sheetData>
    <row r="1">
      <c r="A1" s="26" t="inlineStr">
        <is>
          <t>sku_id</t>
        </is>
      </c>
      <c r="B1" s="26" t="inlineStr">
        <is>
          <t>product_id</t>
        </is>
      </c>
      <c r="C1" s="26" t="inlineStr">
        <is>
          <t>package_form</t>
        </is>
      </c>
      <c r="D1" s="26" t="inlineStr">
        <is>
          <t>package_size</t>
        </is>
      </c>
      <c r="E1" s="26" t="inlineStr">
        <is>
          <t>strength</t>
        </is>
      </c>
      <c r="F1" s="26" t="inlineStr">
        <is>
          <t>unit</t>
        </is>
      </c>
      <c r="G1" s="26" t="inlineStr">
        <is>
          <t>jan_code</t>
        </is>
      </c>
      <c r="H1" s="26" t="inlineStr">
        <is>
          <t>launch_date</t>
        </is>
      </c>
    </row>
    <row r="2">
      <c r="A2" s="5" t="inlineStr">
        <is>
          <t>SKU0101</t>
        </is>
      </c>
      <c r="B2" s="5" t="inlineStr">
        <is>
          <t>PROD01</t>
        </is>
      </c>
      <c r="C2" s="5" t="inlineStr">
        <is>
          <t>PTP</t>
        </is>
      </c>
      <c r="D2" s="5" t="inlineStr">
        <is>
          <t>100錠/シート</t>
        </is>
      </c>
      <c r="E2" s="5" t="inlineStr">
        <is>
          <t>250mg</t>
        </is>
      </c>
      <c r="F2" s="5" t="inlineStr">
        <is>
          <t>錠</t>
        </is>
      </c>
      <c r="G2" s="5" t="n">
        <v>4987001010101</v>
      </c>
      <c r="H2" s="5" t="inlineStr">
        <is>
          <t>2018-04-01</t>
        </is>
      </c>
    </row>
    <row r="3">
      <c r="A3" s="4" t="inlineStr">
        <is>
          <t>SKU0102</t>
        </is>
      </c>
      <c r="B3" s="4" t="inlineStr">
        <is>
          <t>PROD01</t>
        </is>
      </c>
      <c r="C3" s="4" t="inlineStr">
        <is>
          <t>バラ包装</t>
        </is>
      </c>
      <c r="D3" s="4" t="inlineStr">
        <is>
          <t>500錠/瓶</t>
        </is>
      </c>
      <c r="E3" s="4" t="inlineStr">
        <is>
          <t>250mg</t>
        </is>
      </c>
      <c r="F3" s="4" t="inlineStr">
        <is>
          <t>錠</t>
        </is>
      </c>
      <c r="G3" s="4" t="n">
        <v>4987001010102</v>
      </c>
      <c r="H3" s="4" t="inlineStr">
        <is>
          <t>2018-04-01</t>
        </is>
      </c>
    </row>
    <row r="4">
      <c r="A4" s="5" t="inlineStr">
        <is>
          <t>SKU0201</t>
        </is>
      </c>
      <c r="B4" s="5" t="inlineStr">
        <is>
          <t>PROD02</t>
        </is>
      </c>
      <c r="C4" s="5" t="inlineStr">
        <is>
          <t>PTP</t>
        </is>
      </c>
      <c r="D4" s="5" t="inlineStr">
        <is>
          <t>100錠/シート</t>
        </is>
      </c>
      <c r="E4" s="5" t="inlineStr">
        <is>
          <t>10mg</t>
        </is>
      </c>
      <c r="F4" s="5" t="inlineStr">
        <is>
          <t>錠</t>
        </is>
      </c>
      <c r="G4" s="5" t="n">
        <v>4987002020201</v>
      </c>
      <c r="H4" s="5" t="inlineStr">
        <is>
          <t>2015-06-01</t>
        </is>
      </c>
    </row>
    <row r="5">
      <c r="A5" s="4" t="inlineStr">
        <is>
          <t>SKU0202</t>
        </is>
      </c>
      <c r="B5" s="4" t="inlineStr">
        <is>
          <t>PROD02</t>
        </is>
      </c>
      <c r="C5" s="4" t="inlineStr">
        <is>
          <t>PTP</t>
        </is>
      </c>
      <c r="D5" s="4" t="inlineStr">
        <is>
          <t>100錠/シート</t>
        </is>
      </c>
      <c r="E5" s="4" t="inlineStr">
        <is>
          <t>20mg</t>
        </is>
      </c>
      <c r="F5" s="4" t="inlineStr">
        <is>
          <t>錠</t>
        </is>
      </c>
      <c r="G5" s="4" t="n">
        <v>4987002020202</v>
      </c>
      <c r="H5" s="4" t="inlineStr">
        <is>
          <t>2015-06-01</t>
        </is>
      </c>
    </row>
    <row r="6">
      <c r="A6" s="5" t="inlineStr">
        <is>
          <t>SKU0301</t>
        </is>
      </c>
      <c r="B6" s="5" t="inlineStr">
        <is>
          <t>PROD03</t>
        </is>
      </c>
      <c r="C6" s="5" t="inlineStr">
        <is>
          <t>バイアル</t>
        </is>
      </c>
      <c r="D6" s="5" t="inlineStr">
        <is>
          <t>1本/箱</t>
        </is>
      </c>
      <c r="E6" s="5" t="inlineStr">
        <is>
          <t>75μg/0.3mL</t>
        </is>
      </c>
      <c r="F6" s="5" t="inlineStr">
        <is>
          <t>本</t>
        </is>
      </c>
      <c r="G6" s="5" t="n">
        <v>4987003030301</v>
      </c>
      <c r="H6" s="5" t="inlineStr">
        <is>
          <t>2021-09-01</t>
        </is>
      </c>
    </row>
    <row r="7">
      <c r="A7" s="4" t="inlineStr">
        <is>
          <t>SKU0302</t>
        </is>
      </c>
      <c r="B7" s="4" t="inlineStr">
        <is>
          <t>PROD03</t>
        </is>
      </c>
      <c r="C7" s="4" t="inlineStr">
        <is>
          <t>バイアル</t>
        </is>
      </c>
      <c r="D7" s="4" t="inlineStr">
        <is>
          <t>1本/箱</t>
        </is>
      </c>
      <c r="E7" s="4" t="inlineStr">
        <is>
          <t>150μg/0.5mL</t>
        </is>
      </c>
      <c r="F7" s="4" t="inlineStr">
        <is>
          <t>本</t>
        </is>
      </c>
      <c r="G7" s="4" t="n">
        <v>4987003030302</v>
      </c>
      <c r="H7" s="4" t="inlineStr">
        <is>
          <t>2021-09-01</t>
        </is>
      </c>
    </row>
    <row r="8">
      <c r="A8" s="5" t="inlineStr">
        <is>
          <t>SKU0401</t>
        </is>
      </c>
      <c r="B8" s="5" t="inlineStr">
        <is>
          <t>PROD04</t>
        </is>
      </c>
      <c r="C8" s="5" t="inlineStr">
        <is>
          <t>バイアル</t>
        </is>
      </c>
      <c r="D8" s="5" t="inlineStr">
        <is>
          <t>1本/箱</t>
        </is>
      </c>
      <c r="E8" s="5" t="inlineStr">
        <is>
          <t>100mg</t>
        </is>
      </c>
      <c r="F8" s="5" t="inlineStr">
        <is>
          <t>本</t>
        </is>
      </c>
      <c r="G8" s="5" t="n">
        <v>4987004040401</v>
      </c>
      <c r="H8" s="5" t="inlineStr">
        <is>
          <t>2022-01-01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7" customWidth="1" min="4" max="4"/>
    <col width="21" customWidth="1" min="5" max="5"/>
    <col width="16" customWidth="1" min="6" max="6"/>
    <col width="21" customWidth="1" min="7" max="7"/>
    <col width="24" customWidth="1" min="8" max="8"/>
  </cols>
  <sheetData>
    <row r="1">
      <c r="A1" s="26" t="inlineStr">
        <is>
          <t>event_date</t>
        </is>
      </c>
      <c r="B1" s="26" t="inlineStr">
        <is>
          <t>event_type</t>
        </is>
      </c>
      <c r="C1" s="26" t="inlineStr">
        <is>
          <t>impact_scope</t>
        </is>
      </c>
      <c r="D1" s="26" t="inlineStr">
        <is>
          <t>impact_target</t>
        </is>
      </c>
      <c r="E1" s="26" t="inlineStr">
        <is>
          <t>impact_parameter</t>
        </is>
      </c>
      <c r="F1" s="26" t="inlineStr">
        <is>
          <t>impact_value</t>
        </is>
      </c>
      <c r="G1" s="26" t="inlineStr">
        <is>
          <t>effect_lag_months</t>
        </is>
      </c>
      <c r="H1" s="26" t="inlineStr">
        <is>
          <t>memo</t>
        </is>
      </c>
    </row>
    <row r="2">
      <c r="A2" s="5" t="inlineStr">
        <is>
          <t>2024-04</t>
        </is>
      </c>
      <c r="B2" s="5" t="inlineStr">
        <is>
          <t>通常薬価改定</t>
        </is>
      </c>
      <c r="C2" s="5" t="inlineStr">
        <is>
          <t>全製品</t>
        </is>
      </c>
      <c r="D2" s="5" t="inlineStr">
        <is>
          <t>price</t>
        </is>
      </c>
      <c r="E2" s="5" t="inlineStr">
        <is>
          <t>price_change_rate</t>
        </is>
      </c>
      <c r="F2" s="5" t="n">
        <v>-0.055</v>
      </c>
      <c r="G2" s="5" t="n">
        <v>0</v>
      </c>
      <c r="H2" s="5" t="inlineStr">
        <is>
          <t>NHI薬価改定（ダミー想定値）</t>
        </is>
      </c>
    </row>
    <row r="3">
      <c r="A3" s="4" t="inlineStr">
        <is>
          <t>2025-04</t>
        </is>
      </c>
      <c r="B3" s="4" t="inlineStr">
        <is>
          <t>中間年改定</t>
        </is>
      </c>
      <c r="C3" s="4" t="inlineStr">
        <is>
          <t>全製品</t>
        </is>
      </c>
      <c r="D3" s="4" t="inlineStr">
        <is>
          <t>price</t>
        </is>
      </c>
      <c r="E3" s="4" t="inlineStr">
        <is>
          <t>price_change_rate</t>
        </is>
      </c>
      <c r="F3" s="4" t="n">
        <v>-0.03</v>
      </c>
      <c r="G3" s="4" t="n">
        <v>0</v>
      </c>
      <c r="H3" s="4" t="inlineStr">
        <is>
          <t>NHI薬価改定（ダミー想定値）</t>
        </is>
      </c>
    </row>
    <row r="4">
      <c r="A4" s="5" t="inlineStr">
        <is>
          <t>2026-04</t>
        </is>
      </c>
      <c r="B4" s="5" t="inlineStr">
        <is>
          <t>通常薬価改定</t>
        </is>
      </c>
      <c r="C4" s="5" t="inlineStr">
        <is>
          <t>全製品</t>
        </is>
      </c>
      <c r="D4" s="5" t="inlineStr">
        <is>
          <t>price</t>
        </is>
      </c>
      <c r="E4" s="5" t="inlineStr">
        <is>
          <t>price_change_rate</t>
        </is>
      </c>
      <c r="F4" s="5" t="n">
        <v>-0.06</v>
      </c>
      <c r="G4" s="5" t="n">
        <v>0</v>
      </c>
      <c r="H4" s="5" t="inlineStr">
        <is>
          <t>NHI薬価改定（ダミー想定値）</t>
        </is>
      </c>
    </row>
    <row r="5">
      <c r="A5" s="4" t="inlineStr">
        <is>
          <t>2026-06</t>
        </is>
      </c>
      <c r="B5" s="4" t="inlineStr">
        <is>
          <t>バイオ後続品使用促進策強化</t>
        </is>
      </c>
      <c r="C5" s="4" t="inlineStr">
        <is>
          <t>後発品対象</t>
        </is>
      </c>
      <c r="D5" s="4" t="inlineStr">
        <is>
          <t>penetration</t>
        </is>
      </c>
      <c r="E5" s="4" t="inlineStr">
        <is>
          <t>pen_L_delta</t>
        </is>
      </c>
      <c r="F5" s="4" t="n">
        <v>0.05</v>
      </c>
      <c r="G5" s="4" t="n">
        <v>3</v>
      </c>
      <c r="H5" s="4" t="inlineStr">
        <is>
          <t>浸透率上限+5pp（3ヶ月で漸増）</t>
        </is>
      </c>
    </row>
    <row r="6">
      <c r="A6" s="5" t="inlineStr">
        <is>
          <t>2026-06</t>
        </is>
      </c>
      <c r="B6" s="5" t="inlineStr">
        <is>
          <t>バイオ後続品使用促進策強化</t>
        </is>
      </c>
      <c r="C6" s="5" t="inlineStr">
        <is>
          <t>後発品対象</t>
        </is>
      </c>
      <c r="D6" s="5" t="inlineStr">
        <is>
          <t>penetration</t>
        </is>
      </c>
      <c r="E6" s="5" t="inlineStr">
        <is>
          <t>pen_k_delta</t>
        </is>
      </c>
      <c r="F6" s="5" t="n">
        <v>0.02</v>
      </c>
      <c r="G6" s="5" t="n">
        <v>3</v>
      </c>
      <c r="H6" s="5" t="inlineStr">
        <is>
          <t>立ち上がり速度+0.02（3ヶ月で漸増）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5" customWidth="1" min="3" max="3"/>
    <col width="14" customWidth="1" min="4" max="4"/>
    <col width="14" customWidth="1" min="5" max="5"/>
  </cols>
  <sheetData>
    <row r="1">
      <c r="A1" s="26" t="inlineStr">
        <is>
          <t>rate_type</t>
        </is>
      </c>
      <c r="B1" s="26" t="inlineStr">
        <is>
          <t>period</t>
        </is>
      </c>
      <c r="C1" s="26" t="inlineStr">
        <is>
          <t>jpy_per_usd</t>
        </is>
      </c>
      <c r="D1" s="26" t="inlineStr">
        <is>
          <t>updated_by</t>
        </is>
      </c>
      <c r="E1" s="26" t="inlineStr">
        <is>
          <t>updated_at</t>
        </is>
      </c>
    </row>
    <row r="2">
      <c r="A2" s="5" t="inlineStr">
        <is>
          <t>historical</t>
        </is>
      </c>
      <c r="B2" s="5" t="inlineStr">
        <is>
          <t>2023-01</t>
        </is>
      </c>
      <c r="C2" s="5" t="n">
        <v>130.5</v>
      </c>
      <c r="D2" s="5" t="inlineStr">
        <is>
          <t>system</t>
        </is>
      </c>
      <c r="E2" s="5" t="inlineStr">
        <is>
          <t>2026-06-19</t>
        </is>
      </c>
    </row>
    <row r="3">
      <c r="A3" s="4" t="inlineStr">
        <is>
          <t>historical</t>
        </is>
      </c>
      <c r="B3" s="4" t="inlineStr">
        <is>
          <t>2023-04</t>
        </is>
      </c>
      <c r="C3" s="4" t="n">
        <v>133.1</v>
      </c>
      <c r="D3" s="4" t="inlineStr">
        <is>
          <t>system</t>
        </is>
      </c>
      <c r="E3" s="4" t="inlineStr">
        <is>
          <t>2026-06-19</t>
        </is>
      </c>
    </row>
    <row r="4">
      <c r="A4" s="5" t="inlineStr">
        <is>
          <t>historical</t>
        </is>
      </c>
      <c r="B4" s="5" t="inlineStr">
        <is>
          <t>2023-07</t>
        </is>
      </c>
      <c r="C4" s="5" t="n">
        <v>141.8</v>
      </c>
      <c r="D4" s="5" t="inlineStr">
        <is>
          <t>system</t>
        </is>
      </c>
      <c r="E4" s="5" t="inlineStr">
        <is>
          <t>2026-06-19</t>
        </is>
      </c>
    </row>
    <row r="5">
      <c r="A5" s="4" t="inlineStr">
        <is>
          <t>historical</t>
        </is>
      </c>
      <c r="B5" s="4" t="inlineStr">
        <is>
          <t>2023-10</t>
        </is>
      </c>
      <c r="C5" s="4" t="n">
        <v>149.2</v>
      </c>
      <c r="D5" s="4" t="inlineStr">
        <is>
          <t>system</t>
        </is>
      </c>
      <c r="E5" s="4" t="inlineStr">
        <is>
          <t>2026-06-19</t>
        </is>
      </c>
    </row>
    <row r="6">
      <c r="A6" s="5" t="inlineStr">
        <is>
          <t>historical</t>
        </is>
      </c>
      <c r="B6" s="5" t="inlineStr">
        <is>
          <t>2024-01</t>
        </is>
      </c>
      <c r="C6" s="5" t="n">
        <v>148</v>
      </c>
      <c r="D6" s="5" t="inlineStr">
        <is>
          <t>system</t>
        </is>
      </c>
      <c r="E6" s="5" t="inlineStr">
        <is>
          <t>2026-06-19</t>
        </is>
      </c>
    </row>
    <row r="7">
      <c r="A7" s="4" t="inlineStr">
        <is>
          <t>historical</t>
        </is>
      </c>
      <c r="B7" s="4" t="inlineStr">
        <is>
          <t>2024-04</t>
        </is>
      </c>
      <c r="C7" s="4" t="n">
        <v>151.9</v>
      </c>
      <c r="D7" s="4" t="inlineStr">
        <is>
          <t>system</t>
        </is>
      </c>
      <c r="E7" s="4" t="inlineStr">
        <is>
          <t>2026-06-19</t>
        </is>
      </c>
    </row>
    <row r="8">
      <c r="A8" s="5" t="inlineStr">
        <is>
          <t>historical</t>
        </is>
      </c>
      <c r="B8" s="5" t="inlineStr">
        <is>
          <t>2024-07</t>
        </is>
      </c>
      <c r="C8" s="5" t="n">
        <v>153.2</v>
      </c>
      <c r="D8" s="5" t="inlineStr">
        <is>
          <t>system</t>
        </is>
      </c>
      <c r="E8" s="5" t="inlineStr">
        <is>
          <t>2026-06-19</t>
        </is>
      </c>
    </row>
    <row r="9">
      <c r="A9" s="4" t="inlineStr">
        <is>
          <t>historical</t>
        </is>
      </c>
      <c r="B9" s="4" t="inlineStr">
        <is>
          <t>2024-10</t>
        </is>
      </c>
      <c r="C9" s="4" t="n">
        <v>150.1</v>
      </c>
      <c r="D9" s="4" t="inlineStr">
        <is>
          <t>system</t>
        </is>
      </c>
      <c r="E9" s="4" t="inlineStr">
        <is>
          <t>2026-06-19</t>
        </is>
      </c>
    </row>
    <row r="10">
      <c r="A10" s="5" t="inlineStr">
        <is>
          <t>historical</t>
        </is>
      </c>
      <c r="B10" s="5" t="inlineStr">
        <is>
          <t>2025-01</t>
        </is>
      </c>
      <c r="C10" s="5" t="n">
        <v>155</v>
      </c>
      <c r="D10" s="5" t="inlineStr">
        <is>
          <t>system</t>
        </is>
      </c>
      <c r="E10" s="5" t="inlineStr">
        <is>
          <t>2026-06-19</t>
        </is>
      </c>
    </row>
    <row r="11">
      <c r="A11" s="4" t="inlineStr">
        <is>
          <t>historical</t>
        </is>
      </c>
      <c r="B11" s="4" t="inlineStr">
        <is>
          <t>2025-04</t>
        </is>
      </c>
      <c r="C11" s="4" t="n">
        <v>148.3</v>
      </c>
      <c r="D11" s="4" t="inlineStr">
        <is>
          <t>system</t>
        </is>
      </c>
      <c r="E11" s="4" t="inlineStr">
        <is>
          <t>2026-06-19</t>
        </is>
      </c>
    </row>
    <row r="12">
      <c r="A12" s="5" t="inlineStr">
        <is>
          <t>historical</t>
        </is>
      </c>
      <c r="B12" s="5" t="inlineStr">
        <is>
          <t>2025-07</t>
        </is>
      </c>
      <c r="C12" s="5" t="n">
        <v>145</v>
      </c>
      <c r="D12" s="5" t="inlineStr">
        <is>
          <t>system</t>
        </is>
      </c>
      <c r="E12" s="5" t="inlineStr">
        <is>
          <t>2026-06-19</t>
        </is>
      </c>
    </row>
    <row r="13">
      <c r="A13" s="4" t="inlineStr">
        <is>
          <t>historical</t>
        </is>
      </c>
      <c r="B13" s="4" t="inlineStr">
        <is>
          <t>2025-10</t>
        </is>
      </c>
      <c r="C13" s="4" t="n">
        <v>149.7</v>
      </c>
      <c r="D13" s="4" t="inlineStr">
        <is>
          <t>system</t>
        </is>
      </c>
      <c r="E13" s="4" t="inlineStr">
        <is>
          <t>2026-06-19</t>
        </is>
      </c>
    </row>
    <row r="14">
      <c r="A14" s="5" t="inlineStr">
        <is>
          <t>historical</t>
        </is>
      </c>
      <c r="B14" s="5" t="inlineStr">
        <is>
          <t>2026-01</t>
        </is>
      </c>
      <c r="C14" s="5" t="n">
        <v>152.4</v>
      </c>
      <c r="D14" s="5" t="inlineStr">
        <is>
          <t>system</t>
        </is>
      </c>
      <c r="E14" s="5" t="inlineStr">
        <is>
          <t>2026-06-19</t>
        </is>
      </c>
    </row>
    <row r="15">
      <c r="A15" s="4" t="inlineStr">
        <is>
          <t>historical</t>
        </is>
      </c>
      <c r="B15" s="4" t="inlineStr">
        <is>
          <t>2026-04</t>
        </is>
      </c>
      <c r="C15" s="4" t="n">
        <v>143.8</v>
      </c>
      <c r="D15" s="4" t="inlineStr">
        <is>
          <t>system</t>
        </is>
      </c>
      <c r="E15" s="4" t="inlineStr">
        <is>
          <t>2026-06-19</t>
        </is>
      </c>
    </row>
    <row r="16">
      <c r="A16" s="5" t="inlineStr">
        <is>
          <t>forecast_assumption</t>
        </is>
      </c>
      <c r="B16" s="5" t="inlineStr">
        <is>
          <t>2026-06</t>
        </is>
      </c>
      <c r="C16" s="5" t="n">
        <v>148</v>
      </c>
      <c r="D16" s="5" t="inlineStr">
        <is>
          <t>system</t>
        </is>
      </c>
      <c r="E16" s="5" t="inlineStr">
        <is>
          <t>2026-06-19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375623"/>
    <outlinePr summaryBelow="1" summaryRight="1"/>
    <pageSetUpPr/>
  </sheetPr>
  <dimension ref="A1:J6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9" customWidth="1" min="3" max="3"/>
    <col width="21" customWidth="1" min="4" max="4"/>
    <col width="30" customWidth="1" min="5" max="5"/>
    <col width="15" customWidth="1" min="6" max="6"/>
    <col width="15" customWidth="1" min="7" max="7"/>
    <col width="18" customWidth="1" min="8" max="8"/>
    <col width="20" customWidth="1" min="9" max="9"/>
    <col width="39" customWidth="1" min="10" max="10"/>
  </cols>
  <sheetData>
    <row r="1">
      <c r="A1" s="27" t="inlineStr">
        <is>
          <t>period</t>
        </is>
      </c>
      <c r="B1" s="27" t="inlineStr">
        <is>
          <t>therapeutic_area</t>
        </is>
      </c>
      <c r="C1" s="27" t="inlineStr">
        <is>
          <t>ingredient_name</t>
        </is>
      </c>
      <c r="D1" s="27" t="inlineStr">
        <is>
          <t>manufacturer_type</t>
        </is>
      </c>
      <c r="E1" s="27" t="inlineStr">
        <is>
          <t>product_name</t>
        </is>
      </c>
      <c r="F1" s="27" t="inlineStr">
        <is>
          <t>formulation</t>
        </is>
      </c>
      <c r="G1" s="27" t="inlineStr">
        <is>
          <t>sales_units</t>
        </is>
      </c>
      <c r="H1" s="27" t="inlineStr">
        <is>
          <t>unit_price_jpy</t>
        </is>
      </c>
      <c r="I1" s="27" t="inlineStr">
        <is>
          <t>sales_amount_jpy</t>
        </is>
      </c>
      <c r="J1" s="27" t="inlineStr">
        <is>
          <t>generic_biosimilar_penetration_rate</t>
        </is>
      </c>
    </row>
    <row r="2">
      <c r="A2" s="5" t="inlineStr">
        <is>
          <t>2023-01</t>
        </is>
      </c>
      <c r="B2" s="5" t="inlineStr">
        <is>
          <t>代謝・内分泌領域</t>
        </is>
      </c>
      <c r="C2" s="5" t="inlineStr">
        <is>
          <t>メトホルミン塩酸塩</t>
        </is>
      </c>
      <c r="D2" s="5" t="inlineStr">
        <is>
          <t>オリジナル</t>
        </is>
      </c>
      <c r="E2" s="5" t="inlineStr">
        <is>
          <t>メトグルコ（オリジナル）</t>
        </is>
      </c>
      <c r="F2" s="5" t="inlineStr">
        <is>
          <t>錠</t>
        </is>
      </c>
      <c r="G2" s="5" t="n">
        <v>124593</v>
      </c>
      <c r="H2" s="5" t="n">
        <v>13</v>
      </c>
      <c r="I2" s="5" t="n">
        <v>1614720</v>
      </c>
      <c r="J2" s="5" t="n">
        <v>0.7936</v>
      </c>
    </row>
    <row r="3">
      <c r="A3" s="4" t="inlineStr">
        <is>
          <t>2023-01</t>
        </is>
      </c>
      <c r="B3" s="4" t="inlineStr">
        <is>
          <t>代謝・内分泌領域</t>
        </is>
      </c>
      <c r="C3" s="4" t="inlineStr">
        <is>
          <t>メトホルミン塩酸塩</t>
        </is>
      </c>
      <c r="D3" s="4" t="inlineStr">
        <is>
          <t>自社</t>
        </is>
      </c>
      <c r="E3" s="4" t="inlineStr">
        <is>
          <t>メトグルコGE「サンド」（自社合計）</t>
        </is>
      </c>
      <c r="F3" s="4" t="inlineStr">
        <is>
          <t>錠</t>
        </is>
      </c>
      <c r="G3" s="4" t="n">
        <v>65873</v>
      </c>
      <c r="H3" s="4" t="n">
        <v>9.6</v>
      </c>
      <c r="I3" s="4" t="n">
        <v>632385</v>
      </c>
      <c r="J3" s="4" t="n">
        <v>0.7936</v>
      </c>
    </row>
    <row r="4">
      <c r="A4" s="5" t="inlineStr">
        <is>
          <t>2023-01</t>
        </is>
      </c>
      <c r="B4" s="5" t="inlineStr">
        <is>
          <t>代謝・内分泌領域</t>
        </is>
      </c>
      <c r="C4" s="5" t="inlineStr">
        <is>
          <t>メトホルミン塩酸塩</t>
        </is>
      </c>
      <c r="D4" s="5" t="inlineStr">
        <is>
          <t>競合A</t>
        </is>
      </c>
      <c r="E4" s="5" t="inlineStr">
        <is>
          <t>競合A社製品</t>
        </is>
      </c>
      <c r="F4" s="5" t="inlineStr">
        <is>
          <t>錠</t>
        </is>
      </c>
      <c r="G4" s="5" t="n">
        <v>238914</v>
      </c>
      <c r="H4" s="5" t="n">
        <v>9.199999999999999</v>
      </c>
      <c r="I4" s="5" t="n">
        <v>2204075</v>
      </c>
      <c r="J4" s="5" t="n">
        <v>0.7936</v>
      </c>
    </row>
    <row r="5">
      <c r="A5" s="4" t="inlineStr">
        <is>
          <t>2023-01</t>
        </is>
      </c>
      <c r="B5" s="4" t="inlineStr">
        <is>
          <t>代謝・内分泌領域</t>
        </is>
      </c>
      <c r="C5" s="4" t="inlineStr">
        <is>
          <t>メトホルミン塩酸塩</t>
        </is>
      </c>
      <c r="D5" s="4" t="inlineStr">
        <is>
          <t>競合B</t>
        </is>
      </c>
      <c r="E5" s="4" t="inlineStr">
        <is>
          <t>競合B社製品</t>
        </is>
      </c>
      <c r="F5" s="4" t="inlineStr">
        <is>
          <t>錠</t>
        </is>
      </c>
      <c r="G5" s="4" t="n">
        <v>174277</v>
      </c>
      <c r="H5" s="4" t="n">
        <v>9.300000000000001</v>
      </c>
      <c r="I5" s="4" t="n">
        <v>1629485</v>
      </c>
      <c r="J5" s="4" t="n">
        <v>0.7936</v>
      </c>
    </row>
    <row r="6">
      <c r="A6" s="5" t="inlineStr">
        <is>
          <t>2023-02</t>
        </is>
      </c>
      <c r="B6" s="5" t="inlineStr">
        <is>
          <t>代謝・内分泌領域</t>
        </is>
      </c>
      <c r="C6" s="5" t="inlineStr">
        <is>
          <t>メトホルミン塩酸塩</t>
        </is>
      </c>
      <c r="D6" s="5" t="inlineStr">
        <is>
          <t>オリジナル</t>
        </is>
      </c>
      <c r="E6" s="5" t="inlineStr">
        <is>
          <t>メトグルコ（オリジナル）</t>
        </is>
      </c>
      <c r="F6" s="5" t="inlineStr">
        <is>
          <t>錠</t>
        </is>
      </c>
      <c r="G6" s="5" t="n">
        <v>116400</v>
      </c>
      <c r="H6" s="5" t="n">
        <v>13</v>
      </c>
      <c r="I6" s="5" t="n">
        <v>1508543</v>
      </c>
      <c r="J6" s="5" t="n">
        <v>0.8067</v>
      </c>
    </row>
    <row r="7">
      <c r="A7" s="4" t="inlineStr">
        <is>
          <t>2023-02</t>
        </is>
      </c>
      <c r="B7" s="4" t="inlineStr">
        <is>
          <t>代謝・内分泌領域</t>
        </is>
      </c>
      <c r="C7" s="4" t="inlineStr">
        <is>
          <t>メトホルミン塩酸塩</t>
        </is>
      </c>
      <c r="D7" s="4" t="inlineStr">
        <is>
          <t>自社</t>
        </is>
      </c>
      <c r="E7" s="4" t="inlineStr">
        <is>
          <t>メトグルコGE「サンド」（自社合計）</t>
        </is>
      </c>
      <c r="F7" s="4" t="inlineStr">
        <is>
          <t>錠</t>
        </is>
      </c>
      <c r="G7" s="4" t="n">
        <v>63452</v>
      </c>
      <c r="H7" s="4" t="n">
        <v>9.6</v>
      </c>
      <c r="I7" s="4" t="n">
        <v>609141</v>
      </c>
      <c r="J7" s="4" t="n">
        <v>0.8067</v>
      </c>
    </row>
    <row r="8">
      <c r="A8" s="5" t="inlineStr">
        <is>
          <t>2023-02</t>
        </is>
      </c>
      <c r="B8" s="5" t="inlineStr">
        <is>
          <t>代謝・内分泌領域</t>
        </is>
      </c>
      <c r="C8" s="5" t="inlineStr">
        <is>
          <t>メトホルミン塩酸塩</t>
        </is>
      </c>
      <c r="D8" s="5" t="inlineStr">
        <is>
          <t>競合A</t>
        </is>
      </c>
      <c r="E8" s="5" t="inlineStr">
        <is>
          <t>競合A社製品</t>
        </is>
      </c>
      <c r="F8" s="5" t="inlineStr">
        <is>
          <t>錠</t>
        </is>
      </c>
      <c r="G8" s="5" t="n">
        <v>221447</v>
      </c>
      <c r="H8" s="5" t="n">
        <v>9.800000000000001</v>
      </c>
      <c r="I8" s="5" t="n">
        <v>2163285</v>
      </c>
      <c r="J8" s="5" t="n">
        <v>0.8067</v>
      </c>
    </row>
    <row r="9">
      <c r="A9" s="4" t="inlineStr">
        <is>
          <t>2023-02</t>
        </is>
      </c>
      <c r="B9" s="4" t="inlineStr">
        <is>
          <t>代謝・内分泌領域</t>
        </is>
      </c>
      <c r="C9" s="4" t="inlineStr">
        <is>
          <t>メトホルミン塩酸塩</t>
        </is>
      </c>
      <c r="D9" s="4" t="inlineStr">
        <is>
          <t>競合B</t>
        </is>
      </c>
      <c r="E9" s="4" t="inlineStr">
        <is>
          <t>競合B社製品</t>
        </is>
      </c>
      <c r="F9" s="4" t="inlineStr">
        <is>
          <t>錠</t>
        </is>
      </c>
      <c r="G9" s="4" t="n">
        <v>200833</v>
      </c>
      <c r="H9" s="4" t="n">
        <v>9.699999999999999</v>
      </c>
      <c r="I9" s="4" t="n">
        <v>1957987</v>
      </c>
      <c r="J9" s="4" t="n">
        <v>0.8067</v>
      </c>
    </row>
    <row r="10">
      <c r="A10" s="5" t="inlineStr">
        <is>
          <t>2023-03</t>
        </is>
      </c>
      <c r="B10" s="5" t="inlineStr">
        <is>
          <t>代謝・内分泌領域</t>
        </is>
      </c>
      <c r="C10" s="5" t="inlineStr">
        <is>
          <t>メトホルミン塩酸塩</t>
        </is>
      </c>
      <c r="D10" s="5" t="inlineStr">
        <is>
          <t>オリジナル</t>
        </is>
      </c>
      <c r="E10" s="5" t="inlineStr">
        <is>
          <t>メトグルコ（オリジナル）</t>
        </is>
      </c>
      <c r="F10" s="5" t="inlineStr">
        <is>
          <t>錠</t>
        </is>
      </c>
      <c r="G10" s="5" t="n">
        <v>112810</v>
      </c>
      <c r="H10" s="5" t="n">
        <v>13</v>
      </c>
      <c r="I10" s="5" t="n">
        <v>1462016</v>
      </c>
      <c r="J10" s="5" t="n">
        <v>0.8265</v>
      </c>
    </row>
    <row r="11">
      <c r="A11" s="4" t="inlineStr">
        <is>
          <t>2023-03</t>
        </is>
      </c>
      <c r="B11" s="4" t="inlineStr">
        <is>
          <t>代謝・内分泌領域</t>
        </is>
      </c>
      <c r="C11" s="4" t="inlineStr">
        <is>
          <t>メトホルミン塩酸塩</t>
        </is>
      </c>
      <c r="D11" s="4" t="inlineStr">
        <is>
          <t>自社</t>
        </is>
      </c>
      <c r="E11" s="4" t="inlineStr">
        <is>
          <t>メトグルコGE「サンド」（自社合計）</t>
        </is>
      </c>
      <c r="F11" s="4" t="inlineStr">
        <is>
          <t>錠</t>
        </is>
      </c>
      <c r="G11" s="4" t="n">
        <v>73226</v>
      </c>
      <c r="H11" s="4" t="n">
        <v>9.6</v>
      </c>
      <c r="I11" s="4" t="n">
        <v>702966</v>
      </c>
      <c r="J11" s="4" t="n">
        <v>0.8265</v>
      </c>
    </row>
    <row r="12">
      <c r="A12" s="5" t="inlineStr">
        <is>
          <t>2023-03</t>
        </is>
      </c>
      <c r="B12" s="5" t="inlineStr">
        <is>
          <t>代謝・内分泌領域</t>
        </is>
      </c>
      <c r="C12" s="5" t="inlineStr">
        <is>
          <t>メトホルミン塩酸塩</t>
        </is>
      </c>
      <c r="D12" s="5" t="inlineStr">
        <is>
          <t>競合A</t>
        </is>
      </c>
      <c r="E12" s="5" t="inlineStr">
        <is>
          <t>競合A社製品</t>
        </is>
      </c>
      <c r="F12" s="5" t="inlineStr">
        <is>
          <t>錠</t>
        </is>
      </c>
      <c r="G12" s="5" t="n">
        <v>243297</v>
      </c>
      <c r="H12" s="5" t="n">
        <v>9.699999999999999</v>
      </c>
      <c r="I12" s="5" t="n">
        <v>2352878</v>
      </c>
      <c r="J12" s="5" t="n">
        <v>0.8265</v>
      </c>
    </row>
    <row r="13">
      <c r="A13" s="4" t="inlineStr">
        <is>
          <t>2023-03</t>
        </is>
      </c>
      <c r="B13" s="4" t="inlineStr">
        <is>
          <t>代謝・内分泌領域</t>
        </is>
      </c>
      <c r="C13" s="4" t="inlineStr">
        <is>
          <t>メトホルミン塩酸塩</t>
        </is>
      </c>
      <c r="D13" s="4" t="inlineStr">
        <is>
          <t>競合B</t>
        </is>
      </c>
      <c r="E13" s="4" t="inlineStr">
        <is>
          <t>競合B社製品</t>
        </is>
      </c>
      <c r="F13" s="4" t="inlineStr">
        <is>
          <t>錠</t>
        </is>
      </c>
      <c r="G13" s="4" t="n">
        <v>220814</v>
      </c>
      <c r="H13" s="4" t="n">
        <v>9.4</v>
      </c>
      <c r="I13" s="4" t="n">
        <v>2079165</v>
      </c>
      <c r="J13" s="4" t="n">
        <v>0.8265</v>
      </c>
    </row>
    <row r="14">
      <c r="A14" s="5" t="inlineStr">
        <is>
          <t>2023-04</t>
        </is>
      </c>
      <c r="B14" s="5" t="inlineStr">
        <is>
          <t>代謝・内分泌領域</t>
        </is>
      </c>
      <c r="C14" s="5" t="inlineStr">
        <is>
          <t>メトホルミン塩酸塩</t>
        </is>
      </c>
      <c r="D14" s="5" t="inlineStr">
        <is>
          <t>オリジナル</t>
        </is>
      </c>
      <c r="E14" s="5" t="inlineStr">
        <is>
          <t>メトグルコ（オリジナル）</t>
        </is>
      </c>
      <c r="F14" s="5" t="inlineStr">
        <is>
          <t>錠</t>
        </is>
      </c>
      <c r="G14" s="5" t="n">
        <v>104930</v>
      </c>
      <c r="H14" s="5" t="n">
        <v>13</v>
      </c>
      <c r="I14" s="5" t="n">
        <v>1359898</v>
      </c>
      <c r="J14" s="5" t="n">
        <v>0.8196</v>
      </c>
    </row>
    <row r="15">
      <c r="A15" s="4" t="inlineStr">
        <is>
          <t>2023-04</t>
        </is>
      </c>
      <c r="B15" s="4" t="inlineStr">
        <is>
          <t>代謝・内分泌領域</t>
        </is>
      </c>
      <c r="C15" s="4" t="inlineStr">
        <is>
          <t>メトホルミン塩酸塩</t>
        </is>
      </c>
      <c r="D15" s="4" t="inlineStr">
        <is>
          <t>自社</t>
        </is>
      </c>
      <c r="E15" s="4" t="inlineStr">
        <is>
          <t>メトグルコGE「サンド」（自社合計）</t>
        </is>
      </c>
      <c r="F15" s="4" t="inlineStr">
        <is>
          <t>錠</t>
        </is>
      </c>
      <c r="G15" s="4" t="n">
        <v>62249</v>
      </c>
      <c r="H15" s="4" t="n">
        <v>9.6</v>
      </c>
      <c r="I15" s="4" t="n">
        <v>597591</v>
      </c>
      <c r="J15" s="4" t="n">
        <v>0.8196</v>
      </c>
    </row>
    <row r="16">
      <c r="A16" s="5" t="inlineStr">
        <is>
          <t>2023-04</t>
        </is>
      </c>
      <c r="B16" s="5" t="inlineStr">
        <is>
          <t>代謝・内分泌領域</t>
        </is>
      </c>
      <c r="C16" s="5" t="inlineStr">
        <is>
          <t>メトホルミン塩酸塩</t>
        </is>
      </c>
      <c r="D16" s="5" t="inlineStr">
        <is>
          <t>競合A</t>
        </is>
      </c>
      <c r="E16" s="5" t="inlineStr">
        <is>
          <t>競合A社製品</t>
        </is>
      </c>
      <c r="F16" s="5" t="inlineStr">
        <is>
          <t>錠</t>
        </is>
      </c>
      <c r="G16" s="5" t="n">
        <v>219543</v>
      </c>
      <c r="H16" s="5" t="n">
        <v>9.800000000000001</v>
      </c>
      <c r="I16" s="5" t="n">
        <v>2159148</v>
      </c>
      <c r="J16" s="5" t="n">
        <v>0.8196</v>
      </c>
    </row>
    <row r="17">
      <c r="A17" s="4" t="inlineStr">
        <is>
          <t>2023-04</t>
        </is>
      </c>
      <c r="B17" s="4" t="inlineStr">
        <is>
          <t>代謝・内分泌領域</t>
        </is>
      </c>
      <c r="C17" s="4" t="inlineStr">
        <is>
          <t>メトホルミン塩酸塩</t>
        </is>
      </c>
      <c r="D17" s="4" t="inlineStr">
        <is>
          <t>競合B</t>
        </is>
      </c>
      <c r="E17" s="4" t="inlineStr">
        <is>
          <t>競合B社製品</t>
        </is>
      </c>
      <c r="F17" s="4" t="inlineStr">
        <is>
          <t>錠</t>
        </is>
      </c>
      <c r="G17" s="4" t="n">
        <v>195024</v>
      </c>
      <c r="H17" s="4" t="n">
        <v>9.6</v>
      </c>
      <c r="I17" s="4" t="n">
        <v>1866444</v>
      </c>
      <c r="J17" s="4" t="n">
        <v>0.8196</v>
      </c>
    </row>
    <row r="18">
      <c r="A18" s="5" t="inlineStr">
        <is>
          <t>2023-05</t>
        </is>
      </c>
      <c r="B18" s="5" t="inlineStr">
        <is>
          <t>代謝・内分泌領域</t>
        </is>
      </c>
      <c r="C18" s="5" t="inlineStr">
        <is>
          <t>メトホルミン塩酸塩</t>
        </is>
      </c>
      <c r="D18" s="5" t="inlineStr">
        <is>
          <t>オリジナル</t>
        </is>
      </c>
      <c r="E18" s="5" t="inlineStr">
        <is>
          <t>メトグルコ（オリジナル）</t>
        </is>
      </c>
      <c r="F18" s="5" t="inlineStr">
        <is>
          <t>錠</t>
        </is>
      </c>
      <c r="G18" s="5" t="n">
        <v>106841</v>
      </c>
      <c r="H18" s="5" t="n">
        <v>13</v>
      </c>
      <c r="I18" s="5" t="n">
        <v>1384665</v>
      </c>
      <c r="J18" s="5" t="n">
        <v>0.8211000000000001</v>
      </c>
    </row>
    <row r="19">
      <c r="A19" s="4" t="inlineStr">
        <is>
          <t>2023-05</t>
        </is>
      </c>
      <c r="B19" s="4" t="inlineStr">
        <is>
          <t>代謝・内分泌領域</t>
        </is>
      </c>
      <c r="C19" s="4" t="inlineStr">
        <is>
          <t>メトホルミン塩酸塩</t>
        </is>
      </c>
      <c r="D19" s="4" t="inlineStr">
        <is>
          <t>自社</t>
        </is>
      </c>
      <c r="E19" s="4" t="inlineStr">
        <is>
          <t>メトグルコGE「サンド」（自社合計）</t>
        </is>
      </c>
      <c r="F19" s="4" t="inlineStr">
        <is>
          <t>錠</t>
        </is>
      </c>
      <c r="G19" s="4" t="n">
        <v>67930</v>
      </c>
      <c r="H19" s="4" t="n">
        <v>9.6</v>
      </c>
      <c r="I19" s="4" t="n">
        <v>652129</v>
      </c>
      <c r="J19" s="4" t="n">
        <v>0.8211000000000001</v>
      </c>
    </row>
    <row r="20">
      <c r="A20" s="5" t="inlineStr">
        <is>
          <t>2023-05</t>
        </is>
      </c>
      <c r="B20" s="5" t="inlineStr">
        <is>
          <t>代謝・内分泌領域</t>
        </is>
      </c>
      <c r="C20" s="5" t="inlineStr">
        <is>
          <t>メトホルミン塩酸塩</t>
        </is>
      </c>
      <c r="D20" s="5" t="inlineStr">
        <is>
          <t>競合A</t>
        </is>
      </c>
      <c r="E20" s="5" t="inlineStr">
        <is>
          <t>競合A社製品</t>
        </is>
      </c>
      <c r="F20" s="5" t="inlineStr">
        <is>
          <t>錠</t>
        </is>
      </c>
      <c r="G20" s="5" t="n">
        <v>236984</v>
      </c>
      <c r="H20" s="5" t="n">
        <v>9.699999999999999</v>
      </c>
      <c r="I20" s="5" t="n">
        <v>2293823</v>
      </c>
      <c r="J20" s="5" t="n">
        <v>0.8211000000000001</v>
      </c>
    </row>
    <row r="21">
      <c r="A21" s="4" t="inlineStr">
        <is>
          <t>2023-05</t>
        </is>
      </c>
      <c r="B21" s="4" t="inlineStr">
        <is>
          <t>代謝・内分泌領域</t>
        </is>
      </c>
      <c r="C21" s="4" t="inlineStr">
        <is>
          <t>メトホルミン塩酸塩</t>
        </is>
      </c>
      <c r="D21" s="4" t="inlineStr">
        <is>
          <t>競合B</t>
        </is>
      </c>
      <c r="E21" s="4" t="inlineStr">
        <is>
          <t>競合B社製品</t>
        </is>
      </c>
      <c r="F21" s="4" t="inlineStr">
        <is>
          <t>錠</t>
        </is>
      </c>
      <c r="G21" s="4" t="n">
        <v>185475</v>
      </c>
      <c r="H21" s="4" t="n">
        <v>9.699999999999999</v>
      </c>
      <c r="I21" s="4" t="n">
        <v>1795900</v>
      </c>
      <c r="J21" s="4" t="n">
        <v>0.8211000000000001</v>
      </c>
    </row>
    <row r="22">
      <c r="A22" s="5" t="inlineStr">
        <is>
          <t>2023-06</t>
        </is>
      </c>
      <c r="B22" s="5" t="inlineStr">
        <is>
          <t>代謝・内分泌領域</t>
        </is>
      </c>
      <c r="C22" s="5" t="inlineStr">
        <is>
          <t>メトホルミン塩酸塩</t>
        </is>
      </c>
      <c r="D22" s="5" t="inlineStr">
        <is>
          <t>オリジナル</t>
        </is>
      </c>
      <c r="E22" s="5" t="inlineStr">
        <is>
          <t>メトグルコ（オリジナル）</t>
        </is>
      </c>
      <c r="F22" s="5" t="inlineStr">
        <is>
          <t>錠</t>
        </is>
      </c>
      <c r="G22" s="5" t="n">
        <v>110247</v>
      </c>
      <c r="H22" s="5" t="n">
        <v>13</v>
      </c>
      <c r="I22" s="5" t="n">
        <v>1428804</v>
      </c>
      <c r="J22" s="5" t="n">
        <v>0.8247</v>
      </c>
    </row>
    <row r="23">
      <c r="A23" s="4" t="inlineStr">
        <is>
          <t>2023-06</t>
        </is>
      </c>
      <c r="B23" s="4" t="inlineStr">
        <is>
          <t>代謝・内分泌領域</t>
        </is>
      </c>
      <c r="C23" s="4" t="inlineStr">
        <is>
          <t>メトホルミン塩酸塩</t>
        </is>
      </c>
      <c r="D23" s="4" t="inlineStr">
        <is>
          <t>自社</t>
        </is>
      </c>
      <c r="E23" s="4" t="inlineStr">
        <is>
          <t>メトグルコGE「サンド」（自社合計）</t>
        </is>
      </c>
      <c r="F23" s="4" t="inlineStr">
        <is>
          <t>錠</t>
        </is>
      </c>
      <c r="G23" s="4" t="n">
        <v>66832</v>
      </c>
      <c r="H23" s="4" t="n">
        <v>9.6</v>
      </c>
      <c r="I23" s="4" t="n">
        <v>641588</v>
      </c>
      <c r="J23" s="4" t="n">
        <v>0.8247</v>
      </c>
    </row>
    <row r="24">
      <c r="A24" s="5" t="inlineStr">
        <is>
          <t>2023-06</t>
        </is>
      </c>
      <c r="B24" s="5" t="inlineStr">
        <is>
          <t>代謝・内分泌領域</t>
        </is>
      </c>
      <c r="C24" s="5" t="inlineStr">
        <is>
          <t>メトホルミン塩酸塩</t>
        </is>
      </c>
      <c r="D24" s="5" t="inlineStr">
        <is>
          <t>競合A</t>
        </is>
      </c>
      <c r="E24" s="5" t="inlineStr">
        <is>
          <t>競合A社製品</t>
        </is>
      </c>
      <c r="F24" s="5" t="inlineStr">
        <is>
          <t>錠</t>
        </is>
      </c>
      <c r="G24" s="5" t="n">
        <v>237428</v>
      </c>
      <c r="H24" s="5" t="n">
        <v>9.699999999999999</v>
      </c>
      <c r="I24" s="5" t="n">
        <v>2307385</v>
      </c>
      <c r="J24" s="5" t="n">
        <v>0.8247</v>
      </c>
    </row>
    <row r="25">
      <c r="A25" s="4" t="inlineStr">
        <is>
          <t>2023-06</t>
        </is>
      </c>
      <c r="B25" s="4" t="inlineStr">
        <is>
          <t>代謝・内分泌領域</t>
        </is>
      </c>
      <c r="C25" s="4" t="inlineStr">
        <is>
          <t>メトホルミン塩酸塩</t>
        </is>
      </c>
      <c r="D25" s="4" t="inlineStr">
        <is>
          <t>競合B</t>
        </is>
      </c>
      <c r="E25" s="4" t="inlineStr">
        <is>
          <t>競合B社製品</t>
        </is>
      </c>
      <c r="F25" s="4" t="inlineStr">
        <is>
          <t>錠</t>
        </is>
      </c>
      <c r="G25" s="4" t="n">
        <v>214311</v>
      </c>
      <c r="H25" s="4" t="n">
        <v>9.800000000000001</v>
      </c>
      <c r="I25" s="4" t="n">
        <v>2103836</v>
      </c>
      <c r="J25" s="4" t="n">
        <v>0.8247</v>
      </c>
    </row>
    <row r="26">
      <c r="A26" s="5" t="inlineStr">
        <is>
          <t>2023-07</t>
        </is>
      </c>
      <c r="B26" s="5" t="inlineStr">
        <is>
          <t>代謝・内分泌領域</t>
        </is>
      </c>
      <c r="C26" s="5" t="inlineStr">
        <is>
          <t>メトホルミン塩酸塩</t>
        </is>
      </c>
      <c r="D26" s="5" t="inlineStr">
        <is>
          <t>オリジナル</t>
        </is>
      </c>
      <c r="E26" s="5" t="inlineStr">
        <is>
          <t>メトグルコ（オリジナル）</t>
        </is>
      </c>
      <c r="F26" s="5" t="inlineStr">
        <is>
          <t>錠</t>
        </is>
      </c>
      <c r="G26" s="5" t="n">
        <v>105932</v>
      </c>
      <c r="H26" s="5" t="n">
        <v>13</v>
      </c>
      <c r="I26" s="5" t="n">
        <v>1372883</v>
      </c>
      <c r="J26" s="5" t="n">
        <v>0.8241000000000001</v>
      </c>
    </row>
    <row r="27">
      <c r="A27" s="4" t="inlineStr">
        <is>
          <t>2023-07</t>
        </is>
      </c>
      <c r="B27" s="4" t="inlineStr">
        <is>
          <t>代謝・内分泌領域</t>
        </is>
      </c>
      <c r="C27" s="4" t="inlineStr">
        <is>
          <t>メトホルミン塩酸塩</t>
        </is>
      </c>
      <c r="D27" s="4" t="inlineStr">
        <is>
          <t>自社</t>
        </is>
      </c>
      <c r="E27" s="4" t="inlineStr">
        <is>
          <t>メトグルコGE「サンド」（自社合計）</t>
        </is>
      </c>
      <c r="F27" s="4" t="inlineStr">
        <is>
          <t>錠</t>
        </is>
      </c>
      <c r="G27" s="4" t="n">
        <v>62807</v>
      </c>
      <c r="H27" s="4" t="n">
        <v>9.6</v>
      </c>
      <c r="I27" s="4" t="n">
        <v>602947</v>
      </c>
      <c r="J27" s="4" t="n">
        <v>0.8241000000000001</v>
      </c>
    </row>
    <row r="28">
      <c r="A28" s="5" t="inlineStr">
        <is>
          <t>2023-07</t>
        </is>
      </c>
      <c r="B28" s="5" t="inlineStr">
        <is>
          <t>代謝・内分泌領域</t>
        </is>
      </c>
      <c r="C28" s="5" t="inlineStr">
        <is>
          <t>メトホルミン塩酸塩</t>
        </is>
      </c>
      <c r="D28" s="5" t="inlineStr">
        <is>
          <t>競合A</t>
        </is>
      </c>
      <c r="E28" s="5" t="inlineStr">
        <is>
          <t>競合A社製品</t>
        </is>
      </c>
      <c r="F28" s="5" t="inlineStr">
        <is>
          <t>錠</t>
        </is>
      </c>
      <c r="G28" s="5" t="n">
        <v>246871</v>
      </c>
      <c r="H28" s="5" t="n">
        <v>9.699999999999999</v>
      </c>
      <c r="I28" s="5" t="n">
        <v>2405195</v>
      </c>
      <c r="J28" s="5" t="n">
        <v>0.8241000000000001</v>
      </c>
    </row>
    <row r="29">
      <c r="A29" s="4" t="inlineStr">
        <is>
          <t>2023-07</t>
        </is>
      </c>
      <c r="B29" s="4" t="inlineStr">
        <is>
          <t>代謝・内分泌領域</t>
        </is>
      </c>
      <c r="C29" s="4" t="inlineStr">
        <is>
          <t>メトホルミン塩酸塩</t>
        </is>
      </c>
      <c r="D29" s="4" t="inlineStr">
        <is>
          <t>競合B</t>
        </is>
      </c>
      <c r="E29" s="4" t="inlineStr">
        <is>
          <t>競合B社製品</t>
        </is>
      </c>
      <c r="F29" s="4" t="inlineStr">
        <is>
          <t>錠</t>
        </is>
      </c>
      <c r="G29" s="4" t="n">
        <v>186603</v>
      </c>
      <c r="H29" s="4" t="n">
        <v>9.699999999999999</v>
      </c>
      <c r="I29" s="4" t="n">
        <v>1810849</v>
      </c>
      <c r="J29" s="4" t="n">
        <v>0.8241000000000001</v>
      </c>
    </row>
    <row r="30">
      <c r="A30" s="5" t="inlineStr">
        <is>
          <t>2023-08</t>
        </is>
      </c>
      <c r="B30" s="5" t="inlineStr">
        <is>
          <t>代謝・内分泌領域</t>
        </is>
      </c>
      <c r="C30" s="5" t="inlineStr">
        <is>
          <t>メトホルミン塩酸塩</t>
        </is>
      </c>
      <c r="D30" s="5" t="inlineStr">
        <is>
          <t>オリジナル</t>
        </is>
      </c>
      <c r="E30" s="5" t="inlineStr">
        <is>
          <t>メトグルコ（オリジナル）</t>
        </is>
      </c>
      <c r="F30" s="5" t="inlineStr">
        <is>
          <t>錠</t>
        </is>
      </c>
      <c r="G30" s="5" t="n">
        <v>96428</v>
      </c>
      <c r="H30" s="5" t="n">
        <v>13</v>
      </c>
      <c r="I30" s="5" t="n">
        <v>1249712</v>
      </c>
      <c r="J30" s="5" t="n">
        <v>0.8381999999999999</v>
      </c>
    </row>
    <row r="31">
      <c r="A31" s="4" t="inlineStr">
        <is>
          <t>2023-08</t>
        </is>
      </c>
      <c r="B31" s="4" t="inlineStr">
        <is>
          <t>代謝・内分泌領域</t>
        </is>
      </c>
      <c r="C31" s="4" t="inlineStr">
        <is>
          <t>メトホルミン塩酸塩</t>
        </is>
      </c>
      <c r="D31" s="4" t="inlineStr">
        <is>
          <t>自社</t>
        </is>
      </c>
      <c r="E31" s="4" t="inlineStr">
        <is>
          <t>メトグルコGE「サンド」（自社合計）</t>
        </is>
      </c>
      <c r="F31" s="4" t="inlineStr">
        <is>
          <t>錠</t>
        </is>
      </c>
      <c r="G31" s="4" t="n">
        <v>68345</v>
      </c>
      <c r="H31" s="4" t="n">
        <v>9.6</v>
      </c>
      <c r="I31" s="4" t="n">
        <v>656112</v>
      </c>
      <c r="J31" s="4" t="n">
        <v>0.8381999999999999</v>
      </c>
    </row>
    <row r="32">
      <c r="A32" s="5" t="inlineStr">
        <is>
          <t>2023-08</t>
        </is>
      </c>
      <c r="B32" s="5" t="inlineStr">
        <is>
          <t>代謝・内分泌領域</t>
        </is>
      </c>
      <c r="C32" s="5" t="inlineStr">
        <is>
          <t>メトホルミン塩酸塩</t>
        </is>
      </c>
      <c r="D32" s="5" t="inlineStr">
        <is>
          <t>競合A</t>
        </is>
      </c>
      <c r="E32" s="5" t="inlineStr">
        <is>
          <t>競合A社製品</t>
        </is>
      </c>
      <c r="F32" s="5" t="inlineStr">
        <is>
          <t>錠</t>
        </is>
      </c>
      <c r="G32" s="5" t="n">
        <v>240086</v>
      </c>
      <c r="H32" s="5" t="n">
        <v>9.800000000000001</v>
      </c>
      <c r="I32" s="5" t="n">
        <v>2344995</v>
      </c>
      <c r="J32" s="5" t="n">
        <v>0.8381999999999999</v>
      </c>
    </row>
    <row r="33">
      <c r="A33" s="4" t="inlineStr">
        <is>
          <t>2023-08</t>
        </is>
      </c>
      <c r="B33" s="4" t="inlineStr">
        <is>
          <t>代謝・内分泌領域</t>
        </is>
      </c>
      <c r="C33" s="4" t="inlineStr">
        <is>
          <t>メトホルミン塩酸塩</t>
        </is>
      </c>
      <c r="D33" s="4" t="inlineStr">
        <is>
          <t>競合B</t>
        </is>
      </c>
      <c r="E33" s="4" t="inlineStr">
        <is>
          <t>競合B社製品</t>
        </is>
      </c>
      <c r="F33" s="4" t="inlineStr">
        <is>
          <t>錠</t>
        </is>
      </c>
      <c r="G33" s="4" t="n">
        <v>191288</v>
      </c>
      <c r="H33" s="4" t="n">
        <v>9.6</v>
      </c>
      <c r="I33" s="4" t="n">
        <v>1844580</v>
      </c>
      <c r="J33" s="4" t="n">
        <v>0.8381999999999999</v>
      </c>
    </row>
    <row r="34">
      <c r="A34" s="5" t="inlineStr">
        <is>
          <t>2023-09</t>
        </is>
      </c>
      <c r="B34" s="5" t="inlineStr">
        <is>
          <t>代謝・内分泌領域</t>
        </is>
      </c>
      <c r="C34" s="5" t="inlineStr">
        <is>
          <t>メトホルミン塩酸塩</t>
        </is>
      </c>
      <c r="D34" s="5" t="inlineStr">
        <is>
          <t>オリジナル</t>
        </is>
      </c>
      <c r="E34" s="5" t="inlineStr">
        <is>
          <t>メトグルコ（オリジナル）</t>
        </is>
      </c>
      <c r="F34" s="5" t="inlineStr">
        <is>
          <t>錠</t>
        </is>
      </c>
      <c r="G34" s="5" t="n">
        <v>98247</v>
      </c>
      <c r="H34" s="5" t="n">
        <v>13</v>
      </c>
      <c r="I34" s="5" t="n">
        <v>1273276</v>
      </c>
      <c r="J34" s="5" t="n">
        <v>0.8397</v>
      </c>
    </row>
    <row r="35">
      <c r="A35" s="4" t="inlineStr">
        <is>
          <t>2023-09</t>
        </is>
      </c>
      <c r="B35" s="4" t="inlineStr">
        <is>
          <t>代謝・内分泌領域</t>
        </is>
      </c>
      <c r="C35" s="4" t="inlineStr">
        <is>
          <t>メトホルミン塩酸塩</t>
        </is>
      </c>
      <c r="D35" s="4" t="inlineStr">
        <is>
          <t>自社</t>
        </is>
      </c>
      <c r="E35" s="4" t="inlineStr">
        <is>
          <t>メトグルコGE「サンド」（自社合計）</t>
        </is>
      </c>
      <c r="F35" s="4" t="inlineStr">
        <is>
          <t>錠</t>
        </is>
      </c>
      <c r="G35" s="4" t="n">
        <v>71701</v>
      </c>
      <c r="H35" s="4" t="n">
        <v>9.6</v>
      </c>
      <c r="I35" s="4" t="n">
        <v>688329</v>
      </c>
      <c r="J35" s="4" t="n">
        <v>0.8397</v>
      </c>
    </row>
    <row r="36">
      <c r="A36" s="5" t="inlineStr">
        <is>
          <t>2023-09</t>
        </is>
      </c>
      <c r="B36" s="5" t="inlineStr">
        <is>
          <t>代謝・内分泌領域</t>
        </is>
      </c>
      <c r="C36" s="5" t="inlineStr">
        <is>
          <t>メトホルミン塩酸塩</t>
        </is>
      </c>
      <c r="D36" s="5" t="inlineStr">
        <is>
          <t>競合A</t>
        </is>
      </c>
      <c r="E36" s="5" t="inlineStr">
        <is>
          <t>競合A社製品</t>
        </is>
      </c>
      <c r="F36" s="5" t="inlineStr">
        <is>
          <t>錠</t>
        </is>
      </c>
      <c r="G36" s="5" t="n">
        <v>252071</v>
      </c>
      <c r="H36" s="5" t="n">
        <v>9.300000000000001</v>
      </c>
      <c r="I36" s="5" t="n">
        <v>2349359</v>
      </c>
      <c r="J36" s="5" t="n">
        <v>0.8397</v>
      </c>
    </row>
    <row r="37">
      <c r="A37" s="4" t="inlineStr">
        <is>
          <t>2023-09</t>
        </is>
      </c>
      <c r="B37" s="4" t="inlineStr">
        <is>
          <t>代謝・内分泌領域</t>
        </is>
      </c>
      <c r="C37" s="4" t="inlineStr">
        <is>
          <t>メトホルミン塩酸塩</t>
        </is>
      </c>
      <c r="D37" s="4" t="inlineStr">
        <is>
          <t>競合B</t>
        </is>
      </c>
      <c r="E37" s="4" t="inlineStr">
        <is>
          <t>競合B社製品</t>
        </is>
      </c>
      <c r="F37" s="4" t="inlineStr">
        <is>
          <t>錠</t>
        </is>
      </c>
      <c r="G37" s="4" t="n">
        <v>190984</v>
      </c>
      <c r="H37" s="4" t="n">
        <v>9.5</v>
      </c>
      <c r="I37" s="4" t="n">
        <v>1821723</v>
      </c>
      <c r="J37" s="4" t="n">
        <v>0.8397</v>
      </c>
    </row>
    <row r="38">
      <c r="A38" s="5" t="inlineStr">
        <is>
          <t>2023-10</t>
        </is>
      </c>
      <c r="B38" s="5" t="inlineStr">
        <is>
          <t>代謝・内分泌領域</t>
        </is>
      </c>
      <c r="C38" s="5" t="inlineStr">
        <is>
          <t>メトホルミン塩酸塩</t>
        </is>
      </c>
      <c r="D38" s="5" t="inlineStr">
        <is>
          <t>オリジナル</t>
        </is>
      </c>
      <c r="E38" s="5" t="inlineStr">
        <is>
          <t>メトグルコ（オリジナル）</t>
        </is>
      </c>
      <c r="F38" s="5" t="inlineStr">
        <is>
          <t>錠</t>
        </is>
      </c>
      <c r="G38" s="5" t="n">
        <v>98642</v>
      </c>
      <c r="H38" s="5" t="n">
        <v>13</v>
      </c>
      <c r="I38" s="5" t="n">
        <v>1278395</v>
      </c>
      <c r="J38" s="5" t="n">
        <v>0.8355</v>
      </c>
    </row>
    <row r="39">
      <c r="A39" s="4" t="inlineStr">
        <is>
          <t>2023-10</t>
        </is>
      </c>
      <c r="B39" s="4" t="inlineStr">
        <is>
          <t>代謝・内分泌領域</t>
        </is>
      </c>
      <c r="C39" s="4" t="inlineStr">
        <is>
          <t>メトホルミン塩酸塩</t>
        </is>
      </c>
      <c r="D39" s="4" t="inlineStr">
        <is>
          <t>自社</t>
        </is>
      </c>
      <c r="E39" s="4" t="inlineStr">
        <is>
          <t>メトグルコGE「サンド」（自社合計）</t>
        </is>
      </c>
      <c r="F39" s="4" t="inlineStr">
        <is>
          <t>錠</t>
        </is>
      </c>
      <c r="G39" s="4" t="n">
        <v>67366</v>
      </c>
      <c r="H39" s="4" t="n">
        <v>9.6</v>
      </c>
      <c r="I39" s="4" t="n">
        <v>646715</v>
      </c>
      <c r="J39" s="4" t="n">
        <v>0.8355</v>
      </c>
    </row>
    <row r="40">
      <c r="A40" s="5" t="inlineStr">
        <is>
          <t>2023-10</t>
        </is>
      </c>
      <c r="B40" s="5" t="inlineStr">
        <is>
          <t>代謝・内分泌領域</t>
        </is>
      </c>
      <c r="C40" s="5" t="inlineStr">
        <is>
          <t>メトホルミン塩酸塩</t>
        </is>
      </c>
      <c r="D40" s="5" t="inlineStr">
        <is>
          <t>競合A</t>
        </is>
      </c>
      <c r="E40" s="5" t="inlineStr">
        <is>
          <t>競合A社製品</t>
        </is>
      </c>
      <c r="F40" s="5" t="inlineStr">
        <is>
          <t>錠</t>
        </is>
      </c>
      <c r="G40" s="5" t="n">
        <v>257979</v>
      </c>
      <c r="H40" s="5" t="n">
        <v>9.4</v>
      </c>
      <c r="I40" s="5" t="n">
        <v>2433713</v>
      </c>
      <c r="J40" s="5" t="n">
        <v>0.8355</v>
      </c>
    </row>
    <row r="41">
      <c r="A41" s="4" t="inlineStr">
        <is>
          <t>2023-10</t>
        </is>
      </c>
      <c r="B41" s="4" t="inlineStr">
        <is>
          <t>代謝・内分泌領域</t>
        </is>
      </c>
      <c r="C41" s="4" t="inlineStr">
        <is>
          <t>メトホルミン塩酸塩</t>
        </is>
      </c>
      <c r="D41" s="4" t="inlineStr">
        <is>
          <t>競合B</t>
        </is>
      </c>
      <c r="E41" s="4" t="inlineStr">
        <is>
          <t>競合B社製品</t>
        </is>
      </c>
      <c r="F41" s="4" t="inlineStr">
        <is>
          <t>錠</t>
        </is>
      </c>
      <c r="G41" s="4" t="n">
        <v>175710</v>
      </c>
      <c r="H41" s="4" t="n">
        <v>9.800000000000001</v>
      </c>
      <c r="I41" s="4" t="n">
        <v>1719481</v>
      </c>
      <c r="J41" s="4" t="n">
        <v>0.8355</v>
      </c>
    </row>
    <row r="42">
      <c r="A42" s="5" t="inlineStr">
        <is>
          <t>2023-11</t>
        </is>
      </c>
      <c r="B42" s="5" t="inlineStr">
        <is>
          <t>代謝・内分泌領域</t>
        </is>
      </c>
      <c r="C42" s="5" t="inlineStr">
        <is>
          <t>メトホルミン塩酸塩</t>
        </is>
      </c>
      <c r="D42" s="5" t="inlineStr">
        <is>
          <t>オリジナル</t>
        </is>
      </c>
      <c r="E42" s="5" t="inlineStr">
        <is>
          <t>メトグルコ（オリジナル）</t>
        </is>
      </c>
      <c r="F42" s="5" t="inlineStr">
        <is>
          <t>錠</t>
        </is>
      </c>
      <c r="G42" s="5" t="n">
        <v>93023</v>
      </c>
      <c r="H42" s="5" t="n">
        <v>13</v>
      </c>
      <c r="I42" s="5" t="n">
        <v>1205572</v>
      </c>
      <c r="J42" s="5" t="n">
        <v>0.8411</v>
      </c>
    </row>
    <row r="43">
      <c r="A43" s="4" t="inlineStr">
        <is>
          <t>2023-11</t>
        </is>
      </c>
      <c r="B43" s="4" t="inlineStr">
        <is>
          <t>代謝・内分泌領域</t>
        </is>
      </c>
      <c r="C43" s="4" t="inlineStr">
        <is>
          <t>メトホルミン塩酸塩</t>
        </is>
      </c>
      <c r="D43" s="4" t="inlineStr">
        <is>
          <t>自社</t>
        </is>
      </c>
      <c r="E43" s="4" t="inlineStr">
        <is>
          <t>メトグルコGE「サンド」（自社合計）</t>
        </is>
      </c>
      <c r="F43" s="4" t="inlineStr">
        <is>
          <t>錠</t>
        </is>
      </c>
      <c r="G43" s="4" t="n">
        <v>68777</v>
      </c>
      <c r="H43" s="4" t="n">
        <v>9.6</v>
      </c>
      <c r="I43" s="4" t="n">
        <v>660260</v>
      </c>
      <c r="J43" s="4" t="n">
        <v>0.8411</v>
      </c>
    </row>
    <row r="44">
      <c r="A44" s="5" t="inlineStr">
        <is>
          <t>2023-11</t>
        </is>
      </c>
      <c r="B44" s="5" t="inlineStr">
        <is>
          <t>代謝・内分泌領域</t>
        </is>
      </c>
      <c r="C44" s="5" t="inlineStr">
        <is>
          <t>メトホルミン塩酸塩</t>
        </is>
      </c>
      <c r="D44" s="5" t="inlineStr">
        <is>
          <t>競合A</t>
        </is>
      </c>
      <c r="E44" s="5" t="inlineStr">
        <is>
          <t>競合A社製品</t>
        </is>
      </c>
      <c r="F44" s="5" t="inlineStr">
        <is>
          <t>錠</t>
        </is>
      </c>
      <c r="G44" s="5" t="n">
        <v>240542</v>
      </c>
      <c r="H44" s="5" t="n">
        <v>9.699999999999999</v>
      </c>
      <c r="I44" s="5" t="n">
        <v>2342053</v>
      </c>
      <c r="J44" s="5" t="n">
        <v>0.8411</v>
      </c>
    </row>
    <row r="45">
      <c r="A45" s="4" t="inlineStr">
        <is>
          <t>2023-11</t>
        </is>
      </c>
      <c r="B45" s="4" t="inlineStr">
        <is>
          <t>代謝・内分泌領域</t>
        </is>
      </c>
      <c r="C45" s="4" t="inlineStr">
        <is>
          <t>メトホルミン塩酸塩</t>
        </is>
      </c>
      <c r="D45" s="4" t="inlineStr">
        <is>
          <t>競合B</t>
        </is>
      </c>
      <c r="E45" s="4" t="inlineStr">
        <is>
          <t>競合B社製品</t>
        </is>
      </c>
      <c r="F45" s="4" t="inlineStr">
        <is>
          <t>錠</t>
        </is>
      </c>
      <c r="G45" s="4" t="n">
        <v>183256</v>
      </c>
      <c r="H45" s="4" t="n">
        <v>9.800000000000001</v>
      </c>
      <c r="I45" s="4" t="n">
        <v>1787172</v>
      </c>
      <c r="J45" s="4" t="n">
        <v>0.8411</v>
      </c>
    </row>
    <row r="46">
      <c r="A46" s="5" t="inlineStr">
        <is>
          <t>2023-12</t>
        </is>
      </c>
      <c r="B46" s="5" t="inlineStr">
        <is>
          <t>代謝・内分泌領域</t>
        </is>
      </c>
      <c r="C46" s="5" t="inlineStr">
        <is>
          <t>メトホルミン塩酸塩</t>
        </is>
      </c>
      <c r="D46" s="5" t="inlineStr">
        <is>
          <t>オリジナル</t>
        </is>
      </c>
      <c r="E46" s="5" t="inlineStr">
        <is>
          <t>メトグルコ（オリジナル）</t>
        </is>
      </c>
      <c r="F46" s="5" t="inlineStr">
        <is>
          <t>錠</t>
        </is>
      </c>
      <c r="G46" s="5" t="n">
        <v>95031</v>
      </c>
      <c r="H46" s="5" t="n">
        <v>13</v>
      </c>
      <c r="I46" s="5" t="n">
        <v>1231602</v>
      </c>
      <c r="J46" s="5" t="n">
        <v>0.8421999999999999</v>
      </c>
    </row>
    <row r="47">
      <c r="A47" s="4" t="inlineStr">
        <is>
          <t>2023-12</t>
        </is>
      </c>
      <c r="B47" s="4" t="inlineStr">
        <is>
          <t>代謝・内分泌領域</t>
        </is>
      </c>
      <c r="C47" s="4" t="inlineStr">
        <is>
          <t>メトホルミン塩酸塩</t>
        </is>
      </c>
      <c r="D47" s="4" t="inlineStr">
        <is>
          <t>自社</t>
        </is>
      </c>
      <c r="E47" s="4" t="inlineStr">
        <is>
          <t>メトグルコGE「サンド」（自社合計）</t>
        </is>
      </c>
      <c r="F47" s="4" t="inlineStr">
        <is>
          <t>錠</t>
        </is>
      </c>
      <c r="G47" s="4" t="n">
        <v>74771</v>
      </c>
      <c r="H47" s="4" t="n">
        <v>9.6</v>
      </c>
      <c r="I47" s="4" t="n">
        <v>717801</v>
      </c>
      <c r="J47" s="4" t="n">
        <v>0.8421999999999999</v>
      </c>
    </row>
    <row r="48">
      <c r="A48" s="5" t="inlineStr">
        <is>
          <t>2023-12</t>
        </is>
      </c>
      <c r="B48" s="5" t="inlineStr">
        <is>
          <t>代謝・内分泌領域</t>
        </is>
      </c>
      <c r="C48" s="5" t="inlineStr">
        <is>
          <t>メトホルミン塩酸塩</t>
        </is>
      </c>
      <c r="D48" s="5" t="inlineStr">
        <is>
          <t>競合A</t>
        </is>
      </c>
      <c r="E48" s="5" t="inlineStr">
        <is>
          <t>競合A社製品</t>
        </is>
      </c>
      <c r="F48" s="5" t="inlineStr">
        <is>
          <t>錠</t>
        </is>
      </c>
      <c r="G48" s="5" t="n">
        <v>235428</v>
      </c>
      <c r="H48" s="5" t="n">
        <v>9.4</v>
      </c>
      <c r="I48" s="5" t="n">
        <v>2202442</v>
      </c>
      <c r="J48" s="5" t="n">
        <v>0.8421999999999999</v>
      </c>
    </row>
    <row r="49">
      <c r="A49" s="4" t="inlineStr">
        <is>
          <t>2023-12</t>
        </is>
      </c>
      <c r="B49" s="4" t="inlineStr">
        <is>
          <t>代謝・内分泌領域</t>
        </is>
      </c>
      <c r="C49" s="4" t="inlineStr">
        <is>
          <t>メトホルミン塩酸塩</t>
        </is>
      </c>
      <c r="D49" s="4" t="inlineStr">
        <is>
          <t>競合B</t>
        </is>
      </c>
      <c r="E49" s="4" t="inlineStr">
        <is>
          <t>競合B社製品</t>
        </is>
      </c>
      <c r="F49" s="4" t="inlineStr">
        <is>
          <t>錠</t>
        </is>
      </c>
      <c r="G49" s="4" t="n">
        <v>197136</v>
      </c>
      <c r="H49" s="4" t="n">
        <v>9.4</v>
      </c>
      <c r="I49" s="4" t="n">
        <v>1849614</v>
      </c>
      <c r="J49" s="4" t="n">
        <v>0.8421999999999999</v>
      </c>
    </row>
    <row r="50">
      <c r="A50" s="5" t="inlineStr">
        <is>
          <t>2024-01</t>
        </is>
      </c>
      <c r="B50" s="5" t="inlineStr">
        <is>
          <t>代謝・内分泌領域</t>
        </is>
      </c>
      <c r="C50" s="5" t="inlineStr">
        <is>
          <t>メトホルミン塩酸塩</t>
        </is>
      </c>
      <c r="D50" s="5" t="inlineStr">
        <is>
          <t>オリジナル</t>
        </is>
      </c>
      <c r="E50" s="5" t="inlineStr">
        <is>
          <t>メトグルコ（オリジナル）</t>
        </is>
      </c>
      <c r="F50" s="5" t="inlineStr">
        <is>
          <t>錠</t>
        </is>
      </c>
      <c r="G50" s="5" t="n">
        <v>87032</v>
      </c>
      <c r="H50" s="5" t="n">
        <v>13</v>
      </c>
      <c r="I50" s="5" t="n">
        <v>1127938</v>
      </c>
      <c r="J50" s="5" t="n">
        <v>0.854</v>
      </c>
    </row>
    <row r="51">
      <c r="A51" s="4" t="inlineStr">
        <is>
          <t>2024-01</t>
        </is>
      </c>
      <c r="B51" s="4" t="inlineStr">
        <is>
          <t>代謝・内分泌領域</t>
        </is>
      </c>
      <c r="C51" s="4" t="inlineStr">
        <is>
          <t>メトホルミン塩酸塩</t>
        </is>
      </c>
      <c r="D51" s="4" t="inlineStr">
        <is>
          <t>自社</t>
        </is>
      </c>
      <c r="E51" s="4" t="inlineStr">
        <is>
          <t>メトグルコGE「サンド」（自社合計）</t>
        </is>
      </c>
      <c r="F51" s="4" t="inlineStr">
        <is>
          <t>錠</t>
        </is>
      </c>
      <c r="G51" s="4" t="n">
        <v>71782</v>
      </c>
      <c r="H51" s="4" t="n">
        <v>9.6</v>
      </c>
      <c r="I51" s="4" t="n">
        <v>689104</v>
      </c>
      <c r="J51" s="4" t="n">
        <v>0.854</v>
      </c>
    </row>
    <row r="52">
      <c r="A52" s="5" t="inlineStr">
        <is>
          <t>2024-01</t>
        </is>
      </c>
      <c r="B52" s="5" t="inlineStr">
        <is>
          <t>代謝・内分泌領域</t>
        </is>
      </c>
      <c r="C52" s="5" t="inlineStr">
        <is>
          <t>メトホルミン塩酸塩</t>
        </is>
      </c>
      <c r="D52" s="5" t="inlineStr">
        <is>
          <t>競合A</t>
        </is>
      </c>
      <c r="E52" s="5" t="inlineStr">
        <is>
          <t>競合A社製品</t>
        </is>
      </c>
      <c r="F52" s="5" t="inlineStr">
        <is>
          <t>錠</t>
        </is>
      </c>
      <c r="G52" s="5" t="n">
        <v>249528</v>
      </c>
      <c r="H52" s="5" t="n">
        <v>9.5</v>
      </c>
      <c r="I52" s="5" t="n">
        <v>2374999</v>
      </c>
      <c r="J52" s="5" t="n">
        <v>0.854</v>
      </c>
    </row>
    <row r="53">
      <c r="A53" s="4" t="inlineStr">
        <is>
          <t>2024-01</t>
        </is>
      </c>
      <c r="B53" s="4" t="inlineStr">
        <is>
          <t>代謝・内分泌領域</t>
        </is>
      </c>
      <c r="C53" s="4" t="inlineStr">
        <is>
          <t>メトホルミン塩酸塩</t>
        </is>
      </c>
      <c r="D53" s="4" t="inlineStr">
        <is>
          <t>競合B</t>
        </is>
      </c>
      <c r="E53" s="4" t="inlineStr">
        <is>
          <t>競合B社製品</t>
        </is>
      </c>
      <c r="F53" s="4" t="inlineStr">
        <is>
          <t>錠</t>
        </is>
      </c>
      <c r="G53" s="4" t="n">
        <v>187692</v>
      </c>
      <c r="H53" s="4" t="n">
        <v>9.6</v>
      </c>
      <c r="I53" s="4" t="n">
        <v>1807559</v>
      </c>
      <c r="J53" s="4" t="n">
        <v>0.854</v>
      </c>
    </row>
    <row r="54">
      <c r="A54" s="5" t="inlineStr">
        <is>
          <t>2024-02</t>
        </is>
      </c>
      <c r="B54" s="5" t="inlineStr">
        <is>
          <t>代謝・内分泌領域</t>
        </is>
      </c>
      <c r="C54" s="5" t="inlineStr">
        <is>
          <t>メトホルミン塩酸塩</t>
        </is>
      </c>
      <c r="D54" s="5" t="inlineStr">
        <is>
          <t>オリジナル</t>
        </is>
      </c>
      <c r="E54" s="5" t="inlineStr">
        <is>
          <t>メトグルコ（オリジナル）</t>
        </is>
      </c>
      <c r="F54" s="5" t="inlineStr">
        <is>
          <t>錠</t>
        </is>
      </c>
      <c r="G54" s="5" t="n">
        <v>93622</v>
      </c>
      <c r="H54" s="5" t="n">
        <v>13</v>
      </c>
      <c r="I54" s="5" t="n">
        <v>1213344</v>
      </c>
      <c r="J54" s="5" t="n">
        <v>0.8479</v>
      </c>
    </row>
    <row r="55">
      <c r="A55" s="4" t="inlineStr">
        <is>
          <t>2024-02</t>
        </is>
      </c>
      <c r="B55" s="4" t="inlineStr">
        <is>
          <t>代謝・内分泌領域</t>
        </is>
      </c>
      <c r="C55" s="4" t="inlineStr">
        <is>
          <t>メトホルミン塩酸塩</t>
        </is>
      </c>
      <c r="D55" s="4" t="inlineStr">
        <is>
          <t>自社</t>
        </is>
      </c>
      <c r="E55" s="4" t="inlineStr">
        <is>
          <t>メトグルコGE「サンド」（自社合計）</t>
        </is>
      </c>
      <c r="F55" s="4" t="inlineStr">
        <is>
          <t>錠</t>
        </is>
      </c>
      <c r="G55" s="4" t="n">
        <v>75642</v>
      </c>
      <c r="H55" s="4" t="n">
        <v>9.6</v>
      </c>
      <c r="I55" s="4" t="n">
        <v>726165</v>
      </c>
      <c r="J55" s="4" t="n">
        <v>0.8479</v>
      </c>
    </row>
    <row r="56">
      <c r="A56" s="5" t="inlineStr">
        <is>
          <t>2024-02</t>
        </is>
      </c>
      <c r="B56" s="5" t="inlineStr">
        <is>
          <t>代謝・内分泌領域</t>
        </is>
      </c>
      <c r="C56" s="5" t="inlineStr">
        <is>
          <t>メトホルミン塩酸塩</t>
        </is>
      </c>
      <c r="D56" s="5" t="inlineStr">
        <is>
          <t>競合A</t>
        </is>
      </c>
      <c r="E56" s="5" t="inlineStr">
        <is>
          <t>競合A社製品</t>
        </is>
      </c>
      <c r="F56" s="5" t="inlineStr">
        <is>
          <t>錠</t>
        </is>
      </c>
      <c r="G56" s="5" t="n">
        <v>236520</v>
      </c>
      <c r="H56" s="5" t="n">
        <v>9.5</v>
      </c>
      <c r="I56" s="5" t="n">
        <v>2254104</v>
      </c>
      <c r="J56" s="5" t="n">
        <v>0.8479</v>
      </c>
    </row>
    <row r="57">
      <c r="A57" s="4" t="inlineStr">
        <is>
          <t>2024-02</t>
        </is>
      </c>
      <c r="B57" s="4" t="inlineStr">
        <is>
          <t>代謝・内分泌領域</t>
        </is>
      </c>
      <c r="C57" s="4" t="inlineStr">
        <is>
          <t>メトホルミン塩酸塩</t>
        </is>
      </c>
      <c r="D57" s="4" t="inlineStr">
        <is>
          <t>競合B</t>
        </is>
      </c>
      <c r="E57" s="4" t="inlineStr">
        <is>
          <t>競合B社製品</t>
        </is>
      </c>
      <c r="F57" s="4" t="inlineStr">
        <is>
          <t>錠</t>
        </is>
      </c>
      <c r="G57" s="4" t="n">
        <v>209624</v>
      </c>
      <c r="H57" s="4" t="n">
        <v>9.5</v>
      </c>
      <c r="I57" s="4" t="n">
        <v>1997029</v>
      </c>
      <c r="J57" s="4" t="n">
        <v>0.8479</v>
      </c>
    </row>
    <row r="58">
      <c r="A58" s="5" t="inlineStr">
        <is>
          <t>2024-03</t>
        </is>
      </c>
      <c r="B58" s="5" t="inlineStr">
        <is>
          <t>代謝・内分泌領域</t>
        </is>
      </c>
      <c r="C58" s="5" t="inlineStr">
        <is>
          <t>メトホルミン塩酸塩</t>
        </is>
      </c>
      <c r="D58" s="5" t="inlineStr">
        <is>
          <t>オリジナル</t>
        </is>
      </c>
      <c r="E58" s="5" t="inlineStr">
        <is>
          <t>メトグルコ（オリジナル）</t>
        </is>
      </c>
      <c r="F58" s="5" t="inlineStr">
        <is>
          <t>錠</t>
        </is>
      </c>
      <c r="G58" s="5" t="n">
        <v>91325</v>
      </c>
      <c r="H58" s="5" t="n">
        <v>13</v>
      </c>
      <c r="I58" s="5" t="n">
        <v>1183571</v>
      </c>
      <c r="J58" s="5" t="n">
        <v>0.8576</v>
      </c>
    </row>
    <row r="59">
      <c r="A59" s="4" t="inlineStr">
        <is>
          <t>2024-03</t>
        </is>
      </c>
      <c r="B59" s="4" t="inlineStr">
        <is>
          <t>代謝・内分泌領域</t>
        </is>
      </c>
      <c r="C59" s="4" t="inlineStr">
        <is>
          <t>メトホルミン塩酸塩</t>
        </is>
      </c>
      <c r="D59" s="4" t="inlineStr">
        <is>
          <t>自社</t>
        </is>
      </c>
      <c r="E59" s="4" t="inlineStr">
        <is>
          <t>メトグルコGE「サンド」（自社合計）</t>
        </is>
      </c>
      <c r="F59" s="4" t="inlineStr">
        <is>
          <t>錠</t>
        </is>
      </c>
      <c r="G59" s="4" t="n">
        <v>75084</v>
      </c>
      <c r="H59" s="4" t="n">
        <v>9.6</v>
      </c>
      <c r="I59" s="4" t="n">
        <v>720805</v>
      </c>
      <c r="J59" s="4" t="n">
        <v>0.8576</v>
      </c>
    </row>
    <row r="60">
      <c r="A60" s="5" t="inlineStr">
        <is>
          <t>2024-03</t>
        </is>
      </c>
      <c r="B60" s="5" t="inlineStr">
        <is>
          <t>代謝・内分泌領域</t>
        </is>
      </c>
      <c r="C60" s="5" t="inlineStr">
        <is>
          <t>メトホルミン塩酸塩</t>
        </is>
      </c>
      <c r="D60" s="5" t="inlineStr">
        <is>
          <t>競合A</t>
        </is>
      </c>
      <c r="E60" s="5" t="inlineStr">
        <is>
          <t>競合A社製品</t>
        </is>
      </c>
      <c r="F60" s="5" t="inlineStr">
        <is>
          <t>錠</t>
        </is>
      </c>
      <c r="G60" s="5" t="n">
        <v>261404</v>
      </c>
      <c r="H60" s="5" t="n">
        <v>9.699999999999999</v>
      </c>
      <c r="I60" s="5" t="n">
        <v>2533610</v>
      </c>
      <c r="J60" s="5" t="n">
        <v>0.8576</v>
      </c>
    </row>
    <row r="61">
      <c r="A61" s="4" t="inlineStr">
        <is>
          <t>2024-03</t>
        </is>
      </c>
      <c r="B61" s="4" t="inlineStr">
        <is>
          <t>代謝・内分泌領域</t>
        </is>
      </c>
      <c r="C61" s="4" t="inlineStr">
        <is>
          <t>メトホルミン塩酸塩</t>
        </is>
      </c>
      <c r="D61" s="4" t="inlineStr">
        <is>
          <t>競合B</t>
        </is>
      </c>
      <c r="E61" s="4" t="inlineStr">
        <is>
          <t>競合B社製品</t>
        </is>
      </c>
      <c r="F61" s="4" t="inlineStr">
        <is>
          <t>錠</t>
        </is>
      </c>
      <c r="G61" s="4" t="n">
        <v>213553</v>
      </c>
      <c r="H61" s="4" t="n">
        <v>9.699999999999999</v>
      </c>
      <c r="I61" s="4" t="n">
        <v>2068414</v>
      </c>
      <c r="J61" s="4" t="n">
        <v>0.8576</v>
      </c>
    </row>
    <row r="62">
      <c r="A62" s="5" t="inlineStr">
        <is>
          <t>2024-04</t>
        </is>
      </c>
      <c r="B62" s="5" t="inlineStr">
        <is>
          <t>代謝・内分泌領域</t>
        </is>
      </c>
      <c r="C62" s="5" t="inlineStr">
        <is>
          <t>メトホルミン塩酸塩</t>
        </is>
      </c>
      <c r="D62" s="5" t="inlineStr">
        <is>
          <t>オリジナル</t>
        </is>
      </c>
      <c r="E62" s="5" t="inlineStr">
        <is>
          <t>メトグルコ（オリジナル）</t>
        </is>
      </c>
      <c r="F62" s="5" t="inlineStr">
        <is>
          <t>錠</t>
        </is>
      </c>
      <c r="G62" s="5" t="n">
        <v>85965</v>
      </c>
      <c r="H62" s="5" t="n">
        <v>12.2</v>
      </c>
      <c r="I62" s="5" t="n">
        <v>1052834</v>
      </c>
      <c r="J62" s="5" t="n">
        <v>0.8534</v>
      </c>
    </row>
    <row r="63">
      <c r="A63" s="4" t="inlineStr">
        <is>
          <t>2024-04</t>
        </is>
      </c>
      <c r="B63" s="4" t="inlineStr">
        <is>
          <t>代謝・内分泌領域</t>
        </is>
      </c>
      <c r="C63" s="4" t="inlineStr">
        <is>
          <t>メトホルミン塩酸塩</t>
        </is>
      </c>
      <c r="D63" s="4" t="inlineStr">
        <is>
          <t>自社</t>
        </is>
      </c>
      <c r="E63" s="4" t="inlineStr">
        <is>
          <t>メトグルコGE「サンド」（自社合計）</t>
        </is>
      </c>
      <c r="F63" s="4" t="inlineStr">
        <is>
          <t>錠</t>
        </is>
      </c>
      <c r="G63" s="4" t="n">
        <v>68924</v>
      </c>
      <c r="H63" s="4" t="n">
        <v>9.1</v>
      </c>
      <c r="I63" s="4" t="n">
        <v>625282</v>
      </c>
      <c r="J63" s="4" t="n">
        <v>0.8534</v>
      </c>
    </row>
    <row r="64">
      <c r="A64" s="5" t="inlineStr">
        <is>
          <t>2024-04</t>
        </is>
      </c>
      <c r="B64" s="5" t="inlineStr">
        <is>
          <t>代謝・内分泌領域</t>
        </is>
      </c>
      <c r="C64" s="5" t="inlineStr">
        <is>
          <t>メトホルミン塩酸塩</t>
        </is>
      </c>
      <c r="D64" s="5" t="inlineStr">
        <is>
          <t>競合A</t>
        </is>
      </c>
      <c r="E64" s="5" t="inlineStr">
        <is>
          <t>競合A社製品</t>
        </is>
      </c>
      <c r="F64" s="5" t="inlineStr">
        <is>
          <t>錠</t>
        </is>
      </c>
      <c r="G64" s="5" t="n">
        <v>236223</v>
      </c>
      <c r="H64" s="5" t="n">
        <v>8.800000000000001</v>
      </c>
      <c r="I64" s="5" t="n">
        <v>2070697</v>
      </c>
      <c r="J64" s="5" t="n">
        <v>0.8534</v>
      </c>
    </row>
    <row r="65">
      <c r="A65" s="4" t="inlineStr">
        <is>
          <t>2024-04</t>
        </is>
      </c>
      <c r="B65" s="4" t="inlineStr">
        <is>
          <t>代謝・内分泌領域</t>
        </is>
      </c>
      <c r="C65" s="4" t="inlineStr">
        <is>
          <t>メトホルミン塩酸塩</t>
        </is>
      </c>
      <c r="D65" s="4" t="inlineStr">
        <is>
          <t>競合B</t>
        </is>
      </c>
      <c r="E65" s="4" t="inlineStr">
        <is>
          <t>競合B社製品</t>
        </is>
      </c>
      <c r="F65" s="4" t="inlineStr">
        <is>
          <t>錠</t>
        </is>
      </c>
      <c r="G65" s="4" t="n">
        <v>195149</v>
      </c>
      <c r="H65" s="4" t="n">
        <v>8.800000000000001</v>
      </c>
      <c r="I65" s="4" t="n">
        <v>1719155</v>
      </c>
      <c r="J65" s="4" t="n">
        <v>0.8534</v>
      </c>
    </row>
    <row r="66">
      <c r="A66" s="5" t="inlineStr">
        <is>
          <t>2024-05</t>
        </is>
      </c>
      <c r="B66" s="5" t="inlineStr">
        <is>
          <t>代謝・内分泌領域</t>
        </is>
      </c>
      <c r="C66" s="5" t="inlineStr">
        <is>
          <t>メトホルミン塩酸塩</t>
        </is>
      </c>
      <c r="D66" s="5" t="inlineStr">
        <is>
          <t>オリジナル</t>
        </is>
      </c>
      <c r="E66" s="5" t="inlineStr">
        <is>
          <t>メトグルコ（オリジナル）</t>
        </is>
      </c>
      <c r="F66" s="5" t="inlineStr">
        <is>
          <t>錠</t>
        </is>
      </c>
      <c r="G66" s="5" t="n">
        <v>91490</v>
      </c>
      <c r="H66" s="5" t="n">
        <v>12.2</v>
      </c>
      <c r="I66" s="5" t="n">
        <v>1120499</v>
      </c>
      <c r="J66" s="5" t="n">
        <v>0.8458</v>
      </c>
    </row>
    <row r="67">
      <c r="A67" s="4" t="inlineStr">
        <is>
          <t>2024-05</t>
        </is>
      </c>
      <c r="B67" s="4" t="inlineStr">
        <is>
          <t>代謝・内分泌領域</t>
        </is>
      </c>
      <c r="C67" s="4" t="inlineStr">
        <is>
          <t>メトホルミン塩酸塩</t>
        </is>
      </c>
      <c r="D67" s="4" t="inlineStr">
        <is>
          <t>自社</t>
        </is>
      </c>
      <c r="E67" s="4" t="inlineStr">
        <is>
          <t>メトグルコGE「サンド」（自社合計）</t>
        </is>
      </c>
      <c r="F67" s="4" t="inlineStr">
        <is>
          <t>錠</t>
        </is>
      </c>
      <c r="G67" s="4" t="n">
        <v>73693</v>
      </c>
      <c r="H67" s="4" t="n">
        <v>9.1</v>
      </c>
      <c r="I67" s="4" t="n">
        <v>668541</v>
      </c>
      <c r="J67" s="4" t="n">
        <v>0.8458</v>
      </c>
    </row>
    <row r="68">
      <c r="A68" s="5" t="inlineStr">
        <is>
          <t>2024-05</t>
        </is>
      </c>
      <c r="B68" s="5" t="inlineStr">
        <is>
          <t>代謝・内分泌領域</t>
        </is>
      </c>
      <c r="C68" s="5" t="inlineStr">
        <is>
          <t>メトホルミン塩酸塩</t>
        </is>
      </c>
      <c r="D68" s="5" t="inlineStr">
        <is>
          <t>競合A</t>
        </is>
      </c>
      <c r="E68" s="5" t="inlineStr">
        <is>
          <t>競合A社製品</t>
        </is>
      </c>
      <c r="F68" s="5" t="inlineStr">
        <is>
          <t>錠</t>
        </is>
      </c>
      <c r="G68" s="5" t="n">
        <v>223935</v>
      </c>
      <c r="H68" s="5" t="n">
        <v>9</v>
      </c>
      <c r="I68" s="5" t="n">
        <v>2016177</v>
      </c>
      <c r="J68" s="5" t="n">
        <v>0.8458</v>
      </c>
    </row>
    <row r="69">
      <c r="A69" s="4" t="inlineStr">
        <is>
          <t>2024-05</t>
        </is>
      </c>
      <c r="B69" s="4" t="inlineStr">
        <is>
          <t>代謝・内分泌領域</t>
        </is>
      </c>
      <c r="C69" s="4" t="inlineStr">
        <is>
          <t>メトホルミン塩酸塩</t>
        </is>
      </c>
      <c r="D69" s="4" t="inlineStr">
        <is>
          <t>競合B</t>
        </is>
      </c>
      <c r="E69" s="4" t="inlineStr">
        <is>
          <t>競合B社製品</t>
        </is>
      </c>
      <c r="F69" s="4" t="inlineStr">
        <is>
          <t>錠</t>
        </is>
      </c>
      <c r="G69" s="4" t="n">
        <v>204374</v>
      </c>
      <c r="H69" s="4" t="n">
        <v>9.300000000000001</v>
      </c>
      <c r="I69" s="4" t="n">
        <v>1902258</v>
      </c>
      <c r="J69" s="4" t="n">
        <v>0.8458</v>
      </c>
    </row>
    <row r="70">
      <c r="A70" s="5" t="inlineStr">
        <is>
          <t>2024-06</t>
        </is>
      </c>
      <c r="B70" s="5" t="inlineStr">
        <is>
          <t>代謝・内分泌領域</t>
        </is>
      </c>
      <c r="C70" s="5" t="inlineStr">
        <is>
          <t>メトホルミン塩酸塩</t>
        </is>
      </c>
      <c r="D70" s="5" t="inlineStr">
        <is>
          <t>オリジナル</t>
        </is>
      </c>
      <c r="E70" s="5" t="inlineStr">
        <is>
          <t>メトグルコ（オリジナル）</t>
        </is>
      </c>
      <c r="F70" s="5" t="inlineStr">
        <is>
          <t>錠</t>
        </is>
      </c>
      <c r="G70" s="5" t="n">
        <v>82083</v>
      </c>
      <c r="H70" s="5" t="n">
        <v>12.2</v>
      </c>
      <c r="I70" s="5" t="n">
        <v>1005290</v>
      </c>
      <c r="J70" s="5" t="n">
        <v>0.8645</v>
      </c>
    </row>
    <row r="71">
      <c r="A71" s="4" t="inlineStr">
        <is>
          <t>2024-06</t>
        </is>
      </c>
      <c r="B71" s="4" t="inlineStr">
        <is>
          <t>代謝・内分泌領域</t>
        </is>
      </c>
      <c r="C71" s="4" t="inlineStr">
        <is>
          <t>メトホルミン塩酸塩</t>
        </is>
      </c>
      <c r="D71" s="4" t="inlineStr">
        <is>
          <t>自社</t>
        </is>
      </c>
      <c r="E71" s="4" t="inlineStr">
        <is>
          <t>メトグルコGE「サンド」（自社合計）</t>
        </is>
      </c>
      <c r="F71" s="4" t="inlineStr">
        <is>
          <t>錠</t>
        </is>
      </c>
      <c r="G71" s="4" t="n">
        <v>70327</v>
      </c>
      <c r="H71" s="4" t="n">
        <v>9.1</v>
      </c>
      <c r="I71" s="4" t="n">
        <v>638003</v>
      </c>
      <c r="J71" s="4" t="n">
        <v>0.8645</v>
      </c>
    </row>
    <row r="72">
      <c r="A72" s="5" t="inlineStr">
        <is>
          <t>2024-06</t>
        </is>
      </c>
      <c r="B72" s="5" t="inlineStr">
        <is>
          <t>代謝・内分泌領域</t>
        </is>
      </c>
      <c r="C72" s="5" t="inlineStr">
        <is>
          <t>メトホルミン塩酸塩</t>
        </is>
      </c>
      <c r="D72" s="5" t="inlineStr">
        <is>
          <t>競合A</t>
        </is>
      </c>
      <c r="E72" s="5" t="inlineStr">
        <is>
          <t>競合A社製品</t>
        </is>
      </c>
      <c r="F72" s="5" t="inlineStr">
        <is>
          <t>錠</t>
        </is>
      </c>
      <c r="G72" s="5" t="n">
        <v>246612</v>
      </c>
      <c r="H72" s="5" t="n">
        <v>8.9</v>
      </c>
      <c r="I72" s="5" t="n">
        <v>2194759</v>
      </c>
      <c r="J72" s="5" t="n">
        <v>0.8645</v>
      </c>
    </row>
    <row r="73">
      <c r="A73" s="4" t="inlineStr">
        <is>
          <t>2024-06</t>
        </is>
      </c>
      <c r="B73" s="4" t="inlineStr">
        <is>
          <t>代謝・内分泌領域</t>
        </is>
      </c>
      <c r="C73" s="4" t="inlineStr">
        <is>
          <t>メトホルミン塩酸塩</t>
        </is>
      </c>
      <c r="D73" s="4" t="inlineStr">
        <is>
          <t>競合B</t>
        </is>
      </c>
      <c r="E73" s="4" t="inlineStr">
        <is>
          <t>競合B社製品</t>
        </is>
      </c>
      <c r="F73" s="4" t="inlineStr">
        <is>
          <t>錠</t>
        </is>
      </c>
      <c r="G73" s="4" t="n">
        <v>206855</v>
      </c>
      <c r="H73" s="4" t="n">
        <v>9</v>
      </c>
      <c r="I73" s="4" t="n">
        <v>1863866</v>
      </c>
      <c r="J73" s="4" t="n">
        <v>0.8645</v>
      </c>
    </row>
    <row r="74">
      <c r="A74" s="5" t="inlineStr">
        <is>
          <t>2024-07</t>
        </is>
      </c>
      <c r="B74" s="5" t="inlineStr">
        <is>
          <t>代謝・内分泌領域</t>
        </is>
      </c>
      <c r="C74" s="5" t="inlineStr">
        <is>
          <t>メトホルミン塩酸塩</t>
        </is>
      </c>
      <c r="D74" s="5" t="inlineStr">
        <is>
          <t>オリジナル</t>
        </is>
      </c>
      <c r="E74" s="5" t="inlineStr">
        <is>
          <t>メトグルコ（オリジナル）</t>
        </is>
      </c>
      <c r="F74" s="5" t="inlineStr">
        <is>
          <t>錠</t>
        </is>
      </c>
      <c r="G74" s="5" t="n">
        <v>98705</v>
      </c>
      <c r="H74" s="5" t="n">
        <v>12.2</v>
      </c>
      <c r="I74" s="5" t="n">
        <v>1208857</v>
      </c>
      <c r="J74" s="5" t="n">
        <v>0.8411</v>
      </c>
    </row>
    <row r="75">
      <c r="A75" s="4" t="inlineStr">
        <is>
          <t>2024-07</t>
        </is>
      </c>
      <c r="B75" s="4" t="inlineStr">
        <is>
          <t>代謝・内分泌領域</t>
        </is>
      </c>
      <c r="C75" s="4" t="inlineStr">
        <is>
          <t>メトホルミン塩酸塩</t>
        </is>
      </c>
      <c r="D75" s="4" t="inlineStr">
        <is>
          <t>自社</t>
        </is>
      </c>
      <c r="E75" s="4" t="inlineStr">
        <is>
          <t>メトグルコGE「サンド」（自社合計）</t>
        </is>
      </c>
      <c r="F75" s="4" t="inlineStr">
        <is>
          <t>錠</t>
        </is>
      </c>
      <c r="G75" s="4" t="n">
        <v>77703</v>
      </c>
      <c r="H75" s="4" t="n">
        <v>9.1</v>
      </c>
      <c r="I75" s="4" t="n">
        <v>704922</v>
      </c>
      <c r="J75" s="4" t="n">
        <v>0.8411</v>
      </c>
    </row>
    <row r="76">
      <c r="A76" s="5" t="inlineStr">
        <is>
          <t>2024-07</t>
        </is>
      </c>
      <c r="B76" s="5" t="inlineStr">
        <is>
          <t>代謝・内分泌領域</t>
        </is>
      </c>
      <c r="C76" s="5" t="inlineStr">
        <is>
          <t>メトホルミン塩酸塩</t>
        </is>
      </c>
      <c r="D76" s="5" t="inlineStr">
        <is>
          <t>競合A</t>
        </is>
      </c>
      <c r="E76" s="5" t="inlineStr">
        <is>
          <t>競合A社製品</t>
        </is>
      </c>
      <c r="F76" s="5" t="inlineStr">
        <is>
          <t>錠</t>
        </is>
      </c>
      <c r="G76" s="5" t="n">
        <v>247751</v>
      </c>
      <c r="H76" s="5" t="n">
        <v>9</v>
      </c>
      <c r="I76" s="5" t="n">
        <v>2220891</v>
      </c>
      <c r="J76" s="5" t="n">
        <v>0.8411</v>
      </c>
    </row>
    <row r="77">
      <c r="A77" s="4" t="inlineStr">
        <is>
          <t>2024-07</t>
        </is>
      </c>
      <c r="B77" s="4" t="inlineStr">
        <is>
          <t>代謝・内分泌領域</t>
        </is>
      </c>
      <c r="C77" s="4" t="inlineStr">
        <is>
          <t>メトホルミン塩酸塩</t>
        </is>
      </c>
      <c r="D77" s="4" t="inlineStr">
        <is>
          <t>競合B</t>
        </is>
      </c>
      <c r="E77" s="4" t="inlineStr">
        <is>
          <t>競合B社製品</t>
        </is>
      </c>
      <c r="F77" s="4" t="inlineStr">
        <is>
          <t>錠</t>
        </is>
      </c>
      <c r="G77" s="4" t="n">
        <v>196939</v>
      </c>
      <c r="H77" s="4" t="n">
        <v>8.800000000000001</v>
      </c>
      <c r="I77" s="4" t="n">
        <v>1734960</v>
      </c>
      <c r="J77" s="4" t="n">
        <v>0.8411</v>
      </c>
    </row>
    <row r="78">
      <c r="A78" s="5" t="inlineStr">
        <is>
          <t>2024-08</t>
        </is>
      </c>
      <c r="B78" s="5" t="inlineStr">
        <is>
          <t>代謝・内分泌領域</t>
        </is>
      </c>
      <c r="C78" s="5" t="inlineStr">
        <is>
          <t>メトホルミン塩酸塩</t>
        </is>
      </c>
      <c r="D78" s="5" t="inlineStr">
        <is>
          <t>オリジナル</t>
        </is>
      </c>
      <c r="E78" s="5" t="inlineStr">
        <is>
          <t>メトグルコ（オリジナル）</t>
        </is>
      </c>
      <c r="F78" s="5" t="inlineStr">
        <is>
          <t>錠</t>
        </is>
      </c>
      <c r="G78" s="5" t="n">
        <v>89305</v>
      </c>
      <c r="H78" s="5" t="n">
        <v>12.2</v>
      </c>
      <c r="I78" s="5" t="n">
        <v>1093737</v>
      </c>
      <c r="J78" s="5" t="n">
        <v>0.8542</v>
      </c>
    </row>
    <row r="79">
      <c r="A79" s="4" t="inlineStr">
        <is>
          <t>2024-08</t>
        </is>
      </c>
      <c r="B79" s="4" t="inlineStr">
        <is>
          <t>代謝・内分泌領域</t>
        </is>
      </c>
      <c r="C79" s="4" t="inlineStr">
        <is>
          <t>メトホルミン塩酸塩</t>
        </is>
      </c>
      <c r="D79" s="4" t="inlineStr">
        <is>
          <t>自社</t>
        </is>
      </c>
      <c r="E79" s="4" t="inlineStr">
        <is>
          <t>メトグルコGE「サンド」（自社合計）</t>
        </is>
      </c>
      <c r="F79" s="4" t="inlineStr">
        <is>
          <t>錠</t>
        </is>
      </c>
      <c r="G79" s="4" t="n">
        <v>77159</v>
      </c>
      <c r="H79" s="4" t="n">
        <v>9.1</v>
      </c>
      <c r="I79" s="4" t="n">
        <v>699986</v>
      </c>
      <c r="J79" s="4" t="n">
        <v>0.8542</v>
      </c>
    </row>
    <row r="80">
      <c r="A80" s="5" t="inlineStr">
        <is>
          <t>2024-08</t>
        </is>
      </c>
      <c r="B80" s="5" t="inlineStr">
        <is>
          <t>代謝・内分泌領域</t>
        </is>
      </c>
      <c r="C80" s="5" t="inlineStr">
        <is>
          <t>メトホルミン塩酸塩</t>
        </is>
      </c>
      <c r="D80" s="5" t="inlineStr">
        <is>
          <t>競合A</t>
        </is>
      </c>
      <c r="E80" s="5" t="inlineStr">
        <is>
          <t>競合A社製品</t>
        </is>
      </c>
      <c r="F80" s="5" t="inlineStr">
        <is>
          <t>錠</t>
        </is>
      </c>
      <c r="G80" s="5" t="n">
        <v>245514</v>
      </c>
      <c r="H80" s="5" t="n">
        <v>9.4</v>
      </c>
      <c r="I80" s="5" t="n">
        <v>2298657</v>
      </c>
      <c r="J80" s="5" t="n">
        <v>0.8542</v>
      </c>
    </row>
    <row r="81">
      <c r="A81" s="4" t="inlineStr">
        <is>
          <t>2024-08</t>
        </is>
      </c>
      <c r="B81" s="4" t="inlineStr">
        <is>
          <t>代謝・内分泌領域</t>
        </is>
      </c>
      <c r="C81" s="4" t="inlineStr">
        <is>
          <t>メトホルミン塩酸塩</t>
        </is>
      </c>
      <c r="D81" s="4" t="inlineStr">
        <is>
          <t>競合B</t>
        </is>
      </c>
      <c r="E81" s="4" t="inlineStr">
        <is>
          <t>競合B社製品</t>
        </is>
      </c>
      <c r="F81" s="4" t="inlineStr">
        <is>
          <t>錠</t>
        </is>
      </c>
      <c r="G81" s="4" t="n">
        <v>200344</v>
      </c>
      <c r="H81" s="4" t="n">
        <v>9</v>
      </c>
      <c r="I81" s="4" t="n">
        <v>1808818</v>
      </c>
      <c r="J81" s="4" t="n">
        <v>0.8542</v>
      </c>
    </row>
    <row r="82">
      <c r="A82" s="5" t="inlineStr">
        <is>
          <t>2024-09</t>
        </is>
      </c>
      <c r="B82" s="5" t="inlineStr">
        <is>
          <t>代謝・内分泌領域</t>
        </is>
      </c>
      <c r="C82" s="5" t="inlineStr">
        <is>
          <t>メトホルミン塩酸塩</t>
        </is>
      </c>
      <c r="D82" s="5" t="inlineStr">
        <is>
          <t>オリジナル</t>
        </is>
      </c>
      <c r="E82" s="5" t="inlineStr">
        <is>
          <t>メトグルコ（オリジナル）</t>
        </is>
      </c>
      <c r="F82" s="5" t="inlineStr">
        <is>
          <t>錠</t>
        </is>
      </c>
      <c r="G82" s="5" t="n">
        <v>82593</v>
      </c>
      <c r="H82" s="5" t="n">
        <v>12.2</v>
      </c>
      <c r="I82" s="5" t="n">
        <v>1011537</v>
      </c>
      <c r="J82" s="5" t="n">
        <v>0.8622</v>
      </c>
    </row>
    <row r="83">
      <c r="A83" s="4" t="inlineStr">
        <is>
          <t>2024-09</t>
        </is>
      </c>
      <c r="B83" s="4" t="inlineStr">
        <is>
          <t>代謝・内分泌領域</t>
        </is>
      </c>
      <c r="C83" s="4" t="inlineStr">
        <is>
          <t>メトホルミン塩酸塩</t>
        </is>
      </c>
      <c r="D83" s="4" t="inlineStr">
        <is>
          <t>自社</t>
        </is>
      </c>
      <c r="E83" s="4" t="inlineStr">
        <is>
          <t>メトグルコGE「サンド」（自社合計）</t>
        </is>
      </c>
      <c r="F83" s="4" t="inlineStr">
        <is>
          <t>錠</t>
        </is>
      </c>
      <c r="G83" s="4" t="n">
        <v>76608</v>
      </c>
      <c r="H83" s="4" t="n">
        <v>9.1</v>
      </c>
      <c r="I83" s="4" t="n">
        <v>694992</v>
      </c>
      <c r="J83" s="4" t="n">
        <v>0.8622</v>
      </c>
    </row>
    <row r="84">
      <c r="A84" s="5" t="inlineStr">
        <is>
          <t>2024-09</t>
        </is>
      </c>
      <c r="B84" s="5" t="inlineStr">
        <is>
          <t>代謝・内分泌領域</t>
        </is>
      </c>
      <c r="C84" s="5" t="inlineStr">
        <is>
          <t>メトホルミン塩酸塩</t>
        </is>
      </c>
      <c r="D84" s="5" t="inlineStr">
        <is>
          <t>競合A</t>
        </is>
      </c>
      <c r="E84" s="5" t="inlineStr">
        <is>
          <t>競合A社製品</t>
        </is>
      </c>
      <c r="F84" s="5" t="inlineStr">
        <is>
          <t>錠</t>
        </is>
      </c>
      <c r="G84" s="5" t="n">
        <v>260129</v>
      </c>
      <c r="H84" s="5" t="n">
        <v>9.199999999999999</v>
      </c>
      <c r="I84" s="5" t="n">
        <v>2399305</v>
      </c>
      <c r="J84" s="5" t="n">
        <v>0.8622</v>
      </c>
    </row>
    <row r="85">
      <c r="A85" s="4" t="inlineStr">
        <is>
          <t>2024-09</t>
        </is>
      </c>
      <c r="B85" s="4" t="inlineStr">
        <is>
          <t>代謝・内分泌領域</t>
        </is>
      </c>
      <c r="C85" s="4" t="inlineStr">
        <is>
          <t>メトホルミン塩酸塩</t>
        </is>
      </c>
      <c r="D85" s="4" t="inlineStr">
        <is>
          <t>競合B</t>
        </is>
      </c>
      <c r="E85" s="4" t="inlineStr">
        <is>
          <t>競合B社製品</t>
        </is>
      </c>
      <c r="F85" s="4" t="inlineStr">
        <is>
          <t>錠</t>
        </is>
      </c>
      <c r="G85" s="4" t="n">
        <v>180189</v>
      </c>
      <c r="H85" s="4" t="n">
        <v>9.1</v>
      </c>
      <c r="I85" s="4" t="n">
        <v>1646339</v>
      </c>
      <c r="J85" s="4" t="n">
        <v>0.8622</v>
      </c>
    </row>
    <row r="86">
      <c r="A86" s="5" t="inlineStr">
        <is>
          <t>2024-10</t>
        </is>
      </c>
      <c r="B86" s="5" t="inlineStr">
        <is>
          <t>代謝・内分泌領域</t>
        </is>
      </c>
      <c r="C86" s="5" t="inlineStr">
        <is>
          <t>メトホルミン塩酸塩</t>
        </is>
      </c>
      <c r="D86" s="5" t="inlineStr">
        <is>
          <t>オリジナル</t>
        </is>
      </c>
      <c r="E86" s="5" t="inlineStr">
        <is>
          <t>メトグルコ（オリジナル）</t>
        </is>
      </c>
      <c r="F86" s="5" t="inlineStr">
        <is>
          <t>錠</t>
        </is>
      </c>
      <c r="G86" s="5" t="n">
        <v>94932</v>
      </c>
      <c r="H86" s="5" t="n">
        <v>12.2</v>
      </c>
      <c r="I86" s="5" t="n">
        <v>1162653</v>
      </c>
      <c r="J86" s="5" t="n">
        <v>0.8495</v>
      </c>
    </row>
    <row r="87">
      <c r="A87" s="4" t="inlineStr">
        <is>
          <t>2024-10</t>
        </is>
      </c>
      <c r="B87" s="4" t="inlineStr">
        <is>
          <t>代謝・内分泌領域</t>
        </is>
      </c>
      <c r="C87" s="4" t="inlineStr">
        <is>
          <t>メトホルミン塩酸塩</t>
        </is>
      </c>
      <c r="D87" s="4" t="inlineStr">
        <is>
          <t>自社</t>
        </is>
      </c>
      <c r="E87" s="4" t="inlineStr">
        <is>
          <t>メトグルコGE「サンド」（自社合計）</t>
        </is>
      </c>
      <c r="F87" s="4" t="inlineStr">
        <is>
          <t>錠</t>
        </is>
      </c>
      <c r="G87" s="4" t="n">
        <v>75207</v>
      </c>
      <c r="H87" s="4" t="n">
        <v>9.1</v>
      </c>
      <c r="I87" s="4" t="n">
        <v>682280</v>
      </c>
      <c r="J87" s="4" t="n">
        <v>0.8495</v>
      </c>
    </row>
    <row r="88">
      <c r="A88" s="5" t="inlineStr">
        <is>
          <t>2024-10</t>
        </is>
      </c>
      <c r="B88" s="5" t="inlineStr">
        <is>
          <t>代謝・内分泌領域</t>
        </is>
      </c>
      <c r="C88" s="5" t="inlineStr">
        <is>
          <t>メトホルミン塩酸塩</t>
        </is>
      </c>
      <c r="D88" s="5" t="inlineStr">
        <is>
          <t>競合A</t>
        </is>
      </c>
      <c r="E88" s="5" t="inlineStr">
        <is>
          <t>競合A社製品</t>
        </is>
      </c>
      <c r="F88" s="5" t="inlineStr">
        <is>
          <t>錠</t>
        </is>
      </c>
      <c r="G88" s="5" t="n">
        <v>240447</v>
      </c>
      <c r="H88" s="5" t="n">
        <v>9</v>
      </c>
      <c r="I88" s="5" t="n">
        <v>2164328</v>
      </c>
      <c r="J88" s="5" t="n">
        <v>0.8495</v>
      </c>
    </row>
    <row r="89">
      <c r="A89" s="4" t="inlineStr">
        <is>
          <t>2024-10</t>
        </is>
      </c>
      <c r="B89" s="4" t="inlineStr">
        <is>
          <t>代謝・内分泌領域</t>
        </is>
      </c>
      <c r="C89" s="4" t="inlineStr">
        <is>
          <t>メトホルミン塩酸塩</t>
        </is>
      </c>
      <c r="D89" s="4" t="inlineStr">
        <is>
          <t>競合B</t>
        </is>
      </c>
      <c r="E89" s="4" t="inlineStr">
        <is>
          <t>競合B社製品</t>
        </is>
      </c>
      <c r="F89" s="4" t="inlineStr">
        <is>
          <t>錠</t>
        </is>
      </c>
      <c r="G89" s="4" t="n">
        <v>220000</v>
      </c>
      <c r="H89" s="4" t="n">
        <v>8.800000000000001</v>
      </c>
      <c r="I89" s="4" t="n">
        <v>1940891</v>
      </c>
      <c r="J89" s="4" t="n">
        <v>0.8495</v>
      </c>
    </row>
    <row r="90">
      <c r="A90" s="5" t="inlineStr">
        <is>
          <t>2024-11</t>
        </is>
      </c>
      <c r="B90" s="5" t="inlineStr">
        <is>
          <t>代謝・内分泌領域</t>
        </is>
      </c>
      <c r="C90" s="5" t="inlineStr">
        <is>
          <t>メトホルミン塩酸塩</t>
        </is>
      </c>
      <c r="D90" s="5" t="inlineStr">
        <is>
          <t>オリジナル</t>
        </is>
      </c>
      <c r="E90" s="5" t="inlineStr">
        <is>
          <t>メトグルコ（オリジナル）</t>
        </is>
      </c>
      <c r="F90" s="5" t="inlineStr">
        <is>
          <t>錠</t>
        </is>
      </c>
      <c r="G90" s="5" t="n">
        <v>86988</v>
      </c>
      <c r="H90" s="5" t="n">
        <v>12.2</v>
      </c>
      <c r="I90" s="5" t="n">
        <v>1065353</v>
      </c>
      <c r="J90" s="5" t="n">
        <v>0.8599</v>
      </c>
    </row>
    <row r="91">
      <c r="A91" s="4" t="inlineStr">
        <is>
          <t>2024-11</t>
        </is>
      </c>
      <c r="B91" s="4" t="inlineStr">
        <is>
          <t>代謝・内分泌領域</t>
        </is>
      </c>
      <c r="C91" s="4" t="inlineStr">
        <is>
          <t>メトホルミン塩酸塩</t>
        </is>
      </c>
      <c r="D91" s="4" t="inlineStr">
        <is>
          <t>自社</t>
        </is>
      </c>
      <c r="E91" s="4" t="inlineStr">
        <is>
          <t>メトグルコGE「サンド」（自社合計）</t>
        </is>
      </c>
      <c r="F91" s="4" t="inlineStr">
        <is>
          <t>錠</t>
        </is>
      </c>
      <c r="G91" s="4" t="n">
        <v>70973</v>
      </c>
      <c r="H91" s="4" t="n">
        <v>9.1</v>
      </c>
      <c r="I91" s="4" t="n">
        <v>643871</v>
      </c>
      <c r="J91" s="4" t="n">
        <v>0.8599</v>
      </c>
    </row>
    <row r="92">
      <c r="A92" s="5" t="inlineStr">
        <is>
          <t>2024-11</t>
        </is>
      </c>
      <c r="B92" s="5" t="inlineStr">
        <is>
          <t>代謝・内分泌領域</t>
        </is>
      </c>
      <c r="C92" s="5" t="inlineStr">
        <is>
          <t>メトホルミン塩酸塩</t>
        </is>
      </c>
      <c r="D92" s="5" t="inlineStr">
        <is>
          <t>競合A</t>
        </is>
      </c>
      <c r="E92" s="5" t="inlineStr">
        <is>
          <t>競合A社製品</t>
        </is>
      </c>
      <c r="F92" s="5" t="inlineStr">
        <is>
          <t>錠</t>
        </is>
      </c>
      <c r="G92" s="5" t="n">
        <v>240593</v>
      </c>
      <c r="H92" s="5" t="n">
        <v>9.1</v>
      </c>
      <c r="I92" s="5" t="n">
        <v>2196347</v>
      </c>
      <c r="J92" s="5" t="n">
        <v>0.8599</v>
      </c>
    </row>
    <row r="93">
      <c r="A93" s="4" t="inlineStr">
        <is>
          <t>2024-11</t>
        </is>
      </c>
      <c r="B93" s="4" t="inlineStr">
        <is>
          <t>代謝・内分泌領域</t>
        </is>
      </c>
      <c r="C93" s="4" t="inlineStr">
        <is>
          <t>メトホルミン塩酸塩</t>
        </is>
      </c>
      <c r="D93" s="4" t="inlineStr">
        <is>
          <t>競合B</t>
        </is>
      </c>
      <c r="E93" s="4" t="inlineStr">
        <is>
          <t>競合B社製品</t>
        </is>
      </c>
      <c r="F93" s="4" t="inlineStr">
        <is>
          <t>錠</t>
        </is>
      </c>
      <c r="G93" s="4" t="n">
        <v>222502</v>
      </c>
      <c r="H93" s="4" t="n">
        <v>9.199999999999999</v>
      </c>
      <c r="I93" s="4" t="n">
        <v>2052376</v>
      </c>
      <c r="J93" s="4" t="n">
        <v>0.8599</v>
      </c>
    </row>
    <row r="94">
      <c r="A94" s="5" t="inlineStr">
        <is>
          <t>2024-12</t>
        </is>
      </c>
      <c r="B94" s="5" t="inlineStr">
        <is>
          <t>代謝・内分泌領域</t>
        </is>
      </c>
      <c r="C94" s="5" t="inlineStr">
        <is>
          <t>メトホルミン塩酸塩</t>
        </is>
      </c>
      <c r="D94" s="5" t="inlineStr">
        <is>
          <t>オリジナル</t>
        </is>
      </c>
      <c r="E94" s="5" t="inlineStr">
        <is>
          <t>メトグルコ（オリジナル）</t>
        </is>
      </c>
      <c r="F94" s="5" t="inlineStr">
        <is>
          <t>錠</t>
        </is>
      </c>
      <c r="G94" s="5" t="n">
        <v>68922</v>
      </c>
      <c r="H94" s="5" t="n">
        <v>12.2</v>
      </c>
      <c r="I94" s="5" t="n">
        <v>844107</v>
      </c>
      <c r="J94" s="5" t="n">
        <v>0.892</v>
      </c>
    </row>
    <row r="95">
      <c r="A95" s="4" t="inlineStr">
        <is>
          <t>2024-12</t>
        </is>
      </c>
      <c r="B95" s="4" t="inlineStr">
        <is>
          <t>代謝・内分泌領域</t>
        </is>
      </c>
      <c r="C95" s="4" t="inlineStr">
        <is>
          <t>メトホルミン塩酸塩</t>
        </is>
      </c>
      <c r="D95" s="4" t="inlineStr">
        <is>
          <t>自社</t>
        </is>
      </c>
      <c r="E95" s="4" t="inlineStr">
        <is>
          <t>メトグルコGE「サンド」（自社合計）</t>
        </is>
      </c>
      <c r="F95" s="4" t="inlineStr">
        <is>
          <t>錠</t>
        </is>
      </c>
      <c r="G95" s="4" t="n">
        <v>86869</v>
      </c>
      <c r="H95" s="4" t="n">
        <v>9.1</v>
      </c>
      <c r="I95" s="4" t="n">
        <v>788076</v>
      </c>
      <c r="J95" s="4" t="n">
        <v>0.892</v>
      </c>
    </row>
    <row r="96">
      <c r="A96" s="5" t="inlineStr">
        <is>
          <t>2024-12</t>
        </is>
      </c>
      <c r="B96" s="5" t="inlineStr">
        <is>
          <t>代謝・内分泌領域</t>
        </is>
      </c>
      <c r="C96" s="5" t="inlineStr">
        <is>
          <t>メトホルミン塩酸塩</t>
        </is>
      </c>
      <c r="D96" s="5" t="inlineStr">
        <is>
          <t>競合A</t>
        </is>
      </c>
      <c r="E96" s="5" t="inlineStr">
        <is>
          <t>競合A社製品</t>
        </is>
      </c>
      <c r="F96" s="5" t="inlineStr">
        <is>
          <t>錠</t>
        </is>
      </c>
      <c r="G96" s="5" t="n">
        <v>251103</v>
      </c>
      <c r="H96" s="5" t="n">
        <v>8.699999999999999</v>
      </c>
      <c r="I96" s="5" t="n">
        <v>2180871</v>
      </c>
      <c r="J96" s="5" t="n">
        <v>0.892</v>
      </c>
    </row>
    <row r="97">
      <c r="A97" s="4" t="inlineStr">
        <is>
          <t>2024-12</t>
        </is>
      </c>
      <c r="B97" s="4" t="inlineStr">
        <is>
          <t>代謝・内分泌領域</t>
        </is>
      </c>
      <c r="C97" s="4" t="inlineStr">
        <is>
          <t>メトホルミン塩酸塩</t>
        </is>
      </c>
      <c r="D97" s="4" t="inlineStr">
        <is>
          <t>競合B</t>
        </is>
      </c>
      <c r="E97" s="4" t="inlineStr">
        <is>
          <t>競合B社製品</t>
        </is>
      </c>
      <c r="F97" s="4" t="inlineStr">
        <is>
          <t>錠</t>
        </is>
      </c>
      <c r="G97" s="4" t="n">
        <v>231496</v>
      </c>
      <c r="H97" s="4" t="n">
        <v>9.1</v>
      </c>
      <c r="I97" s="4" t="n">
        <v>2111378</v>
      </c>
      <c r="J97" s="4" t="n">
        <v>0.892</v>
      </c>
    </row>
    <row r="98">
      <c r="A98" s="5" t="inlineStr">
        <is>
          <t>2025-01</t>
        </is>
      </c>
      <c r="B98" s="5" t="inlineStr">
        <is>
          <t>代謝・内分泌領域</t>
        </is>
      </c>
      <c r="C98" s="5" t="inlineStr">
        <is>
          <t>メトホルミン塩酸塩</t>
        </is>
      </c>
      <c r="D98" s="5" t="inlineStr">
        <is>
          <t>オリジナル</t>
        </is>
      </c>
      <c r="E98" s="5" t="inlineStr">
        <is>
          <t>メトグルコ（オリジナル）</t>
        </is>
      </c>
      <c r="F98" s="5" t="inlineStr">
        <is>
          <t>錠</t>
        </is>
      </c>
      <c r="G98" s="5" t="n">
        <v>84983</v>
      </c>
      <c r="H98" s="5" t="n">
        <v>12.2</v>
      </c>
      <c r="I98" s="5" t="n">
        <v>1040798</v>
      </c>
      <c r="J98" s="5" t="n">
        <v>0.8594000000000001</v>
      </c>
    </row>
    <row r="99">
      <c r="A99" s="4" t="inlineStr">
        <is>
          <t>2025-01</t>
        </is>
      </c>
      <c r="B99" s="4" t="inlineStr">
        <is>
          <t>代謝・内分泌領域</t>
        </is>
      </c>
      <c r="C99" s="4" t="inlineStr">
        <is>
          <t>メトホルミン塩酸塩</t>
        </is>
      </c>
      <c r="D99" s="4" t="inlineStr">
        <is>
          <t>自社</t>
        </is>
      </c>
      <c r="E99" s="4" t="inlineStr">
        <is>
          <t>メトグルコGE「サンド」（自社合計）</t>
        </is>
      </c>
      <c r="F99" s="4" t="inlineStr">
        <is>
          <t>錠</t>
        </is>
      </c>
      <c r="G99" s="4" t="n">
        <v>74331</v>
      </c>
      <c r="H99" s="4" t="n">
        <v>9.1</v>
      </c>
      <c r="I99" s="4" t="n">
        <v>674335</v>
      </c>
      <c r="J99" s="4" t="n">
        <v>0.8594000000000001</v>
      </c>
    </row>
    <row r="100">
      <c r="A100" s="5" t="inlineStr">
        <is>
          <t>2025-01</t>
        </is>
      </c>
      <c r="B100" s="5" t="inlineStr">
        <is>
          <t>代謝・内分泌領域</t>
        </is>
      </c>
      <c r="C100" s="5" t="inlineStr">
        <is>
          <t>メトホルミン塩酸塩</t>
        </is>
      </c>
      <c r="D100" s="5" t="inlineStr">
        <is>
          <t>競合A</t>
        </is>
      </c>
      <c r="E100" s="5" t="inlineStr">
        <is>
          <t>競合A社製品</t>
        </is>
      </c>
      <c r="F100" s="5" t="inlineStr">
        <is>
          <t>錠</t>
        </is>
      </c>
      <c r="G100" s="5" t="n">
        <v>242970</v>
      </c>
      <c r="H100" s="5" t="n">
        <v>9.300000000000001</v>
      </c>
      <c r="I100" s="5" t="n">
        <v>2251213</v>
      </c>
      <c r="J100" s="5" t="n">
        <v>0.8594000000000001</v>
      </c>
    </row>
    <row r="101">
      <c r="A101" s="4" t="inlineStr">
        <is>
          <t>2025-01</t>
        </is>
      </c>
      <c r="B101" s="4" t="inlineStr">
        <is>
          <t>代謝・内分泌領域</t>
        </is>
      </c>
      <c r="C101" s="4" t="inlineStr">
        <is>
          <t>メトホルミン塩酸塩</t>
        </is>
      </c>
      <c r="D101" s="4" t="inlineStr">
        <is>
          <t>競合B</t>
        </is>
      </c>
      <c r="E101" s="4" t="inlineStr">
        <is>
          <t>競合B社製品</t>
        </is>
      </c>
      <c r="F101" s="4" t="inlineStr">
        <is>
          <t>錠</t>
        </is>
      </c>
      <c r="G101" s="4" t="n">
        <v>202212</v>
      </c>
      <c r="H101" s="4" t="n">
        <v>9.1</v>
      </c>
      <c r="I101" s="4" t="n">
        <v>1840230</v>
      </c>
      <c r="J101" s="4" t="n">
        <v>0.8594000000000001</v>
      </c>
    </row>
    <row r="102">
      <c r="A102" s="5" t="inlineStr">
        <is>
          <t>2025-02</t>
        </is>
      </c>
      <c r="B102" s="5" t="inlineStr">
        <is>
          <t>代謝・内分泌領域</t>
        </is>
      </c>
      <c r="C102" s="5" t="inlineStr">
        <is>
          <t>メトホルミン塩酸塩</t>
        </is>
      </c>
      <c r="D102" s="5" t="inlineStr">
        <is>
          <t>オリジナル</t>
        </is>
      </c>
      <c r="E102" s="5" t="inlineStr">
        <is>
          <t>メトグルコ（オリジナル）</t>
        </is>
      </c>
      <c r="F102" s="5" t="inlineStr">
        <is>
          <t>錠</t>
        </is>
      </c>
      <c r="G102" s="5" t="n">
        <v>89629</v>
      </c>
      <c r="H102" s="5" t="n">
        <v>12.2</v>
      </c>
      <c r="I102" s="5" t="n">
        <v>1097708</v>
      </c>
      <c r="J102" s="5" t="n">
        <v>0.8538</v>
      </c>
    </row>
    <row r="103">
      <c r="A103" s="4" t="inlineStr">
        <is>
          <t>2025-02</t>
        </is>
      </c>
      <c r="B103" s="4" t="inlineStr">
        <is>
          <t>代謝・内分泌領域</t>
        </is>
      </c>
      <c r="C103" s="4" t="inlineStr">
        <is>
          <t>メトホルミン塩酸塩</t>
        </is>
      </c>
      <c r="D103" s="4" t="inlineStr">
        <is>
          <t>自社</t>
        </is>
      </c>
      <c r="E103" s="4" t="inlineStr">
        <is>
          <t>メトグルコGE「サンド」（自社合計）</t>
        </is>
      </c>
      <c r="F103" s="4" t="inlineStr">
        <is>
          <t>錠</t>
        </is>
      </c>
      <c r="G103" s="4" t="n">
        <v>69760</v>
      </c>
      <c r="H103" s="4" t="n">
        <v>9.1</v>
      </c>
      <c r="I103" s="4" t="n">
        <v>632865</v>
      </c>
      <c r="J103" s="4" t="n">
        <v>0.8538</v>
      </c>
    </row>
    <row r="104">
      <c r="A104" s="5" t="inlineStr">
        <is>
          <t>2025-02</t>
        </is>
      </c>
      <c r="B104" s="5" t="inlineStr">
        <is>
          <t>代謝・内分泌領域</t>
        </is>
      </c>
      <c r="C104" s="5" t="inlineStr">
        <is>
          <t>メトホルミン塩酸塩</t>
        </is>
      </c>
      <c r="D104" s="5" t="inlineStr">
        <is>
          <t>競合A</t>
        </is>
      </c>
      <c r="E104" s="5" t="inlineStr">
        <is>
          <t>競合A社製品</t>
        </is>
      </c>
      <c r="F104" s="5" t="inlineStr">
        <is>
          <t>錠</t>
        </is>
      </c>
      <c r="G104" s="5" t="n">
        <v>242946</v>
      </c>
      <c r="H104" s="5" t="n">
        <v>9.1</v>
      </c>
      <c r="I104" s="5" t="n">
        <v>2201636</v>
      </c>
      <c r="J104" s="5" t="n">
        <v>0.8538</v>
      </c>
    </row>
    <row r="105">
      <c r="A105" s="4" t="inlineStr">
        <is>
          <t>2025-02</t>
        </is>
      </c>
      <c r="B105" s="4" t="inlineStr">
        <is>
          <t>代謝・内分泌領域</t>
        </is>
      </c>
      <c r="C105" s="4" t="inlineStr">
        <is>
          <t>メトホルミン塩酸塩</t>
        </is>
      </c>
      <c r="D105" s="4" t="inlineStr">
        <is>
          <t>競合B</t>
        </is>
      </c>
      <c r="E105" s="4" t="inlineStr">
        <is>
          <t>競合B社製品</t>
        </is>
      </c>
      <c r="F105" s="4" t="inlineStr">
        <is>
          <t>錠</t>
        </is>
      </c>
      <c r="G105" s="4" t="n">
        <v>210810</v>
      </c>
      <c r="H105" s="4" t="n">
        <v>9.4</v>
      </c>
      <c r="I105" s="4" t="n">
        <v>1980094</v>
      </c>
      <c r="J105" s="4" t="n">
        <v>0.8538</v>
      </c>
    </row>
    <row r="106">
      <c r="A106" s="5" t="inlineStr">
        <is>
          <t>2025-03</t>
        </is>
      </c>
      <c r="B106" s="5" t="inlineStr">
        <is>
          <t>代謝・内分泌領域</t>
        </is>
      </c>
      <c r="C106" s="5" t="inlineStr">
        <is>
          <t>メトホルミン塩酸塩</t>
        </is>
      </c>
      <c r="D106" s="5" t="inlineStr">
        <is>
          <t>オリジナル</t>
        </is>
      </c>
      <c r="E106" s="5" t="inlineStr">
        <is>
          <t>メトグルコ（オリジナル）</t>
        </is>
      </c>
      <c r="F106" s="5" t="inlineStr">
        <is>
          <t>錠</t>
        </is>
      </c>
      <c r="G106" s="5" t="n">
        <v>83634</v>
      </c>
      <c r="H106" s="5" t="n">
        <v>12.2</v>
      </c>
      <c r="I106" s="5" t="n">
        <v>1024279</v>
      </c>
      <c r="J106" s="5" t="n">
        <v>0.8746</v>
      </c>
    </row>
    <row r="107">
      <c r="A107" s="4" t="inlineStr">
        <is>
          <t>2025-03</t>
        </is>
      </c>
      <c r="B107" s="4" t="inlineStr">
        <is>
          <t>代謝・内分泌領域</t>
        </is>
      </c>
      <c r="C107" s="4" t="inlineStr">
        <is>
          <t>メトホルミン塩酸塩</t>
        </is>
      </c>
      <c r="D107" s="4" t="inlineStr">
        <is>
          <t>自社</t>
        </is>
      </c>
      <c r="E107" s="4" t="inlineStr">
        <is>
          <t>メトグルコGE「サンド」（自社合計）</t>
        </is>
      </c>
      <c r="F107" s="4" t="inlineStr">
        <is>
          <t>錠</t>
        </is>
      </c>
      <c r="G107" s="4" t="n">
        <v>85015</v>
      </c>
      <c r="H107" s="4" t="n">
        <v>9.1</v>
      </c>
      <c r="I107" s="4" t="n">
        <v>771256</v>
      </c>
      <c r="J107" s="4" t="n">
        <v>0.8746</v>
      </c>
    </row>
    <row r="108">
      <c r="A108" s="5" t="inlineStr">
        <is>
          <t>2025-03</t>
        </is>
      </c>
      <c r="B108" s="5" t="inlineStr">
        <is>
          <t>代謝・内分泌領域</t>
        </is>
      </c>
      <c r="C108" s="5" t="inlineStr">
        <is>
          <t>メトホルミン塩酸塩</t>
        </is>
      </c>
      <c r="D108" s="5" t="inlineStr">
        <is>
          <t>競合A</t>
        </is>
      </c>
      <c r="E108" s="5" t="inlineStr">
        <is>
          <t>競合A社製品</t>
        </is>
      </c>
      <c r="F108" s="5" t="inlineStr">
        <is>
          <t>錠</t>
        </is>
      </c>
      <c r="G108" s="5" t="n">
        <v>256223</v>
      </c>
      <c r="H108" s="5" t="n">
        <v>8.9</v>
      </c>
      <c r="I108" s="5" t="n">
        <v>2279584</v>
      </c>
      <c r="J108" s="5" t="n">
        <v>0.8746</v>
      </c>
    </row>
    <row r="109">
      <c r="A109" s="4" t="inlineStr">
        <is>
          <t>2025-03</t>
        </is>
      </c>
      <c r="B109" s="4" t="inlineStr">
        <is>
          <t>代謝・内分泌領域</t>
        </is>
      </c>
      <c r="C109" s="4" t="inlineStr">
        <is>
          <t>メトホルミン塩酸塩</t>
        </is>
      </c>
      <c r="D109" s="4" t="inlineStr">
        <is>
          <t>競合B</t>
        </is>
      </c>
      <c r="E109" s="4" t="inlineStr">
        <is>
          <t>競合B社製品</t>
        </is>
      </c>
      <c r="F109" s="4" t="inlineStr">
        <is>
          <t>錠</t>
        </is>
      </c>
      <c r="G109" s="4" t="n">
        <v>241827</v>
      </c>
      <c r="H109" s="4" t="n">
        <v>8.9</v>
      </c>
      <c r="I109" s="4" t="n">
        <v>2162036</v>
      </c>
      <c r="J109" s="4" t="n">
        <v>0.8746</v>
      </c>
    </row>
    <row r="110">
      <c r="A110" s="5" t="inlineStr">
        <is>
          <t>2025-04</t>
        </is>
      </c>
      <c r="B110" s="5" t="inlineStr">
        <is>
          <t>代謝・内分泌領域</t>
        </is>
      </c>
      <c r="C110" s="5" t="inlineStr">
        <is>
          <t>メトホルミン塩酸塩</t>
        </is>
      </c>
      <c r="D110" s="5" t="inlineStr">
        <is>
          <t>オリジナル</t>
        </is>
      </c>
      <c r="E110" s="5" t="inlineStr">
        <is>
          <t>メトグルコ（オリジナル）</t>
        </is>
      </c>
      <c r="F110" s="5" t="inlineStr">
        <is>
          <t>錠</t>
        </is>
      </c>
      <c r="G110" s="5" t="n">
        <v>87284</v>
      </c>
      <c r="H110" s="5" t="n">
        <v>11.9</v>
      </c>
      <c r="I110" s="5" t="n">
        <v>1036910</v>
      </c>
      <c r="J110" s="5" t="n">
        <v>0.857</v>
      </c>
    </row>
    <row r="111">
      <c r="A111" s="4" t="inlineStr">
        <is>
          <t>2025-04</t>
        </is>
      </c>
      <c r="B111" s="4" t="inlineStr">
        <is>
          <t>代謝・内分泌領域</t>
        </is>
      </c>
      <c r="C111" s="4" t="inlineStr">
        <is>
          <t>メトホルミン塩酸塩</t>
        </is>
      </c>
      <c r="D111" s="4" t="inlineStr">
        <is>
          <t>自社</t>
        </is>
      </c>
      <c r="E111" s="4" t="inlineStr">
        <is>
          <t>メトグルコGE「サンド」（自社合計）</t>
        </is>
      </c>
      <c r="F111" s="4" t="inlineStr">
        <is>
          <t>錠</t>
        </is>
      </c>
      <c r="G111" s="4" t="n">
        <v>83696</v>
      </c>
      <c r="H111" s="4" t="n">
        <v>8.800000000000001</v>
      </c>
      <c r="I111" s="4" t="n">
        <v>736507</v>
      </c>
      <c r="J111" s="4" t="n">
        <v>0.857</v>
      </c>
    </row>
    <row r="112">
      <c r="A112" s="5" t="inlineStr">
        <is>
          <t>2025-04</t>
        </is>
      </c>
      <c r="B112" s="5" t="inlineStr">
        <is>
          <t>代謝・内分泌領域</t>
        </is>
      </c>
      <c r="C112" s="5" t="inlineStr">
        <is>
          <t>メトホルミン塩酸塩</t>
        </is>
      </c>
      <c r="D112" s="5" t="inlineStr">
        <is>
          <t>競合A</t>
        </is>
      </c>
      <c r="E112" s="5" t="inlineStr">
        <is>
          <t>競合A社製品</t>
        </is>
      </c>
      <c r="F112" s="5" t="inlineStr">
        <is>
          <t>錠</t>
        </is>
      </c>
      <c r="G112" s="5" t="n">
        <v>229794</v>
      </c>
      <c r="H112" s="5" t="n">
        <v>9</v>
      </c>
      <c r="I112" s="5" t="n">
        <v>2059829</v>
      </c>
      <c r="J112" s="5" t="n">
        <v>0.857</v>
      </c>
    </row>
    <row r="113">
      <c r="A113" s="4" t="inlineStr">
        <is>
          <t>2025-04</t>
        </is>
      </c>
      <c r="B113" s="4" t="inlineStr">
        <is>
          <t>代謝・内分泌領域</t>
        </is>
      </c>
      <c r="C113" s="4" t="inlineStr">
        <is>
          <t>メトホルミン塩酸塩</t>
        </is>
      </c>
      <c r="D113" s="4" t="inlineStr">
        <is>
          <t>競合B</t>
        </is>
      </c>
      <c r="E113" s="4" t="inlineStr">
        <is>
          <t>競合B社製品</t>
        </is>
      </c>
      <c r="F113" s="4" t="inlineStr">
        <is>
          <t>錠</t>
        </is>
      </c>
      <c r="G113" s="4" t="n">
        <v>209657</v>
      </c>
      <c r="H113" s="4" t="n">
        <v>8.9</v>
      </c>
      <c r="I113" s="4" t="n">
        <v>1859150</v>
      </c>
      <c r="J113" s="4" t="n">
        <v>0.857</v>
      </c>
    </row>
    <row r="114">
      <c r="A114" s="5" t="inlineStr">
        <is>
          <t>2025-05</t>
        </is>
      </c>
      <c r="B114" s="5" t="inlineStr">
        <is>
          <t>代謝・内分泌領域</t>
        </is>
      </c>
      <c r="C114" s="5" t="inlineStr">
        <is>
          <t>メトホルミン塩酸塩</t>
        </is>
      </c>
      <c r="D114" s="5" t="inlineStr">
        <is>
          <t>オリジナル</t>
        </is>
      </c>
      <c r="E114" s="5" t="inlineStr">
        <is>
          <t>メトグルコ（オリジナル）</t>
        </is>
      </c>
      <c r="F114" s="5" t="inlineStr">
        <is>
          <t>錠</t>
        </is>
      </c>
      <c r="G114" s="5" t="n">
        <v>82858</v>
      </c>
      <c r="H114" s="5" t="n">
        <v>11.9</v>
      </c>
      <c r="I114" s="5" t="n">
        <v>984340</v>
      </c>
      <c r="J114" s="5" t="n">
        <v>0.8653</v>
      </c>
    </row>
    <row r="115">
      <c r="A115" s="4" t="inlineStr">
        <is>
          <t>2025-05</t>
        </is>
      </c>
      <c r="B115" s="4" t="inlineStr">
        <is>
          <t>代謝・内分泌領域</t>
        </is>
      </c>
      <c r="C115" s="4" t="inlineStr">
        <is>
          <t>メトホルミン塩酸塩</t>
        </is>
      </c>
      <c r="D115" s="4" t="inlineStr">
        <is>
          <t>自社</t>
        </is>
      </c>
      <c r="E115" s="4" t="inlineStr">
        <is>
          <t>メトグルコGE「サンド」（自社合計）</t>
        </is>
      </c>
      <c r="F115" s="4" t="inlineStr">
        <is>
          <t>錠</t>
        </is>
      </c>
      <c r="G115" s="4" t="n">
        <v>77614</v>
      </c>
      <c r="H115" s="4" t="n">
        <v>8.800000000000001</v>
      </c>
      <c r="I115" s="4" t="n">
        <v>682993</v>
      </c>
      <c r="J115" s="4" t="n">
        <v>0.8653</v>
      </c>
    </row>
    <row r="116">
      <c r="A116" s="5" t="inlineStr">
        <is>
          <t>2025-05</t>
        </is>
      </c>
      <c r="B116" s="5" t="inlineStr">
        <is>
          <t>代謝・内分泌領域</t>
        </is>
      </c>
      <c r="C116" s="5" t="inlineStr">
        <is>
          <t>メトホルミン塩酸塩</t>
        </is>
      </c>
      <c r="D116" s="5" t="inlineStr">
        <is>
          <t>競合A</t>
        </is>
      </c>
      <c r="E116" s="5" t="inlineStr">
        <is>
          <t>競合A社製品</t>
        </is>
      </c>
      <c r="F116" s="5" t="inlineStr">
        <is>
          <t>錠</t>
        </is>
      </c>
      <c r="G116" s="5" t="n">
        <v>256074</v>
      </c>
      <c r="H116" s="5" t="n">
        <v>8.699999999999999</v>
      </c>
      <c r="I116" s="5" t="n">
        <v>2232902</v>
      </c>
      <c r="J116" s="5" t="n">
        <v>0.8653</v>
      </c>
    </row>
    <row r="117">
      <c r="A117" s="4" t="inlineStr">
        <is>
          <t>2025-05</t>
        </is>
      </c>
      <c r="B117" s="4" t="inlineStr">
        <is>
          <t>代謝・内分泌領域</t>
        </is>
      </c>
      <c r="C117" s="4" t="inlineStr">
        <is>
          <t>メトホルミン塩酸塩</t>
        </is>
      </c>
      <c r="D117" s="4" t="inlineStr">
        <is>
          <t>競合B</t>
        </is>
      </c>
      <c r="E117" s="4" t="inlineStr">
        <is>
          <t>競合B社製品</t>
        </is>
      </c>
      <c r="F117" s="4" t="inlineStr">
        <is>
          <t>錠</t>
        </is>
      </c>
      <c r="G117" s="4" t="n">
        <v>198456</v>
      </c>
      <c r="H117" s="4" t="n">
        <v>8.6</v>
      </c>
      <c r="I117" s="4" t="n">
        <v>1703570</v>
      </c>
      <c r="J117" s="4" t="n">
        <v>0.8653</v>
      </c>
    </row>
    <row r="118">
      <c r="A118" s="5" t="inlineStr">
        <is>
          <t>2025-06</t>
        </is>
      </c>
      <c r="B118" s="5" t="inlineStr">
        <is>
          <t>代謝・内分泌領域</t>
        </is>
      </c>
      <c r="C118" s="5" t="inlineStr">
        <is>
          <t>メトホルミン塩酸塩</t>
        </is>
      </c>
      <c r="D118" s="5" t="inlineStr">
        <is>
          <t>オリジナル</t>
        </is>
      </c>
      <c r="E118" s="5" t="inlineStr">
        <is>
          <t>メトグルコ（オリジナル）</t>
        </is>
      </c>
      <c r="F118" s="5" t="inlineStr">
        <is>
          <t>錠</t>
        </is>
      </c>
      <c r="G118" s="5" t="n">
        <v>79545</v>
      </c>
      <c r="H118" s="5" t="n">
        <v>11.9</v>
      </c>
      <c r="I118" s="5" t="n">
        <v>944974</v>
      </c>
      <c r="J118" s="5" t="n">
        <v>0.8678</v>
      </c>
    </row>
    <row r="119">
      <c r="A119" s="4" t="inlineStr">
        <is>
          <t>2025-06</t>
        </is>
      </c>
      <c r="B119" s="4" t="inlineStr">
        <is>
          <t>代謝・内分泌領域</t>
        </is>
      </c>
      <c r="C119" s="4" t="inlineStr">
        <is>
          <t>メトホルミン塩酸塩</t>
        </is>
      </c>
      <c r="D119" s="4" t="inlineStr">
        <is>
          <t>自社</t>
        </is>
      </c>
      <c r="E119" s="4" t="inlineStr">
        <is>
          <t>メトグルコGE「サンド」（自社合計）</t>
        </is>
      </c>
      <c r="F119" s="4" t="inlineStr">
        <is>
          <t>錠</t>
        </is>
      </c>
      <c r="G119" s="4" t="n">
        <v>88250</v>
      </c>
      <c r="H119" s="4" t="n">
        <v>8.800000000000001</v>
      </c>
      <c r="I119" s="4" t="n">
        <v>776589</v>
      </c>
      <c r="J119" s="4" t="n">
        <v>0.8678</v>
      </c>
    </row>
    <row r="120">
      <c r="A120" s="5" t="inlineStr">
        <is>
          <t>2025-06</t>
        </is>
      </c>
      <c r="B120" s="5" t="inlineStr">
        <is>
          <t>代謝・内分泌領域</t>
        </is>
      </c>
      <c r="C120" s="5" t="inlineStr">
        <is>
          <t>メトホルミン塩酸塩</t>
        </is>
      </c>
      <c r="D120" s="5" t="inlineStr">
        <is>
          <t>競合A</t>
        </is>
      </c>
      <c r="E120" s="5" t="inlineStr">
        <is>
          <t>競合A社製品</t>
        </is>
      </c>
      <c r="F120" s="5" t="inlineStr">
        <is>
          <t>錠</t>
        </is>
      </c>
      <c r="G120" s="5" t="n">
        <v>240766</v>
      </c>
      <c r="H120" s="5" t="n">
        <v>8.800000000000001</v>
      </c>
      <c r="I120" s="5" t="n">
        <v>2113675</v>
      </c>
      <c r="J120" s="5" t="n">
        <v>0.8678</v>
      </c>
    </row>
    <row r="121">
      <c r="A121" s="4" t="inlineStr">
        <is>
          <t>2025-06</t>
        </is>
      </c>
      <c r="B121" s="4" t="inlineStr">
        <is>
          <t>代謝・内分泌領域</t>
        </is>
      </c>
      <c r="C121" s="4" t="inlineStr">
        <is>
          <t>メトホルミン塩酸塩</t>
        </is>
      </c>
      <c r="D121" s="4" t="inlineStr">
        <is>
          <t>競合B</t>
        </is>
      </c>
      <c r="E121" s="4" t="inlineStr">
        <is>
          <t>競合B社製品</t>
        </is>
      </c>
      <c r="F121" s="4" t="inlineStr">
        <is>
          <t>錠</t>
        </is>
      </c>
      <c r="G121" s="4" t="n">
        <v>193203</v>
      </c>
      <c r="H121" s="4" t="n">
        <v>8.9</v>
      </c>
      <c r="I121" s="4" t="n">
        <v>1709876</v>
      </c>
      <c r="J121" s="4" t="n">
        <v>0.8678</v>
      </c>
    </row>
    <row r="122">
      <c r="A122" s="5" t="inlineStr">
        <is>
          <t>2025-07</t>
        </is>
      </c>
      <c r="B122" s="5" t="inlineStr">
        <is>
          <t>代謝・内分泌領域</t>
        </is>
      </c>
      <c r="C122" s="5" t="inlineStr">
        <is>
          <t>メトホルミン塩酸塩</t>
        </is>
      </c>
      <c r="D122" s="5" t="inlineStr">
        <is>
          <t>オリジナル</t>
        </is>
      </c>
      <c r="E122" s="5" t="inlineStr">
        <is>
          <t>メトグルコ（オリジナル）</t>
        </is>
      </c>
      <c r="F122" s="5" t="inlineStr">
        <is>
          <t>錠</t>
        </is>
      </c>
      <c r="G122" s="5" t="n">
        <v>83315</v>
      </c>
      <c r="H122" s="5" t="n">
        <v>11.9</v>
      </c>
      <c r="I122" s="5" t="n">
        <v>989760</v>
      </c>
      <c r="J122" s="5" t="n">
        <v>0.8687</v>
      </c>
    </row>
    <row r="123">
      <c r="A123" s="4" t="inlineStr">
        <is>
          <t>2025-07</t>
        </is>
      </c>
      <c r="B123" s="4" t="inlineStr">
        <is>
          <t>代謝・内分泌領域</t>
        </is>
      </c>
      <c r="C123" s="4" t="inlineStr">
        <is>
          <t>メトホルミン塩酸塩</t>
        </is>
      </c>
      <c r="D123" s="4" t="inlineStr">
        <is>
          <t>自社</t>
        </is>
      </c>
      <c r="E123" s="4" t="inlineStr">
        <is>
          <t>メトグルコGE「サンド」（自社合計）</t>
        </is>
      </c>
      <c r="F123" s="4" t="inlineStr">
        <is>
          <t>錠</t>
        </is>
      </c>
      <c r="G123" s="4" t="n">
        <v>82589</v>
      </c>
      <c r="H123" s="4" t="n">
        <v>8.800000000000001</v>
      </c>
      <c r="I123" s="4" t="n">
        <v>726769</v>
      </c>
      <c r="J123" s="4" t="n">
        <v>0.8687</v>
      </c>
    </row>
    <row r="124">
      <c r="A124" s="5" t="inlineStr">
        <is>
          <t>2025-07</t>
        </is>
      </c>
      <c r="B124" s="5" t="inlineStr">
        <is>
          <t>代謝・内分泌領域</t>
        </is>
      </c>
      <c r="C124" s="5" t="inlineStr">
        <is>
          <t>メトホルミン塩酸塩</t>
        </is>
      </c>
      <c r="D124" s="5" t="inlineStr">
        <is>
          <t>競合A</t>
        </is>
      </c>
      <c r="E124" s="5" t="inlineStr">
        <is>
          <t>競合A社製品</t>
        </is>
      </c>
      <c r="F124" s="5" t="inlineStr">
        <is>
          <t>錠</t>
        </is>
      </c>
      <c r="G124" s="5" t="n">
        <v>273169</v>
      </c>
      <c r="H124" s="5" t="n">
        <v>8.9</v>
      </c>
      <c r="I124" s="5" t="n">
        <v>2424453</v>
      </c>
      <c r="J124" s="5" t="n">
        <v>0.8687</v>
      </c>
    </row>
    <row r="125">
      <c r="A125" s="4" t="inlineStr">
        <is>
          <t>2025-07</t>
        </is>
      </c>
      <c r="B125" s="4" t="inlineStr">
        <is>
          <t>代謝・内分泌領域</t>
        </is>
      </c>
      <c r="C125" s="4" t="inlineStr">
        <is>
          <t>メトホルミン塩酸塩</t>
        </is>
      </c>
      <c r="D125" s="4" t="inlineStr">
        <is>
          <t>競合B</t>
        </is>
      </c>
      <c r="E125" s="4" t="inlineStr">
        <is>
          <t>競合B社製品</t>
        </is>
      </c>
      <c r="F125" s="4" t="inlineStr">
        <is>
          <t>錠</t>
        </is>
      </c>
      <c r="G125" s="4" t="n">
        <v>195237</v>
      </c>
      <c r="H125" s="4" t="n">
        <v>9.1</v>
      </c>
      <c r="I125" s="4" t="n">
        <v>1770821</v>
      </c>
      <c r="J125" s="4" t="n">
        <v>0.8687</v>
      </c>
    </row>
    <row r="126">
      <c r="A126" s="5" t="inlineStr">
        <is>
          <t>2025-08</t>
        </is>
      </c>
      <c r="B126" s="5" t="inlineStr">
        <is>
          <t>代謝・内分泌領域</t>
        </is>
      </c>
      <c r="C126" s="5" t="inlineStr">
        <is>
          <t>メトホルミン塩酸塩</t>
        </is>
      </c>
      <c r="D126" s="5" t="inlineStr">
        <is>
          <t>オリジナル</t>
        </is>
      </c>
      <c r="E126" s="5" t="inlineStr">
        <is>
          <t>メトグルコ（オリジナル）</t>
        </is>
      </c>
      <c r="F126" s="5" t="inlineStr">
        <is>
          <t>錠</t>
        </is>
      </c>
      <c r="G126" s="5" t="n">
        <v>90331</v>
      </c>
      <c r="H126" s="5" t="n">
        <v>11.9</v>
      </c>
      <c r="I126" s="5" t="n">
        <v>1073112</v>
      </c>
      <c r="J126" s="5" t="n">
        <v>0.8546</v>
      </c>
    </row>
    <row r="127">
      <c r="A127" s="4" t="inlineStr">
        <is>
          <t>2025-08</t>
        </is>
      </c>
      <c r="B127" s="4" t="inlineStr">
        <is>
          <t>代謝・内分泌領域</t>
        </is>
      </c>
      <c r="C127" s="4" t="inlineStr">
        <is>
          <t>メトホルミン塩酸塩</t>
        </is>
      </c>
      <c r="D127" s="4" t="inlineStr">
        <is>
          <t>自社</t>
        </is>
      </c>
      <c r="E127" s="4" t="inlineStr">
        <is>
          <t>メトグルコGE「サンド」（自社合計）</t>
        </is>
      </c>
      <c r="F127" s="4" t="inlineStr">
        <is>
          <t>錠</t>
        </is>
      </c>
      <c r="G127" s="4" t="n">
        <v>74893</v>
      </c>
      <c r="H127" s="4" t="n">
        <v>8.800000000000001</v>
      </c>
      <c r="I127" s="4" t="n">
        <v>659051</v>
      </c>
      <c r="J127" s="4" t="n">
        <v>0.8546</v>
      </c>
    </row>
    <row r="128">
      <c r="A128" s="5" t="inlineStr">
        <is>
          <t>2025-08</t>
        </is>
      </c>
      <c r="B128" s="5" t="inlineStr">
        <is>
          <t>代謝・内分泌領域</t>
        </is>
      </c>
      <c r="C128" s="5" t="inlineStr">
        <is>
          <t>メトホルミン塩酸塩</t>
        </is>
      </c>
      <c r="D128" s="5" t="inlineStr">
        <is>
          <t>競合A</t>
        </is>
      </c>
      <c r="E128" s="5" t="inlineStr">
        <is>
          <t>競合A社製品</t>
        </is>
      </c>
      <c r="F128" s="5" t="inlineStr">
        <is>
          <t>錠</t>
        </is>
      </c>
      <c r="G128" s="5" t="n">
        <v>273277</v>
      </c>
      <c r="H128" s="5" t="n">
        <v>9.1</v>
      </c>
      <c r="I128" s="5" t="n">
        <v>2487695</v>
      </c>
      <c r="J128" s="5" t="n">
        <v>0.8546</v>
      </c>
    </row>
    <row r="129">
      <c r="A129" s="4" t="inlineStr">
        <is>
          <t>2025-08</t>
        </is>
      </c>
      <c r="B129" s="4" t="inlineStr">
        <is>
          <t>代謝・内分泌領域</t>
        </is>
      </c>
      <c r="C129" s="4" t="inlineStr">
        <is>
          <t>メトホルミン塩酸塩</t>
        </is>
      </c>
      <c r="D129" s="4" t="inlineStr">
        <is>
          <t>競合B</t>
        </is>
      </c>
      <c r="E129" s="4" t="inlineStr">
        <is>
          <t>競合B社製品</t>
        </is>
      </c>
      <c r="F129" s="4" t="inlineStr">
        <is>
          <t>錠</t>
        </is>
      </c>
      <c r="G129" s="4" t="n">
        <v>182543</v>
      </c>
      <c r="H129" s="4" t="n">
        <v>8.800000000000001</v>
      </c>
      <c r="I129" s="4" t="n">
        <v>1600585</v>
      </c>
      <c r="J129" s="4" t="n">
        <v>0.8546</v>
      </c>
    </row>
    <row r="130">
      <c r="A130" s="5" t="inlineStr">
        <is>
          <t>2025-09</t>
        </is>
      </c>
      <c r="B130" s="5" t="inlineStr">
        <is>
          <t>代謝・内分泌領域</t>
        </is>
      </c>
      <c r="C130" s="5" t="inlineStr">
        <is>
          <t>メトホルミン塩酸塩</t>
        </is>
      </c>
      <c r="D130" s="5" t="inlineStr">
        <is>
          <t>オリジナル</t>
        </is>
      </c>
      <c r="E130" s="5" t="inlineStr">
        <is>
          <t>メトグルコ（オリジナル）</t>
        </is>
      </c>
      <c r="F130" s="5" t="inlineStr">
        <is>
          <t>錠</t>
        </is>
      </c>
      <c r="G130" s="5" t="n">
        <v>72704</v>
      </c>
      <c r="H130" s="5" t="n">
        <v>11.9</v>
      </c>
      <c r="I130" s="5" t="n">
        <v>863714</v>
      </c>
      <c r="J130" s="5" t="n">
        <v>0.8817</v>
      </c>
    </row>
    <row r="131">
      <c r="A131" s="4" t="inlineStr">
        <is>
          <t>2025-09</t>
        </is>
      </c>
      <c r="B131" s="4" t="inlineStr">
        <is>
          <t>代謝・内分泌領域</t>
        </is>
      </c>
      <c r="C131" s="4" t="inlineStr">
        <is>
          <t>メトホルミン塩酸塩</t>
        </is>
      </c>
      <c r="D131" s="4" t="inlineStr">
        <is>
          <t>自社</t>
        </is>
      </c>
      <c r="E131" s="4" t="inlineStr">
        <is>
          <t>メトグルコGE「サンド」（自社合計）</t>
        </is>
      </c>
      <c r="F131" s="4" t="inlineStr">
        <is>
          <t>錠</t>
        </is>
      </c>
      <c r="G131" s="4" t="n">
        <v>78327</v>
      </c>
      <c r="H131" s="4" t="n">
        <v>8.800000000000001</v>
      </c>
      <c r="I131" s="4" t="n">
        <v>689261</v>
      </c>
      <c r="J131" s="4" t="n">
        <v>0.8817</v>
      </c>
    </row>
    <row r="132">
      <c r="A132" s="5" t="inlineStr">
        <is>
          <t>2025-09</t>
        </is>
      </c>
      <c r="B132" s="5" t="inlineStr">
        <is>
          <t>代謝・内分泌領域</t>
        </is>
      </c>
      <c r="C132" s="5" t="inlineStr">
        <is>
          <t>メトホルミン塩酸塩</t>
        </is>
      </c>
      <c r="D132" s="5" t="inlineStr">
        <is>
          <t>競合A</t>
        </is>
      </c>
      <c r="E132" s="5" t="inlineStr">
        <is>
          <t>競合A社製品</t>
        </is>
      </c>
      <c r="F132" s="5" t="inlineStr">
        <is>
          <t>錠</t>
        </is>
      </c>
      <c r="G132" s="5" t="n">
        <v>242544</v>
      </c>
      <c r="H132" s="5" t="n">
        <v>8.9</v>
      </c>
      <c r="I132" s="5" t="n">
        <v>2161808</v>
      </c>
      <c r="J132" s="5" t="n">
        <v>0.8817</v>
      </c>
    </row>
    <row r="133">
      <c r="A133" s="4" t="inlineStr">
        <is>
          <t>2025-09</t>
        </is>
      </c>
      <c r="B133" s="4" t="inlineStr">
        <is>
          <t>代謝・内分泌領域</t>
        </is>
      </c>
      <c r="C133" s="4" t="inlineStr">
        <is>
          <t>メトホルミン塩酸塩</t>
        </is>
      </c>
      <c r="D133" s="4" t="inlineStr">
        <is>
          <t>競合B</t>
        </is>
      </c>
      <c r="E133" s="4" t="inlineStr">
        <is>
          <t>競合B社製品</t>
        </is>
      </c>
      <c r="F133" s="4" t="inlineStr">
        <is>
          <t>錠</t>
        </is>
      </c>
      <c r="G133" s="4" t="n">
        <v>221071</v>
      </c>
      <c r="H133" s="4" t="n">
        <v>8.699999999999999</v>
      </c>
      <c r="I133" s="4" t="n">
        <v>1930035</v>
      </c>
      <c r="J133" s="4" t="n">
        <v>0.8817</v>
      </c>
    </row>
    <row r="134">
      <c r="A134" s="5" t="inlineStr">
        <is>
          <t>2025-10</t>
        </is>
      </c>
      <c r="B134" s="5" t="inlineStr">
        <is>
          <t>代謝・内分泌領域</t>
        </is>
      </c>
      <c r="C134" s="5" t="inlineStr">
        <is>
          <t>メトホルミン塩酸塩</t>
        </is>
      </c>
      <c r="D134" s="5" t="inlineStr">
        <is>
          <t>オリジナル</t>
        </is>
      </c>
      <c r="E134" s="5" t="inlineStr">
        <is>
          <t>メトグルコ（オリジナル）</t>
        </is>
      </c>
      <c r="F134" s="5" t="inlineStr">
        <is>
          <t>錠</t>
        </is>
      </c>
      <c r="G134" s="5" t="n">
        <v>83234</v>
      </c>
      <c r="H134" s="5" t="n">
        <v>11.9</v>
      </c>
      <c r="I134" s="5" t="n">
        <v>988803</v>
      </c>
      <c r="J134" s="5" t="n">
        <v>0.8657</v>
      </c>
    </row>
    <row r="135">
      <c r="A135" s="4" t="inlineStr">
        <is>
          <t>2025-10</t>
        </is>
      </c>
      <c r="B135" s="4" t="inlineStr">
        <is>
          <t>代謝・内分泌領域</t>
        </is>
      </c>
      <c r="C135" s="4" t="inlineStr">
        <is>
          <t>メトホルミン塩酸塩</t>
        </is>
      </c>
      <c r="D135" s="4" t="inlineStr">
        <is>
          <t>自社</t>
        </is>
      </c>
      <c r="E135" s="4" t="inlineStr">
        <is>
          <t>メトグルコGE「サンド」（自社合計）</t>
        </is>
      </c>
      <c r="F135" s="4" t="inlineStr">
        <is>
          <t>錠</t>
        </is>
      </c>
      <c r="G135" s="4" t="n">
        <v>85753</v>
      </c>
      <c r="H135" s="4" t="n">
        <v>8.800000000000001</v>
      </c>
      <c r="I135" s="4" t="n">
        <v>754616</v>
      </c>
      <c r="J135" s="4" t="n">
        <v>0.8657</v>
      </c>
    </row>
    <row r="136">
      <c r="A136" s="5" t="inlineStr">
        <is>
          <t>2025-10</t>
        </is>
      </c>
      <c r="B136" s="5" t="inlineStr">
        <is>
          <t>代謝・内分泌領域</t>
        </is>
      </c>
      <c r="C136" s="5" t="inlineStr">
        <is>
          <t>メトホルミン塩酸塩</t>
        </is>
      </c>
      <c r="D136" s="5" t="inlineStr">
        <is>
          <t>競合A</t>
        </is>
      </c>
      <c r="E136" s="5" t="inlineStr">
        <is>
          <t>競合A社製品</t>
        </is>
      </c>
      <c r="F136" s="5" t="inlineStr">
        <is>
          <t>錠</t>
        </is>
      </c>
      <c r="G136" s="5" t="n">
        <v>267068</v>
      </c>
      <c r="H136" s="5" t="n">
        <v>8.800000000000001</v>
      </c>
      <c r="I136" s="5" t="n">
        <v>2354414</v>
      </c>
      <c r="J136" s="5" t="n">
        <v>0.8657</v>
      </c>
    </row>
    <row r="137">
      <c r="A137" s="4" t="inlineStr">
        <is>
          <t>2025-10</t>
        </is>
      </c>
      <c r="B137" s="4" t="inlineStr">
        <is>
          <t>代謝・内分泌領域</t>
        </is>
      </c>
      <c r="C137" s="4" t="inlineStr">
        <is>
          <t>メトホルミン塩酸塩</t>
        </is>
      </c>
      <c r="D137" s="4" t="inlineStr">
        <is>
          <t>競合B</t>
        </is>
      </c>
      <c r="E137" s="4" t="inlineStr">
        <is>
          <t>競合B社製品</t>
        </is>
      </c>
      <c r="F137" s="4" t="inlineStr">
        <is>
          <t>錠</t>
        </is>
      </c>
      <c r="G137" s="4" t="n">
        <v>183889</v>
      </c>
      <c r="H137" s="4" t="n">
        <v>8.9</v>
      </c>
      <c r="I137" s="4" t="n">
        <v>1639038</v>
      </c>
      <c r="J137" s="4" t="n">
        <v>0.8657</v>
      </c>
    </row>
    <row r="138">
      <c r="A138" s="5" t="inlineStr">
        <is>
          <t>2025-11</t>
        </is>
      </c>
      <c r="B138" s="5" t="inlineStr">
        <is>
          <t>代謝・内分泌領域</t>
        </is>
      </c>
      <c r="C138" s="5" t="inlineStr">
        <is>
          <t>メトホルミン塩酸塩</t>
        </is>
      </c>
      <c r="D138" s="5" t="inlineStr">
        <is>
          <t>オリジナル</t>
        </is>
      </c>
      <c r="E138" s="5" t="inlineStr">
        <is>
          <t>メトグルコ（オリジナル）</t>
        </is>
      </c>
      <c r="F138" s="5" t="inlineStr">
        <is>
          <t>錠</t>
        </is>
      </c>
      <c r="G138" s="5" t="n">
        <v>79078</v>
      </c>
      <c r="H138" s="5" t="n">
        <v>11.9</v>
      </c>
      <c r="I138" s="5" t="n">
        <v>939425</v>
      </c>
      <c r="J138" s="5" t="n">
        <v>0.8671</v>
      </c>
    </row>
    <row r="139">
      <c r="A139" s="4" t="inlineStr">
        <is>
          <t>2025-11</t>
        </is>
      </c>
      <c r="B139" s="4" t="inlineStr">
        <is>
          <t>代謝・内分泌領域</t>
        </is>
      </c>
      <c r="C139" s="4" t="inlineStr">
        <is>
          <t>メトホルミン塩酸塩</t>
        </is>
      </c>
      <c r="D139" s="4" t="inlineStr">
        <is>
          <t>自社</t>
        </is>
      </c>
      <c r="E139" s="4" t="inlineStr">
        <is>
          <t>メトグルコGE「サンド」（自社合計）</t>
        </is>
      </c>
      <c r="F139" s="4" t="inlineStr">
        <is>
          <t>錠</t>
        </is>
      </c>
      <c r="G139" s="4" t="n">
        <v>76779</v>
      </c>
      <c r="H139" s="4" t="n">
        <v>8.800000000000001</v>
      </c>
      <c r="I139" s="4" t="n">
        <v>675643</v>
      </c>
      <c r="J139" s="4" t="n">
        <v>0.8671</v>
      </c>
    </row>
    <row r="140">
      <c r="A140" s="5" t="inlineStr">
        <is>
          <t>2025-11</t>
        </is>
      </c>
      <c r="B140" s="5" t="inlineStr">
        <is>
          <t>代謝・内分泌領域</t>
        </is>
      </c>
      <c r="C140" s="5" t="inlineStr">
        <is>
          <t>メトホルミン塩酸塩</t>
        </is>
      </c>
      <c r="D140" s="5" t="inlineStr">
        <is>
          <t>競合A</t>
        </is>
      </c>
      <c r="E140" s="5" t="inlineStr">
        <is>
          <t>競合A社製品</t>
        </is>
      </c>
      <c r="F140" s="5" t="inlineStr">
        <is>
          <t>錠</t>
        </is>
      </c>
      <c r="G140" s="5" t="n">
        <v>225563</v>
      </c>
      <c r="H140" s="5" t="n">
        <v>8.6</v>
      </c>
      <c r="I140" s="5" t="n">
        <v>1950056</v>
      </c>
      <c r="J140" s="5" t="n">
        <v>0.8671</v>
      </c>
    </row>
    <row r="141">
      <c r="A141" s="4" t="inlineStr">
        <is>
          <t>2025-11</t>
        </is>
      </c>
      <c r="B141" s="4" t="inlineStr">
        <is>
          <t>代謝・内分泌領域</t>
        </is>
      </c>
      <c r="C141" s="4" t="inlineStr">
        <is>
          <t>メトホルミン塩酸塩</t>
        </is>
      </c>
      <c r="D141" s="4" t="inlineStr">
        <is>
          <t>競合B</t>
        </is>
      </c>
      <c r="E141" s="4" t="inlineStr">
        <is>
          <t>競合B社製品</t>
        </is>
      </c>
      <c r="F141" s="4" t="inlineStr">
        <is>
          <t>錠</t>
        </is>
      </c>
      <c r="G141" s="4" t="n">
        <v>213758</v>
      </c>
      <c r="H141" s="4" t="n">
        <v>8.699999999999999</v>
      </c>
      <c r="I141" s="4" t="n">
        <v>1868465</v>
      </c>
      <c r="J141" s="4" t="n">
        <v>0.8671</v>
      </c>
    </row>
    <row r="142">
      <c r="A142" s="5" t="inlineStr">
        <is>
          <t>2025-12</t>
        </is>
      </c>
      <c r="B142" s="5" t="inlineStr">
        <is>
          <t>代謝・内分泌領域</t>
        </is>
      </c>
      <c r="C142" s="5" t="inlineStr">
        <is>
          <t>メトホルミン塩酸塩</t>
        </is>
      </c>
      <c r="D142" s="5" t="inlineStr">
        <is>
          <t>オリジナル</t>
        </is>
      </c>
      <c r="E142" s="5" t="inlineStr">
        <is>
          <t>メトグルコ（オリジナル）</t>
        </is>
      </c>
      <c r="F142" s="5" t="inlineStr">
        <is>
          <t>錠</t>
        </is>
      </c>
      <c r="G142" s="5" t="n">
        <v>91993</v>
      </c>
      <c r="H142" s="5" t="n">
        <v>11.9</v>
      </c>
      <c r="I142" s="5" t="n">
        <v>1092855</v>
      </c>
      <c r="J142" s="5" t="n">
        <v>0.8546</v>
      </c>
    </row>
    <row r="143">
      <c r="A143" s="4" t="inlineStr">
        <is>
          <t>2025-12</t>
        </is>
      </c>
      <c r="B143" s="4" t="inlineStr">
        <is>
          <t>代謝・内分泌領域</t>
        </is>
      </c>
      <c r="C143" s="4" t="inlineStr">
        <is>
          <t>メトホルミン塩酸塩</t>
        </is>
      </c>
      <c r="D143" s="4" t="inlineStr">
        <is>
          <t>自社</t>
        </is>
      </c>
      <c r="E143" s="4" t="inlineStr">
        <is>
          <t>メトグルコGE「サンド」（自社合計）</t>
        </is>
      </c>
      <c r="F143" s="4" t="inlineStr">
        <is>
          <t>錠</t>
        </is>
      </c>
      <c r="G143" s="4" t="n">
        <v>85585</v>
      </c>
      <c r="H143" s="4" t="n">
        <v>8.800000000000001</v>
      </c>
      <c r="I143" s="4" t="n">
        <v>753135</v>
      </c>
      <c r="J143" s="4" t="n">
        <v>0.8546</v>
      </c>
    </row>
    <row r="144">
      <c r="A144" s="5" t="inlineStr">
        <is>
          <t>2025-12</t>
        </is>
      </c>
      <c r="B144" s="5" t="inlineStr">
        <is>
          <t>代謝・内分泌領域</t>
        </is>
      </c>
      <c r="C144" s="5" t="inlineStr">
        <is>
          <t>メトホルミン塩酸塩</t>
        </is>
      </c>
      <c r="D144" s="5" t="inlineStr">
        <is>
          <t>競合A</t>
        </is>
      </c>
      <c r="E144" s="5" t="inlineStr">
        <is>
          <t>競合A社製品</t>
        </is>
      </c>
      <c r="F144" s="5" t="inlineStr">
        <is>
          <t>錠</t>
        </is>
      </c>
      <c r="G144" s="5" t="n">
        <v>243665</v>
      </c>
      <c r="H144" s="5" t="n">
        <v>8.699999999999999</v>
      </c>
      <c r="I144" s="5" t="n">
        <v>2130160</v>
      </c>
      <c r="J144" s="5" t="n">
        <v>0.8546</v>
      </c>
    </row>
    <row r="145">
      <c r="A145" s="4" t="inlineStr">
        <is>
          <t>2025-12</t>
        </is>
      </c>
      <c r="B145" s="4" t="inlineStr">
        <is>
          <t>代謝・内分泌領域</t>
        </is>
      </c>
      <c r="C145" s="4" t="inlineStr">
        <is>
          <t>メトホルミン塩酸塩</t>
        </is>
      </c>
      <c r="D145" s="4" t="inlineStr">
        <is>
          <t>競合B</t>
        </is>
      </c>
      <c r="E145" s="4" t="inlineStr">
        <is>
          <t>競合B社製品</t>
        </is>
      </c>
      <c r="F145" s="4" t="inlineStr">
        <is>
          <t>錠</t>
        </is>
      </c>
      <c r="G145" s="4" t="n">
        <v>211380</v>
      </c>
      <c r="H145" s="4" t="n">
        <v>9</v>
      </c>
      <c r="I145" s="4" t="n">
        <v>1897411</v>
      </c>
      <c r="J145" s="4" t="n">
        <v>0.8546</v>
      </c>
    </row>
    <row r="146">
      <c r="A146" s="5" t="inlineStr">
        <is>
          <t>2026-01</t>
        </is>
      </c>
      <c r="B146" s="5" t="inlineStr">
        <is>
          <t>代謝・内分泌領域</t>
        </is>
      </c>
      <c r="C146" s="5" t="inlineStr">
        <is>
          <t>メトホルミン塩酸塩</t>
        </is>
      </c>
      <c r="D146" s="5" t="inlineStr">
        <is>
          <t>オリジナル</t>
        </is>
      </c>
      <c r="E146" s="5" t="inlineStr">
        <is>
          <t>メトグルコ（オリジナル）</t>
        </is>
      </c>
      <c r="F146" s="5" t="inlineStr">
        <is>
          <t>錠</t>
        </is>
      </c>
      <c r="G146" s="5" t="n">
        <v>74529</v>
      </c>
      <c r="H146" s="5" t="n">
        <v>11.9</v>
      </c>
      <c r="I146" s="5" t="n">
        <v>885393</v>
      </c>
      <c r="J146" s="5" t="n">
        <v>0.8814</v>
      </c>
    </row>
    <row r="147">
      <c r="A147" s="4" t="inlineStr">
        <is>
          <t>2026-01</t>
        </is>
      </c>
      <c r="B147" s="4" t="inlineStr">
        <is>
          <t>代謝・内分泌領域</t>
        </is>
      </c>
      <c r="C147" s="4" t="inlineStr">
        <is>
          <t>メトホルミン塩酸塩</t>
        </is>
      </c>
      <c r="D147" s="4" t="inlineStr">
        <is>
          <t>自社</t>
        </is>
      </c>
      <c r="E147" s="4" t="inlineStr">
        <is>
          <t>メトグルコGE「サンド」（自社合計）</t>
        </is>
      </c>
      <c r="F147" s="4" t="inlineStr">
        <is>
          <t>錠</t>
        </is>
      </c>
      <c r="G147" s="4" t="n">
        <v>87123</v>
      </c>
      <c r="H147" s="4" t="n">
        <v>8.800000000000001</v>
      </c>
      <c r="I147" s="4" t="n">
        <v>766668</v>
      </c>
      <c r="J147" s="4" t="n">
        <v>0.8814</v>
      </c>
    </row>
    <row r="148">
      <c r="A148" s="5" t="inlineStr">
        <is>
          <t>2026-01</t>
        </is>
      </c>
      <c r="B148" s="5" t="inlineStr">
        <is>
          <t>代謝・内分泌領域</t>
        </is>
      </c>
      <c r="C148" s="5" t="inlineStr">
        <is>
          <t>メトホルミン塩酸塩</t>
        </is>
      </c>
      <c r="D148" s="5" t="inlineStr">
        <is>
          <t>競合A</t>
        </is>
      </c>
      <c r="E148" s="5" t="inlineStr">
        <is>
          <t>競合A社製品</t>
        </is>
      </c>
      <c r="F148" s="5" t="inlineStr">
        <is>
          <t>錠</t>
        </is>
      </c>
      <c r="G148" s="5" t="n">
        <v>247047</v>
      </c>
      <c r="H148" s="5" t="n">
        <v>8.800000000000001</v>
      </c>
      <c r="I148" s="5" t="n">
        <v>2164243</v>
      </c>
      <c r="J148" s="5" t="n">
        <v>0.8814</v>
      </c>
    </row>
    <row r="149">
      <c r="A149" s="4" t="inlineStr">
        <is>
          <t>2026-01</t>
        </is>
      </c>
      <c r="B149" s="4" t="inlineStr">
        <is>
          <t>代謝・内分泌領域</t>
        </is>
      </c>
      <c r="C149" s="4" t="inlineStr">
        <is>
          <t>メトホルミン塩酸塩</t>
        </is>
      </c>
      <c r="D149" s="4" t="inlineStr">
        <is>
          <t>競合B</t>
        </is>
      </c>
      <c r="E149" s="4" t="inlineStr">
        <is>
          <t>競合B社製品</t>
        </is>
      </c>
      <c r="F149" s="4" t="inlineStr">
        <is>
          <t>錠</t>
        </is>
      </c>
      <c r="G149" s="4" t="n">
        <v>219853</v>
      </c>
      <c r="H149" s="4" t="n">
        <v>8.800000000000001</v>
      </c>
      <c r="I149" s="4" t="n">
        <v>1944057</v>
      </c>
      <c r="J149" s="4" t="n">
        <v>0.8814</v>
      </c>
    </row>
    <row r="150">
      <c r="A150" s="5" t="inlineStr">
        <is>
          <t>2026-02</t>
        </is>
      </c>
      <c r="B150" s="5" t="inlineStr">
        <is>
          <t>代謝・内分泌領域</t>
        </is>
      </c>
      <c r="C150" s="5" t="inlineStr">
        <is>
          <t>メトホルミン塩酸塩</t>
        </is>
      </c>
      <c r="D150" s="5" t="inlineStr">
        <is>
          <t>オリジナル</t>
        </is>
      </c>
      <c r="E150" s="5" t="inlineStr">
        <is>
          <t>メトグルコ（オリジナル）</t>
        </is>
      </c>
      <c r="F150" s="5" t="inlineStr">
        <is>
          <t>錠</t>
        </is>
      </c>
      <c r="G150" s="5" t="n">
        <v>89083</v>
      </c>
      <c r="H150" s="5" t="n">
        <v>11.9</v>
      </c>
      <c r="I150" s="5" t="n">
        <v>1058282</v>
      </c>
      <c r="J150" s="5" t="n">
        <v>0.8574000000000001</v>
      </c>
    </row>
    <row r="151">
      <c r="A151" s="4" t="inlineStr">
        <is>
          <t>2026-02</t>
        </is>
      </c>
      <c r="B151" s="4" t="inlineStr">
        <is>
          <t>代謝・内分泌領域</t>
        </is>
      </c>
      <c r="C151" s="4" t="inlineStr">
        <is>
          <t>メトホルミン塩酸塩</t>
        </is>
      </c>
      <c r="D151" s="4" t="inlineStr">
        <is>
          <t>自社</t>
        </is>
      </c>
      <c r="E151" s="4" t="inlineStr">
        <is>
          <t>メトグルコGE「サンド」（自社合計）</t>
        </is>
      </c>
      <c r="F151" s="4" t="inlineStr">
        <is>
          <t>錠</t>
        </is>
      </c>
      <c r="G151" s="4" t="n">
        <v>85966</v>
      </c>
      <c r="H151" s="4" t="n">
        <v>8.800000000000001</v>
      </c>
      <c r="I151" s="4" t="n">
        <v>756483</v>
      </c>
      <c r="J151" s="4" t="n">
        <v>0.8574000000000001</v>
      </c>
    </row>
    <row r="152">
      <c r="A152" s="5" t="inlineStr">
        <is>
          <t>2026-02</t>
        </is>
      </c>
      <c r="B152" s="5" t="inlineStr">
        <is>
          <t>代謝・内分泌領域</t>
        </is>
      </c>
      <c r="C152" s="5" t="inlineStr">
        <is>
          <t>メトホルミン塩酸塩</t>
        </is>
      </c>
      <c r="D152" s="5" t="inlineStr">
        <is>
          <t>競合A</t>
        </is>
      </c>
      <c r="E152" s="5" t="inlineStr">
        <is>
          <t>競合A社製品</t>
        </is>
      </c>
      <c r="F152" s="5" t="inlineStr">
        <is>
          <t>錠</t>
        </is>
      </c>
      <c r="G152" s="5" t="n">
        <v>250374</v>
      </c>
      <c r="H152" s="5" t="n">
        <v>9.199999999999999</v>
      </c>
      <c r="I152" s="5" t="n">
        <v>2314187</v>
      </c>
      <c r="J152" s="5" t="n">
        <v>0.8574000000000001</v>
      </c>
    </row>
    <row r="153">
      <c r="A153" s="4" t="inlineStr">
        <is>
          <t>2026-02</t>
        </is>
      </c>
      <c r="B153" s="4" t="inlineStr">
        <is>
          <t>代謝・内分泌領域</t>
        </is>
      </c>
      <c r="C153" s="4" t="inlineStr">
        <is>
          <t>メトホルミン塩酸塩</t>
        </is>
      </c>
      <c r="D153" s="4" t="inlineStr">
        <is>
          <t>競合B</t>
        </is>
      </c>
      <c r="E153" s="4" t="inlineStr">
        <is>
          <t>競合B社製品</t>
        </is>
      </c>
      <c r="F153" s="4" t="inlineStr">
        <is>
          <t>錠</t>
        </is>
      </c>
      <c r="G153" s="4" t="n">
        <v>199254</v>
      </c>
      <c r="H153" s="4" t="n">
        <v>9.1</v>
      </c>
      <c r="I153" s="4" t="n">
        <v>1819225</v>
      </c>
      <c r="J153" s="4" t="n">
        <v>0.8574000000000001</v>
      </c>
    </row>
    <row r="154">
      <c r="A154" s="5" t="inlineStr">
        <is>
          <t>2026-03</t>
        </is>
      </c>
      <c r="B154" s="5" t="inlineStr">
        <is>
          <t>代謝・内分泌領域</t>
        </is>
      </c>
      <c r="C154" s="5" t="inlineStr">
        <is>
          <t>メトホルミン塩酸塩</t>
        </is>
      </c>
      <c r="D154" s="5" t="inlineStr">
        <is>
          <t>オリジナル</t>
        </is>
      </c>
      <c r="E154" s="5" t="inlineStr">
        <is>
          <t>メトグルコ（オリジナル）</t>
        </is>
      </c>
      <c r="F154" s="5" t="inlineStr">
        <is>
          <t>錠</t>
        </is>
      </c>
      <c r="G154" s="5" t="n">
        <v>88946</v>
      </c>
      <c r="H154" s="5" t="n">
        <v>11.9</v>
      </c>
      <c r="I154" s="5" t="n">
        <v>1056657</v>
      </c>
      <c r="J154" s="5" t="n">
        <v>0.8655</v>
      </c>
    </row>
    <row r="155">
      <c r="A155" s="4" t="inlineStr">
        <is>
          <t>2026-03</t>
        </is>
      </c>
      <c r="B155" s="4" t="inlineStr">
        <is>
          <t>代謝・内分泌領域</t>
        </is>
      </c>
      <c r="C155" s="4" t="inlineStr">
        <is>
          <t>メトホルミン塩酸塩</t>
        </is>
      </c>
      <c r="D155" s="4" t="inlineStr">
        <is>
          <t>自社</t>
        </is>
      </c>
      <c r="E155" s="4" t="inlineStr">
        <is>
          <t>メトグルコGE「サンド」（自社合計）</t>
        </is>
      </c>
      <c r="F155" s="4" t="inlineStr">
        <is>
          <t>錠</t>
        </is>
      </c>
      <c r="G155" s="4" t="n">
        <v>83453</v>
      </c>
      <c r="H155" s="4" t="n">
        <v>8.800000000000001</v>
      </c>
      <c r="I155" s="4" t="n">
        <v>734374</v>
      </c>
      <c r="J155" s="4" t="n">
        <v>0.8655</v>
      </c>
    </row>
    <row r="156">
      <c r="A156" s="5" t="inlineStr">
        <is>
          <t>2026-03</t>
        </is>
      </c>
      <c r="B156" s="5" t="inlineStr">
        <is>
          <t>代謝・内分泌領域</t>
        </is>
      </c>
      <c r="C156" s="5" t="inlineStr">
        <is>
          <t>メトホルミン塩酸塩</t>
        </is>
      </c>
      <c r="D156" s="5" t="inlineStr">
        <is>
          <t>競合A</t>
        </is>
      </c>
      <c r="E156" s="5" t="inlineStr">
        <is>
          <t>競合A社製品</t>
        </is>
      </c>
      <c r="F156" s="5" t="inlineStr">
        <is>
          <t>錠</t>
        </is>
      </c>
      <c r="G156" s="5" t="n">
        <v>260318</v>
      </c>
      <c r="H156" s="5" t="n">
        <v>8.9</v>
      </c>
      <c r="I156" s="5" t="n">
        <v>2305215</v>
      </c>
      <c r="J156" s="5" t="n">
        <v>0.8655</v>
      </c>
    </row>
    <row r="157">
      <c r="A157" s="4" t="inlineStr">
        <is>
          <t>2026-03</t>
        </is>
      </c>
      <c r="B157" s="4" t="inlineStr">
        <is>
          <t>代謝・内分泌領域</t>
        </is>
      </c>
      <c r="C157" s="4" t="inlineStr">
        <is>
          <t>メトホルミン塩酸塩</t>
        </is>
      </c>
      <c r="D157" s="4" t="inlineStr">
        <is>
          <t>競合B</t>
        </is>
      </c>
      <c r="E157" s="4" t="inlineStr">
        <is>
          <t>競合B社製品</t>
        </is>
      </c>
      <c r="F157" s="4" t="inlineStr">
        <is>
          <t>錠</t>
        </is>
      </c>
      <c r="G157" s="4" t="n">
        <v>228745</v>
      </c>
      <c r="H157" s="4" t="n">
        <v>9</v>
      </c>
      <c r="I157" s="4" t="n">
        <v>2061466</v>
      </c>
      <c r="J157" s="4" t="n">
        <v>0.8655</v>
      </c>
    </row>
    <row r="158">
      <c r="A158" s="5" t="inlineStr">
        <is>
          <t>2026-04</t>
        </is>
      </c>
      <c r="B158" s="5" t="inlineStr">
        <is>
          <t>代謝・内分泌領域</t>
        </is>
      </c>
      <c r="C158" s="5" t="inlineStr">
        <is>
          <t>メトホルミン塩酸塩</t>
        </is>
      </c>
      <c r="D158" s="5" t="inlineStr">
        <is>
          <t>オリジナル</t>
        </is>
      </c>
      <c r="E158" s="5" t="inlineStr">
        <is>
          <t>メトグルコ（オリジナル）</t>
        </is>
      </c>
      <c r="F158" s="5" t="inlineStr">
        <is>
          <t>錠</t>
        </is>
      </c>
      <c r="G158" s="5" t="n">
        <v>80568</v>
      </c>
      <c r="H158" s="5" t="n">
        <v>11.2</v>
      </c>
      <c r="I158" s="5" t="n">
        <v>899703</v>
      </c>
      <c r="J158" s="5" t="n">
        <v>0.862</v>
      </c>
    </row>
    <row r="159">
      <c r="A159" s="4" t="inlineStr">
        <is>
          <t>2026-04</t>
        </is>
      </c>
      <c r="B159" s="4" t="inlineStr">
        <is>
          <t>代謝・内分泌領域</t>
        </is>
      </c>
      <c r="C159" s="4" t="inlineStr">
        <is>
          <t>メトホルミン塩酸塩</t>
        </is>
      </c>
      <c r="D159" s="4" t="inlineStr">
        <is>
          <t>自社</t>
        </is>
      </c>
      <c r="E159" s="4" t="inlineStr">
        <is>
          <t>メトグルコGE「サンド」（自社合計）</t>
        </is>
      </c>
      <c r="F159" s="4" t="inlineStr">
        <is>
          <t>錠</t>
        </is>
      </c>
      <c r="G159" s="4" t="n">
        <v>70328</v>
      </c>
      <c r="H159" s="4" t="n">
        <v>8.300000000000001</v>
      </c>
      <c r="I159" s="4" t="n">
        <v>581742</v>
      </c>
      <c r="J159" s="4" t="n">
        <v>0.862</v>
      </c>
    </row>
    <row r="160">
      <c r="A160" s="5" t="inlineStr">
        <is>
          <t>2026-04</t>
        </is>
      </c>
      <c r="B160" s="5" t="inlineStr">
        <is>
          <t>代謝・内分泌領域</t>
        </is>
      </c>
      <c r="C160" s="5" t="inlineStr">
        <is>
          <t>メトホルミン塩酸塩</t>
        </is>
      </c>
      <c r="D160" s="5" t="inlineStr">
        <is>
          <t>競合A</t>
        </is>
      </c>
      <c r="E160" s="5" t="inlineStr">
        <is>
          <t>競合A社製品</t>
        </is>
      </c>
      <c r="F160" s="5" t="inlineStr">
        <is>
          <t>錠</t>
        </is>
      </c>
      <c r="G160" s="5" t="n">
        <v>236035</v>
      </c>
      <c r="H160" s="5" t="n">
        <v>8.1</v>
      </c>
      <c r="I160" s="5" t="n">
        <v>1910956</v>
      </c>
      <c r="J160" s="5" t="n">
        <v>0.862</v>
      </c>
    </row>
    <row r="161">
      <c r="A161" s="4" t="inlineStr">
        <is>
          <t>2026-04</t>
        </is>
      </c>
      <c r="B161" s="4" t="inlineStr">
        <is>
          <t>代謝・内分泌領域</t>
        </is>
      </c>
      <c r="C161" s="4" t="inlineStr">
        <is>
          <t>メトホルミン塩酸塩</t>
        </is>
      </c>
      <c r="D161" s="4" t="inlineStr">
        <is>
          <t>競合B</t>
        </is>
      </c>
      <c r="E161" s="4" t="inlineStr">
        <is>
          <t>競合B社製品</t>
        </is>
      </c>
      <c r="F161" s="4" t="inlineStr">
        <is>
          <t>錠</t>
        </is>
      </c>
      <c r="G161" s="4" t="n">
        <v>196961</v>
      </c>
      <c r="H161" s="4" t="n">
        <v>8.199999999999999</v>
      </c>
      <c r="I161" s="4" t="n">
        <v>1611980</v>
      </c>
      <c r="J161" s="4" t="n">
        <v>0.862</v>
      </c>
    </row>
    <row r="162">
      <c r="A162" s="5" t="inlineStr">
        <is>
          <t>2026-05</t>
        </is>
      </c>
      <c r="B162" s="5" t="inlineStr">
        <is>
          <t>代謝・内分泌領域</t>
        </is>
      </c>
      <c r="C162" s="5" t="inlineStr">
        <is>
          <t>メトホルミン塩酸塩</t>
        </is>
      </c>
      <c r="D162" s="5" t="inlineStr">
        <is>
          <t>オリジナル</t>
        </is>
      </c>
      <c r="E162" s="5" t="inlineStr">
        <is>
          <t>メトグルコ（オリジナル）</t>
        </is>
      </c>
      <c r="F162" s="5" t="inlineStr">
        <is>
          <t>錠</t>
        </is>
      </c>
      <c r="G162" s="5" t="n">
        <v>81120</v>
      </c>
      <c r="H162" s="5" t="n">
        <v>11.2</v>
      </c>
      <c r="I162" s="5" t="n">
        <v>905865</v>
      </c>
      <c r="J162" s="5" t="n">
        <v>0.8678</v>
      </c>
    </row>
    <row r="163">
      <c r="A163" s="4" t="inlineStr">
        <is>
          <t>2026-05</t>
        </is>
      </c>
      <c r="B163" s="4" t="inlineStr">
        <is>
          <t>代謝・内分泌領域</t>
        </is>
      </c>
      <c r="C163" s="4" t="inlineStr">
        <is>
          <t>メトホルミン塩酸塩</t>
        </is>
      </c>
      <c r="D163" s="4" t="inlineStr">
        <is>
          <t>自社</t>
        </is>
      </c>
      <c r="E163" s="4" t="inlineStr">
        <is>
          <t>メトグルコGE「サンド」（自社合計）</t>
        </is>
      </c>
      <c r="F163" s="4" t="inlineStr">
        <is>
          <t>錠</t>
        </is>
      </c>
      <c r="G163" s="4" t="n">
        <v>76872</v>
      </c>
      <c r="H163" s="4" t="n">
        <v>8.300000000000001</v>
      </c>
      <c r="I163" s="4" t="n">
        <v>635871</v>
      </c>
      <c r="J163" s="4" t="n">
        <v>0.8678</v>
      </c>
    </row>
    <row r="164">
      <c r="A164" s="5" t="inlineStr">
        <is>
          <t>2026-05</t>
        </is>
      </c>
      <c r="B164" s="5" t="inlineStr">
        <is>
          <t>代謝・内分泌領域</t>
        </is>
      </c>
      <c r="C164" s="5" t="inlineStr">
        <is>
          <t>メトホルミン塩酸塩</t>
        </is>
      </c>
      <c r="D164" s="5" t="inlineStr">
        <is>
          <t>競合A</t>
        </is>
      </c>
      <c r="E164" s="5" t="inlineStr">
        <is>
          <t>競合A社製品</t>
        </is>
      </c>
      <c r="F164" s="5" t="inlineStr">
        <is>
          <t>錠</t>
        </is>
      </c>
      <c r="G164" s="5" t="n">
        <v>230426</v>
      </c>
      <c r="H164" s="5" t="n">
        <v>8.6</v>
      </c>
      <c r="I164" s="5" t="n">
        <v>1987216</v>
      </c>
      <c r="J164" s="5" t="n">
        <v>0.8678</v>
      </c>
    </row>
    <row r="165">
      <c r="A165" s="4" t="inlineStr">
        <is>
          <t>2026-05</t>
        </is>
      </c>
      <c r="B165" s="4" t="inlineStr">
        <is>
          <t>代謝・内分泌領域</t>
        </is>
      </c>
      <c r="C165" s="4" t="inlineStr">
        <is>
          <t>メトホルミン塩酸塩</t>
        </is>
      </c>
      <c r="D165" s="4" t="inlineStr">
        <is>
          <t>競合B</t>
        </is>
      </c>
      <c r="E165" s="4" t="inlineStr">
        <is>
          <t>競合B社製品</t>
        </is>
      </c>
      <c r="F165" s="4" t="inlineStr">
        <is>
          <t>錠</t>
        </is>
      </c>
      <c r="G165" s="4" t="n">
        <v>224971</v>
      </c>
      <c r="H165" s="4" t="n">
        <v>8.1</v>
      </c>
      <c r="I165" s="4" t="n">
        <v>1813013</v>
      </c>
      <c r="J165" s="4" t="n">
        <v>0.8678</v>
      </c>
    </row>
    <row r="166">
      <c r="A166" s="5" t="inlineStr">
        <is>
          <t>2023-01</t>
        </is>
      </c>
      <c r="B166" s="5" t="inlineStr">
        <is>
          <t>循環器領域</t>
        </is>
      </c>
      <c r="C166" s="5" t="inlineStr">
        <is>
          <t>アトルバスタチン</t>
        </is>
      </c>
      <c r="D166" s="5" t="inlineStr">
        <is>
          <t>オリジナル</t>
        </is>
      </c>
      <c r="E166" s="5" t="inlineStr">
        <is>
          <t>リピトール（オリジナル）</t>
        </is>
      </c>
      <c r="F166" s="5" t="inlineStr">
        <is>
          <t>錠</t>
        </is>
      </c>
      <c r="G166" s="5" t="n">
        <v>85776</v>
      </c>
      <c r="H166" s="5" t="n">
        <v>24.3</v>
      </c>
      <c r="I166" s="5" t="n">
        <v>2084345</v>
      </c>
      <c r="J166" s="5" t="n">
        <v>0.7494</v>
      </c>
    </row>
    <row r="167">
      <c r="A167" s="4" t="inlineStr">
        <is>
          <t>2023-01</t>
        </is>
      </c>
      <c r="B167" s="4" t="inlineStr">
        <is>
          <t>循環器領域</t>
        </is>
      </c>
      <c r="C167" s="4" t="inlineStr">
        <is>
          <t>アトルバスタチン</t>
        </is>
      </c>
      <c r="D167" s="4" t="inlineStr">
        <is>
          <t>自社</t>
        </is>
      </c>
      <c r="E167" s="4" t="inlineStr">
        <is>
          <t>アトルバスタチンOD錠「サンド」（自社合計）</t>
        </is>
      </c>
      <c r="F167" s="4" t="inlineStr">
        <is>
          <t>錠</t>
        </is>
      </c>
      <c r="G167" s="4" t="n">
        <v>45935</v>
      </c>
      <c r="H167" s="4" t="n">
        <v>18</v>
      </c>
      <c r="I167" s="4" t="n">
        <v>826828</v>
      </c>
      <c r="J167" s="4" t="n">
        <v>0.7494</v>
      </c>
    </row>
    <row r="168">
      <c r="A168" s="5" t="inlineStr">
        <is>
          <t>2023-01</t>
        </is>
      </c>
      <c r="B168" s="5" t="inlineStr">
        <is>
          <t>循環器領域</t>
        </is>
      </c>
      <c r="C168" s="5" t="inlineStr">
        <is>
          <t>アトルバスタチン</t>
        </is>
      </c>
      <c r="D168" s="5" t="inlineStr">
        <is>
          <t>競合A</t>
        </is>
      </c>
      <c r="E168" s="5" t="inlineStr">
        <is>
          <t>競合A社製品</t>
        </is>
      </c>
      <c r="F168" s="5" t="inlineStr">
        <is>
          <t>錠</t>
        </is>
      </c>
      <c r="G168" s="5" t="n">
        <v>108434</v>
      </c>
      <c r="H168" s="5" t="n">
        <v>17.9</v>
      </c>
      <c r="I168" s="5" t="n">
        <v>1937442</v>
      </c>
      <c r="J168" s="5" t="n">
        <v>0.7494</v>
      </c>
    </row>
    <row r="169">
      <c r="A169" s="4" t="inlineStr">
        <is>
          <t>2023-01</t>
        </is>
      </c>
      <c r="B169" s="4" t="inlineStr">
        <is>
          <t>循環器領域</t>
        </is>
      </c>
      <c r="C169" s="4" t="inlineStr">
        <is>
          <t>アトルバスタチン</t>
        </is>
      </c>
      <c r="D169" s="4" t="inlineStr">
        <is>
          <t>競合B</t>
        </is>
      </c>
      <c r="E169" s="4" t="inlineStr">
        <is>
          <t>競合B社製品</t>
        </is>
      </c>
      <c r="F169" s="4" t="inlineStr">
        <is>
          <t>錠</t>
        </is>
      </c>
      <c r="G169" s="4" t="n">
        <v>102178</v>
      </c>
      <c r="H169" s="4" t="n">
        <v>18.1</v>
      </c>
      <c r="I169" s="4" t="n">
        <v>1851765</v>
      </c>
      <c r="J169" s="4" t="n">
        <v>0.7494</v>
      </c>
    </row>
    <row r="170">
      <c r="A170" s="5" t="inlineStr">
        <is>
          <t>2023-02</t>
        </is>
      </c>
      <c r="B170" s="5" t="inlineStr">
        <is>
          <t>循環器領域</t>
        </is>
      </c>
      <c r="C170" s="5" t="inlineStr">
        <is>
          <t>アトルバスタチン</t>
        </is>
      </c>
      <c r="D170" s="5" t="inlineStr">
        <is>
          <t>オリジナル</t>
        </is>
      </c>
      <c r="E170" s="5" t="inlineStr">
        <is>
          <t>リピトール（オリジナル）</t>
        </is>
      </c>
      <c r="F170" s="5" t="inlineStr">
        <is>
          <t>錠</t>
        </is>
      </c>
      <c r="G170" s="5" t="n">
        <v>98000</v>
      </c>
      <c r="H170" s="5" t="n">
        <v>24.3</v>
      </c>
      <c r="I170" s="5" t="n">
        <v>2381404</v>
      </c>
      <c r="J170" s="5" t="n">
        <v>0.7296</v>
      </c>
    </row>
    <row r="171">
      <c r="A171" s="4" t="inlineStr">
        <is>
          <t>2023-02</t>
        </is>
      </c>
      <c r="B171" s="4" t="inlineStr">
        <is>
          <t>循環器領域</t>
        </is>
      </c>
      <c r="C171" s="4" t="inlineStr">
        <is>
          <t>アトルバスタチン</t>
        </is>
      </c>
      <c r="D171" s="4" t="inlineStr">
        <is>
          <t>自社</t>
        </is>
      </c>
      <c r="E171" s="4" t="inlineStr">
        <is>
          <t>アトルバスタチンOD錠「サンド」（自社合計）</t>
        </is>
      </c>
      <c r="F171" s="4" t="inlineStr">
        <is>
          <t>錠</t>
        </is>
      </c>
      <c r="G171" s="4" t="n">
        <v>39144</v>
      </c>
      <c r="H171" s="4" t="n">
        <v>18</v>
      </c>
      <c r="I171" s="4" t="n">
        <v>704589</v>
      </c>
      <c r="J171" s="4" t="n">
        <v>0.7296</v>
      </c>
    </row>
    <row r="172">
      <c r="A172" s="5" t="inlineStr">
        <is>
          <t>2023-02</t>
        </is>
      </c>
      <c r="B172" s="5" t="inlineStr">
        <is>
          <t>循環器領域</t>
        </is>
      </c>
      <c r="C172" s="5" t="inlineStr">
        <is>
          <t>アトルバスタチン</t>
        </is>
      </c>
      <c r="D172" s="5" t="inlineStr">
        <is>
          <t>競合A</t>
        </is>
      </c>
      <c r="E172" s="5" t="inlineStr">
        <is>
          <t>競合A社製品</t>
        </is>
      </c>
      <c r="F172" s="5" t="inlineStr">
        <is>
          <t>錠</t>
        </is>
      </c>
      <c r="G172" s="5" t="n">
        <v>129145</v>
      </c>
      <c r="H172" s="5" t="n">
        <v>18.2</v>
      </c>
      <c r="I172" s="5" t="n">
        <v>2344814</v>
      </c>
      <c r="J172" s="5" t="n">
        <v>0.7296</v>
      </c>
    </row>
    <row r="173">
      <c r="A173" s="4" t="inlineStr">
        <is>
          <t>2023-02</t>
        </is>
      </c>
      <c r="B173" s="4" t="inlineStr">
        <is>
          <t>循環器領域</t>
        </is>
      </c>
      <c r="C173" s="4" t="inlineStr">
        <is>
          <t>アトルバスタチン</t>
        </is>
      </c>
      <c r="D173" s="4" t="inlineStr">
        <is>
          <t>競合B</t>
        </is>
      </c>
      <c r="E173" s="4" t="inlineStr">
        <is>
          <t>競合B社製品</t>
        </is>
      </c>
      <c r="F173" s="4" t="inlineStr">
        <is>
          <t>錠</t>
        </is>
      </c>
      <c r="G173" s="4" t="n">
        <v>96113</v>
      </c>
      <c r="H173" s="4" t="n">
        <v>17.9</v>
      </c>
      <c r="I173" s="4" t="n">
        <v>1717014</v>
      </c>
      <c r="J173" s="4" t="n">
        <v>0.7296</v>
      </c>
    </row>
    <row r="174">
      <c r="A174" s="5" t="inlineStr">
        <is>
          <t>2023-03</t>
        </is>
      </c>
      <c r="B174" s="5" t="inlineStr">
        <is>
          <t>循環器領域</t>
        </is>
      </c>
      <c r="C174" s="5" t="inlineStr">
        <is>
          <t>アトルバスタチン</t>
        </is>
      </c>
      <c r="D174" s="5" t="inlineStr">
        <is>
          <t>オリジナル</t>
        </is>
      </c>
      <c r="E174" s="5" t="inlineStr">
        <is>
          <t>リピトール（オリジナル）</t>
        </is>
      </c>
      <c r="F174" s="5" t="inlineStr">
        <is>
          <t>錠</t>
        </is>
      </c>
      <c r="G174" s="5" t="n">
        <v>100650</v>
      </c>
      <c r="H174" s="5" t="n">
        <v>24.3</v>
      </c>
      <c r="I174" s="5" t="n">
        <v>2445794</v>
      </c>
      <c r="J174" s="5" t="n">
        <v>0.7335</v>
      </c>
    </row>
    <row r="175">
      <c r="A175" s="4" t="inlineStr">
        <is>
          <t>2023-03</t>
        </is>
      </c>
      <c r="B175" s="4" t="inlineStr">
        <is>
          <t>循環器領域</t>
        </is>
      </c>
      <c r="C175" s="4" t="inlineStr">
        <is>
          <t>アトルバスタチン</t>
        </is>
      </c>
      <c r="D175" s="4" t="inlineStr">
        <is>
          <t>自社</t>
        </is>
      </c>
      <c r="E175" s="4" t="inlineStr">
        <is>
          <t>アトルバスタチンOD錠「サンド」（自社合計）</t>
        </is>
      </c>
      <c r="F175" s="4" t="inlineStr">
        <is>
          <t>錠</t>
        </is>
      </c>
      <c r="G175" s="4" t="n">
        <v>41162</v>
      </c>
      <c r="H175" s="4" t="n">
        <v>18</v>
      </c>
      <c r="I175" s="4" t="n">
        <v>740915</v>
      </c>
      <c r="J175" s="4" t="n">
        <v>0.7335</v>
      </c>
    </row>
    <row r="176">
      <c r="A176" s="5" t="inlineStr">
        <is>
          <t>2023-03</t>
        </is>
      </c>
      <c r="B176" s="5" t="inlineStr">
        <is>
          <t>循環器領域</t>
        </is>
      </c>
      <c r="C176" s="5" t="inlineStr">
        <is>
          <t>アトルバスタチン</t>
        </is>
      </c>
      <c r="D176" s="5" t="inlineStr">
        <is>
          <t>競合A</t>
        </is>
      </c>
      <c r="E176" s="5" t="inlineStr">
        <is>
          <t>競合A社製品</t>
        </is>
      </c>
      <c r="F176" s="5" t="inlineStr">
        <is>
          <t>錠</t>
        </is>
      </c>
      <c r="G176" s="5" t="n">
        <v>127807</v>
      </c>
      <c r="H176" s="5" t="n">
        <v>18.1</v>
      </c>
      <c r="I176" s="5" t="n">
        <v>2311204</v>
      </c>
      <c r="J176" s="5" t="n">
        <v>0.7335</v>
      </c>
    </row>
    <row r="177">
      <c r="A177" s="4" t="inlineStr">
        <is>
          <t>2023-03</t>
        </is>
      </c>
      <c r="B177" s="4" t="inlineStr">
        <is>
          <t>循環器領域</t>
        </is>
      </c>
      <c r="C177" s="4" t="inlineStr">
        <is>
          <t>アトルバスタチン</t>
        </is>
      </c>
      <c r="D177" s="4" t="inlineStr">
        <is>
          <t>競合B</t>
        </is>
      </c>
      <c r="E177" s="4" t="inlineStr">
        <is>
          <t>競合B社製品</t>
        </is>
      </c>
      <c r="F177" s="4" t="inlineStr">
        <is>
          <t>錠</t>
        </is>
      </c>
      <c r="G177" s="4" t="n">
        <v>107995</v>
      </c>
      <c r="H177" s="4" t="n">
        <v>17.8</v>
      </c>
      <c r="I177" s="4" t="n">
        <v>1922327</v>
      </c>
      <c r="J177" s="4" t="n">
        <v>0.7335</v>
      </c>
    </row>
    <row r="178">
      <c r="A178" s="5" t="inlineStr">
        <is>
          <t>2023-04</t>
        </is>
      </c>
      <c r="B178" s="5" t="inlineStr">
        <is>
          <t>循環器領域</t>
        </is>
      </c>
      <c r="C178" s="5" t="inlineStr">
        <is>
          <t>アトルバスタチン</t>
        </is>
      </c>
      <c r="D178" s="5" t="inlineStr">
        <is>
          <t>オリジナル</t>
        </is>
      </c>
      <c r="E178" s="5" t="inlineStr">
        <is>
          <t>リピトール（オリジナル）</t>
        </is>
      </c>
      <c r="F178" s="5" t="inlineStr">
        <is>
          <t>錠</t>
        </is>
      </c>
      <c r="G178" s="5" t="n">
        <v>79241</v>
      </c>
      <c r="H178" s="5" t="n">
        <v>24.3</v>
      </c>
      <c r="I178" s="5" t="n">
        <v>1925550</v>
      </c>
      <c r="J178" s="5" t="n">
        <v>0.7645</v>
      </c>
    </row>
    <row r="179">
      <c r="A179" s="4" t="inlineStr">
        <is>
          <t>2023-04</t>
        </is>
      </c>
      <c r="B179" s="4" t="inlineStr">
        <is>
          <t>循環器領域</t>
        </is>
      </c>
      <c r="C179" s="4" t="inlineStr">
        <is>
          <t>アトルバスタチン</t>
        </is>
      </c>
      <c r="D179" s="4" t="inlineStr">
        <is>
          <t>自社</t>
        </is>
      </c>
      <c r="E179" s="4" t="inlineStr">
        <is>
          <t>アトルバスタチンOD錠「サンド」（自社合計）</t>
        </is>
      </c>
      <c r="F179" s="4" t="inlineStr">
        <is>
          <t>錠</t>
        </is>
      </c>
      <c r="G179" s="4" t="n">
        <v>39370</v>
      </c>
      <c r="H179" s="4" t="n">
        <v>18</v>
      </c>
      <c r="I179" s="4" t="n">
        <v>708665</v>
      </c>
      <c r="J179" s="4" t="n">
        <v>0.7645</v>
      </c>
    </row>
    <row r="180">
      <c r="A180" s="5" t="inlineStr">
        <is>
          <t>2023-04</t>
        </is>
      </c>
      <c r="B180" s="5" t="inlineStr">
        <is>
          <t>循環器領域</t>
        </is>
      </c>
      <c r="C180" s="5" t="inlineStr">
        <is>
          <t>アトルバスタチン</t>
        </is>
      </c>
      <c r="D180" s="5" t="inlineStr">
        <is>
          <t>競合A</t>
        </is>
      </c>
      <c r="E180" s="5" t="inlineStr">
        <is>
          <t>競合A社製品</t>
        </is>
      </c>
      <c r="F180" s="5" t="inlineStr">
        <is>
          <t>錠</t>
        </is>
      </c>
      <c r="G180" s="5" t="n">
        <v>122122</v>
      </c>
      <c r="H180" s="5" t="n">
        <v>18</v>
      </c>
      <c r="I180" s="5" t="n">
        <v>2200540</v>
      </c>
      <c r="J180" s="5" t="n">
        <v>0.7645</v>
      </c>
    </row>
    <row r="181">
      <c r="A181" s="4" t="inlineStr">
        <is>
          <t>2023-04</t>
        </is>
      </c>
      <c r="B181" s="4" t="inlineStr">
        <is>
          <t>循環器領域</t>
        </is>
      </c>
      <c r="C181" s="4" t="inlineStr">
        <is>
          <t>アトルバスタチン</t>
        </is>
      </c>
      <c r="D181" s="4" t="inlineStr">
        <is>
          <t>競合B</t>
        </is>
      </c>
      <c r="E181" s="4" t="inlineStr">
        <is>
          <t>競合B社製品</t>
        </is>
      </c>
      <c r="F181" s="4" t="inlineStr">
        <is>
          <t>錠</t>
        </is>
      </c>
      <c r="G181" s="4" t="n">
        <v>95738</v>
      </c>
      <c r="H181" s="4" t="n">
        <v>18</v>
      </c>
      <c r="I181" s="4" t="n">
        <v>1723292</v>
      </c>
      <c r="J181" s="4" t="n">
        <v>0.7645</v>
      </c>
    </row>
    <row r="182">
      <c r="A182" s="5" t="inlineStr">
        <is>
          <t>2023-05</t>
        </is>
      </c>
      <c r="B182" s="5" t="inlineStr">
        <is>
          <t>循環器領域</t>
        </is>
      </c>
      <c r="C182" s="5" t="inlineStr">
        <is>
          <t>アトルバスタチン</t>
        </is>
      </c>
      <c r="D182" s="5" t="inlineStr">
        <is>
          <t>オリジナル</t>
        </is>
      </c>
      <c r="E182" s="5" t="inlineStr">
        <is>
          <t>リピトール（オリジナル）</t>
        </is>
      </c>
      <c r="F182" s="5" t="inlineStr">
        <is>
          <t>錠</t>
        </is>
      </c>
      <c r="G182" s="5" t="n">
        <v>81633</v>
      </c>
      <c r="H182" s="5" t="n">
        <v>24.3</v>
      </c>
      <c r="I182" s="5" t="n">
        <v>1983679</v>
      </c>
      <c r="J182" s="5" t="n">
        <v>0.7641</v>
      </c>
    </row>
    <row r="183">
      <c r="A183" s="4" t="inlineStr">
        <is>
          <t>2023-05</t>
        </is>
      </c>
      <c r="B183" s="4" t="inlineStr">
        <is>
          <t>循環器領域</t>
        </is>
      </c>
      <c r="C183" s="4" t="inlineStr">
        <is>
          <t>アトルバスタチン</t>
        </is>
      </c>
      <c r="D183" s="4" t="inlineStr">
        <is>
          <t>自社</t>
        </is>
      </c>
      <c r="E183" s="4" t="inlineStr">
        <is>
          <t>アトルバスタチンOD錠「サンド」（自社合計）</t>
        </is>
      </c>
      <c r="F183" s="4" t="inlineStr">
        <is>
          <t>錠</t>
        </is>
      </c>
      <c r="G183" s="4" t="n">
        <v>39941</v>
      </c>
      <c r="H183" s="4" t="n">
        <v>18</v>
      </c>
      <c r="I183" s="4" t="n">
        <v>718937</v>
      </c>
      <c r="J183" s="4" t="n">
        <v>0.7641</v>
      </c>
    </row>
    <row r="184">
      <c r="A184" s="5" t="inlineStr">
        <is>
          <t>2023-05</t>
        </is>
      </c>
      <c r="B184" s="5" t="inlineStr">
        <is>
          <t>循環器領域</t>
        </is>
      </c>
      <c r="C184" s="5" t="inlineStr">
        <is>
          <t>アトルバスタチン</t>
        </is>
      </c>
      <c r="D184" s="5" t="inlineStr">
        <is>
          <t>競合A</t>
        </is>
      </c>
      <c r="E184" s="5" t="inlineStr">
        <is>
          <t>競合A社製品</t>
        </is>
      </c>
      <c r="F184" s="5" t="inlineStr">
        <is>
          <t>錠</t>
        </is>
      </c>
      <c r="G184" s="5" t="n">
        <v>137586</v>
      </c>
      <c r="H184" s="5" t="n">
        <v>18.6</v>
      </c>
      <c r="I184" s="5" t="n">
        <v>2554469</v>
      </c>
      <c r="J184" s="5" t="n">
        <v>0.7641</v>
      </c>
    </row>
    <row r="185">
      <c r="A185" s="4" t="inlineStr">
        <is>
          <t>2023-05</t>
        </is>
      </c>
      <c r="B185" s="4" t="inlineStr">
        <is>
          <t>循環器領域</t>
        </is>
      </c>
      <c r="C185" s="4" t="inlineStr">
        <is>
          <t>アトルバスタチン</t>
        </is>
      </c>
      <c r="D185" s="4" t="inlineStr">
        <is>
          <t>競合B</t>
        </is>
      </c>
      <c r="E185" s="4" t="inlineStr">
        <is>
          <t>競合B社製品</t>
        </is>
      </c>
      <c r="F185" s="4" t="inlineStr">
        <is>
          <t>錠</t>
        </is>
      </c>
      <c r="G185" s="4" t="n">
        <v>86936</v>
      </c>
      <c r="H185" s="4" t="n">
        <v>18.1</v>
      </c>
      <c r="I185" s="4" t="n">
        <v>1576919</v>
      </c>
      <c r="J185" s="4" t="n">
        <v>0.7641</v>
      </c>
    </row>
    <row r="186">
      <c r="A186" s="5" t="inlineStr">
        <is>
          <t>2023-06</t>
        </is>
      </c>
      <c r="B186" s="5" t="inlineStr">
        <is>
          <t>循環器領域</t>
        </is>
      </c>
      <c r="C186" s="5" t="inlineStr">
        <is>
          <t>アトルバスタチン</t>
        </is>
      </c>
      <c r="D186" s="5" t="inlineStr">
        <is>
          <t>オリジナル</t>
        </is>
      </c>
      <c r="E186" s="5" t="inlineStr">
        <is>
          <t>リピトール（オリジナル）</t>
        </is>
      </c>
      <c r="F186" s="5" t="inlineStr">
        <is>
          <t>錠</t>
        </is>
      </c>
      <c r="G186" s="5" t="n">
        <v>84476</v>
      </c>
      <c r="H186" s="5" t="n">
        <v>24.3</v>
      </c>
      <c r="I186" s="5" t="n">
        <v>2052767</v>
      </c>
      <c r="J186" s="5" t="n">
        <v>0.7559</v>
      </c>
    </row>
    <row r="187">
      <c r="A187" s="4" t="inlineStr">
        <is>
          <t>2023-06</t>
        </is>
      </c>
      <c r="B187" s="4" t="inlineStr">
        <is>
          <t>循環器領域</t>
        </is>
      </c>
      <c r="C187" s="4" t="inlineStr">
        <is>
          <t>アトルバスタチン</t>
        </is>
      </c>
      <c r="D187" s="4" t="inlineStr">
        <is>
          <t>自社</t>
        </is>
      </c>
      <c r="E187" s="4" t="inlineStr">
        <is>
          <t>アトルバスタチンOD錠「サンド」（自社合計）</t>
        </is>
      </c>
      <c r="F187" s="4" t="inlineStr">
        <is>
          <t>錠</t>
        </is>
      </c>
      <c r="G187" s="4" t="n">
        <v>43012</v>
      </c>
      <c r="H187" s="4" t="n">
        <v>18</v>
      </c>
      <c r="I187" s="4" t="n">
        <v>774224</v>
      </c>
      <c r="J187" s="4" t="n">
        <v>0.7559</v>
      </c>
    </row>
    <row r="188">
      <c r="A188" s="5" t="inlineStr">
        <is>
          <t>2023-06</t>
        </is>
      </c>
      <c r="B188" s="5" t="inlineStr">
        <is>
          <t>循環器領域</t>
        </is>
      </c>
      <c r="C188" s="5" t="inlineStr">
        <is>
          <t>アトルバスタチン</t>
        </is>
      </c>
      <c r="D188" s="5" t="inlineStr">
        <is>
          <t>競合A</t>
        </is>
      </c>
      <c r="E188" s="5" t="inlineStr">
        <is>
          <t>競合A社製品</t>
        </is>
      </c>
      <c r="F188" s="5" t="inlineStr">
        <is>
          <t>錠</t>
        </is>
      </c>
      <c r="G188" s="5" t="n">
        <v>121954</v>
      </c>
      <c r="H188" s="5" t="n">
        <v>18.2</v>
      </c>
      <c r="I188" s="5" t="n">
        <v>2216257</v>
      </c>
      <c r="J188" s="5" t="n">
        <v>0.7559</v>
      </c>
    </row>
    <row r="189">
      <c r="A189" s="4" t="inlineStr">
        <is>
          <t>2023-06</t>
        </is>
      </c>
      <c r="B189" s="4" t="inlineStr">
        <is>
          <t>循環器領域</t>
        </is>
      </c>
      <c r="C189" s="4" t="inlineStr">
        <is>
          <t>アトルバスタチン</t>
        </is>
      </c>
      <c r="D189" s="4" t="inlineStr">
        <is>
          <t>競合B</t>
        </is>
      </c>
      <c r="E189" s="4" t="inlineStr">
        <is>
          <t>競合B社製品</t>
        </is>
      </c>
      <c r="F189" s="4" t="inlineStr">
        <is>
          <t>錠</t>
        </is>
      </c>
      <c r="G189" s="4" t="n">
        <v>96648</v>
      </c>
      <c r="H189" s="4" t="n">
        <v>17.4</v>
      </c>
      <c r="I189" s="4" t="n">
        <v>1678961</v>
      </c>
      <c r="J189" s="4" t="n">
        <v>0.7559</v>
      </c>
    </row>
    <row r="190">
      <c r="A190" s="5" t="inlineStr">
        <is>
          <t>2023-07</t>
        </is>
      </c>
      <c r="B190" s="5" t="inlineStr">
        <is>
          <t>循環器領域</t>
        </is>
      </c>
      <c r="C190" s="5" t="inlineStr">
        <is>
          <t>アトルバスタチン</t>
        </is>
      </c>
      <c r="D190" s="5" t="inlineStr">
        <is>
          <t>オリジナル</t>
        </is>
      </c>
      <c r="E190" s="5" t="inlineStr">
        <is>
          <t>リピトール（オリジナル）</t>
        </is>
      </c>
      <c r="F190" s="5" t="inlineStr">
        <is>
          <t>錠</t>
        </is>
      </c>
      <c r="G190" s="5" t="n">
        <v>79837</v>
      </c>
      <c r="H190" s="5" t="n">
        <v>24.3</v>
      </c>
      <c r="I190" s="5" t="n">
        <v>1940043</v>
      </c>
      <c r="J190" s="5" t="n">
        <v>0.7772</v>
      </c>
    </row>
    <row r="191">
      <c r="A191" s="4" t="inlineStr">
        <is>
          <t>2023-07</t>
        </is>
      </c>
      <c r="B191" s="4" t="inlineStr">
        <is>
          <t>循環器領域</t>
        </is>
      </c>
      <c r="C191" s="4" t="inlineStr">
        <is>
          <t>アトルバスタチン</t>
        </is>
      </c>
      <c r="D191" s="4" t="inlineStr">
        <is>
          <t>自社</t>
        </is>
      </c>
      <c r="E191" s="4" t="inlineStr">
        <is>
          <t>アトルバスタチンOD錠「サンド」（自社合計）</t>
        </is>
      </c>
      <c r="F191" s="4" t="inlineStr">
        <is>
          <t>錠</t>
        </is>
      </c>
      <c r="G191" s="4" t="n">
        <v>39508</v>
      </c>
      <c r="H191" s="4" t="n">
        <v>18</v>
      </c>
      <c r="I191" s="4" t="n">
        <v>711152</v>
      </c>
      <c r="J191" s="4" t="n">
        <v>0.7772</v>
      </c>
    </row>
    <row r="192">
      <c r="A192" s="5" t="inlineStr">
        <is>
          <t>2023-07</t>
        </is>
      </c>
      <c r="B192" s="5" t="inlineStr">
        <is>
          <t>循環器領域</t>
        </is>
      </c>
      <c r="C192" s="5" t="inlineStr">
        <is>
          <t>アトルバスタチン</t>
        </is>
      </c>
      <c r="D192" s="5" t="inlineStr">
        <is>
          <t>競合A</t>
        </is>
      </c>
      <c r="E192" s="5" t="inlineStr">
        <is>
          <t>競合A社製品</t>
        </is>
      </c>
      <c r="F192" s="5" t="inlineStr">
        <is>
          <t>錠</t>
        </is>
      </c>
      <c r="G192" s="5" t="n">
        <v>128029</v>
      </c>
      <c r="H192" s="5" t="n">
        <v>18.1</v>
      </c>
      <c r="I192" s="5" t="n">
        <v>2316672</v>
      </c>
      <c r="J192" s="5" t="n">
        <v>0.7772</v>
      </c>
    </row>
    <row r="193">
      <c r="A193" s="4" t="inlineStr">
        <is>
          <t>2023-07</t>
        </is>
      </c>
      <c r="B193" s="4" t="inlineStr">
        <is>
          <t>循環器領域</t>
        </is>
      </c>
      <c r="C193" s="4" t="inlineStr">
        <is>
          <t>アトルバスタチン</t>
        </is>
      </c>
      <c r="D193" s="4" t="inlineStr">
        <is>
          <t>競合B</t>
        </is>
      </c>
      <c r="E193" s="4" t="inlineStr">
        <is>
          <t>競合B社製品</t>
        </is>
      </c>
      <c r="F193" s="4" t="inlineStr">
        <is>
          <t>錠</t>
        </is>
      </c>
      <c r="G193" s="4" t="n">
        <v>110896</v>
      </c>
      <c r="H193" s="4" t="n">
        <v>18</v>
      </c>
      <c r="I193" s="4" t="n">
        <v>1998219</v>
      </c>
      <c r="J193" s="4" t="n">
        <v>0.7772</v>
      </c>
    </row>
    <row r="194">
      <c r="A194" s="5" t="inlineStr">
        <is>
          <t>2023-08</t>
        </is>
      </c>
      <c r="B194" s="5" t="inlineStr">
        <is>
          <t>循環器領域</t>
        </is>
      </c>
      <c r="C194" s="5" t="inlineStr">
        <is>
          <t>アトルバスタチン</t>
        </is>
      </c>
      <c r="D194" s="5" t="inlineStr">
        <is>
          <t>オリジナル</t>
        </is>
      </c>
      <c r="E194" s="5" t="inlineStr">
        <is>
          <t>リピトール（オリジナル）</t>
        </is>
      </c>
      <c r="F194" s="5" t="inlineStr">
        <is>
          <t>錠</t>
        </is>
      </c>
      <c r="G194" s="5" t="n">
        <v>78152</v>
      </c>
      <c r="H194" s="5" t="n">
        <v>24.3</v>
      </c>
      <c r="I194" s="5" t="n">
        <v>1899083</v>
      </c>
      <c r="J194" s="5" t="n">
        <v>0.7766999999999999</v>
      </c>
    </row>
    <row r="195">
      <c r="A195" s="4" t="inlineStr">
        <is>
          <t>2023-08</t>
        </is>
      </c>
      <c r="B195" s="4" t="inlineStr">
        <is>
          <t>循環器領域</t>
        </is>
      </c>
      <c r="C195" s="4" t="inlineStr">
        <is>
          <t>アトルバスタチン</t>
        </is>
      </c>
      <c r="D195" s="4" t="inlineStr">
        <is>
          <t>自社</t>
        </is>
      </c>
      <c r="E195" s="4" t="inlineStr">
        <is>
          <t>アトルバスタチンOD錠「サンド」（自社合計）</t>
        </is>
      </c>
      <c r="F195" s="4" t="inlineStr">
        <is>
          <t>錠</t>
        </is>
      </c>
      <c r="G195" s="4" t="n">
        <v>41041</v>
      </c>
      <c r="H195" s="4" t="n">
        <v>18</v>
      </c>
      <c r="I195" s="4" t="n">
        <v>738734</v>
      </c>
      <c r="J195" s="4" t="n">
        <v>0.7766999999999999</v>
      </c>
    </row>
    <row r="196">
      <c r="A196" s="5" t="inlineStr">
        <is>
          <t>2023-08</t>
        </is>
      </c>
      <c r="B196" s="5" t="inlineStr">
        <is>
          <t>循環器領域</t>
        </is>
      </c>
      <c r="C196" s="5" t="inlineStr">
        <is>
          <t>アトルバスタチン</t>
        </is>
      </c>
      <c r="D196" s="5" t="inlineStr">
        <is>
          <t>競合A</t>
        </is>
      </c>
      <c r="E196" s="5" t="inlineStr">
        <is>
          <t>競合A社製品</t>
        </is>
      </c>
      <c r="F196" s="5" t="inlineStr">
        <is>
          <t>錠</t>
        </is>
      </c>
      <c r="G196" s="5" t="n">
        <v>127990</v>
      </c>
      <c r="H196" s="5" t="n">
        <v>18.5</v>
      </c>
      <c r="I196" s="5" t="n">
        <v>2371615</v>
      </c>
      <c r="J196" s="5" t="n">
        <v>0.7766999999999999</v>
      </c>
    </row>
    <row r="197">
      <c r="A197" s="4" t="inlineStr">
        <is>
          <t>2023-08</t>
        </is>
      </c>
      <c r="B197" s="4" t="inlineStr">
        <is>
          <t>循環器領域</t>
        </is>
      </c>
      <c r="C197" s="4" t="inlineStr">
        <is>
          <t>アトルバスタチン</t>
        </is>
      </c>
      <c r="D197" s="4" t="inlineStr">
        <is>
          <t>競合B</t>
        </is>
      </c>
      <c r="E197" s="4" t="inlineStr">
        <is>
          <t>競合B社製品</t>
        </is>
      </c>
      <c r="F197" s="4" t="inlineStr">
        <is>
          <t>錠</t>
        </is>
      </c>
      <c r="G197" s="4" t="n">
        <v>102798</v>
      </c>
      <c r="H197" s="4" t="n">
        <v>17.1</v>
      </c>
      <c r="I197" s="4" t="n">
        <v>1755384</v>
      </c>
      <c r="J197" s="4" t="n">
        <v>0.7766999999999999</v>
      </c>
    </row>
    <row r="198">
      <c r="A198" s="5" t="inlineStr">
        <is>
          <t>2023-09</t>
        </is>
      </c>
      <c r="B198" s="5" t="inlineStr">
        <is>
          <t>循環器領域</t>
        </is>
      </c>
      <c r="C198" s="5" t="inlineStr">
        <is>
          <t>アトルバスタチン</t>
        </is>
      </c>
      <c r="D198" s="5" t="inlineStr">
        <is>
          <t>オリジナル</t>
        </is>
      </c>
      <c r="E198" s="5" t="inlineStr">
        <is>
          <t>リピトール（オリジナル）</t>
        </is>
      </c>
      <c r="F198" s="5" t="inlineStr">
        <is>
          <t>錠</t>
        </is>
      </c>
      <c r="G198" s="5" t="n">
        <v>75677</v>
      </c>
      <c r="H198" s="5" t="n">
        <v>24.3</v>
      </c>
      <c r="I198" s="5" t="n">
        <v>1838961</v>
      </c>
      <c r="J198" s="5" t="n">
        <v>0.7842</v>
      </c>
    </row>
    <row r="199">
      <c r="A199" s="4" t="inlineStr">
        <is>
          <t>2023-09</t>
        </is>
      </c>
      <c r="B199" s="4" t="inlineStr">
        <is>
          <t>循環器領域</t>
        </is>
      </c>
      <c r="C199" s="4" t="inlineStr">
        <is>
          <t>アトルバスタチン</t>
        </is>
      </c>
      <c r="D199" s="4" t="inlineStr">
        <is>
          <t>自社</t>
        </is>
      </c>
      <c r="E199" s="4" t="inlineStr">
        <is>
          <t>アトルバスタチンOD錠「サンド」（自社合計）</t>
        </is>
      </c>
      <c r="F199" s="4" t="inlineStr">
        <is>
          <t>錠</t>
        </is>
      </c>
      <c r="G199" s="4" t="n">
        <v>43161</v>
      </c>
      <c r="H199" s="4" t="n">
        <v>18</v>
      </c>
      <c r="I199" s="4" t="n">
        <v>776904</v>
      </c>
      <c r="J199" s="4" t="n">
        <v>0.7842</v>
      </c>
    </row>
    <row r="200">
      <c r="A200" s="5" t="inlineStr">
        <is>
          <t>2023-09</t>
        </is>
      </c>
      <c r="B200" s="5" t="inlineStr">
        <is>
          <t>循環器領域</t>
        </is>
      </c>
      <c r="C200" s="5" t="inlineStr">
        <is>
          <t>アトルバスタチン</t>
        </is>
      </c>
      <c r="D200" s="5" t="inlineStr">
        <is>
          <t>競合A</t>
        </is>
      </c>
      <c r="E200" s="5" t="inlineStr">
        <is>
          <t>競合A社製品</t>
        </is>
      </c>
      <c r="F200" s="5" t="inlineStr">
        <is>
          <t>錠</t>
        </is>
      </c>
      <c r="G200" s="5" t="n">
        <v>124915</v>
      </c>
      <c r="H200" s="5" t="n">
        <v>17.4</v>
      </c>
      <c r="I200" s="5" t="n">
        <v>2169479</v>
      </c>
      <c r="J200" s="5" t="n">
        <v>0.7842</v>
      </c>
    </row>
    <row r="201">
      <c r="A201" s="4" t="inlineStr">
        <is>
          <t>2023-09</t>
        </is>
      </c>
      <c r="B201" s="4" t="inlineStr">
        <is>
          <t>循環器領域</t>
        </is>
      </c>
      <c r="C201" s="4" t="inlineStr">
        <is>
          <t>アトルバスタチン</t>
        </is>
      </c>
      <c r="D201" s="4" t="inlineStr">
        <is>
          <t>競合B</t>
        </is>
      </c>
      <c r="E201" s="4" t="inlineStr">
        <is>
          <t>競合B社製品</t>
        </is>
      </c>
      <c r="F201" s="4" t="inlineStr">
        <is>
          <t>錠</t>
        </is>
      </c>
      <c r="G201" s="4" t="n">
        <v>106906</v>
      </c>
      <c r="H201" s="4" t="n">
        <v>18.1</v>
      </c>
      <c r="I201" s="4" t="n">
        <v>1936937</v>
      </c>
      <c r="J201" s="4" t="n">
        <v>0.7842</v>
      </c>
    </row>
    <row r="202">
      <c r="A202" s="5" t="inlineStr">
        <is>
          <t>2023-10</t>
        </is>
      </c>
      <c r="B202" s="5" t="inlineStr">
        <is>
          <t>循環器領域</t>
        </is>
      </c>
      <c r="C202" s="5" t="inlineStr">
        <is>
          <t>アトルバスタチン</t>
        </is>
      </c>
      <c r="D202" s="5" t="inlineStr">
        <is>
          <t>オリジナル</t>
        </is>
      </c>
      <c r="E202" s="5" t="inlineStr">
        <is>
          <t>リピトール（オリジナル）</t>
        </is>
      </c>
      <c r="F202" s="5" t="inlineStr">
        <is>
          <t>錠</t>
        </is>
      </c>
      <c r="G202" s="5" t="n">
        <v>83404</v>
      </c>
      <c r="H202" s="5" t="n">
        <v>24.3</v>
      </c>
      <c r="I202" s="5" t="n">
        <v>2026709</v>
      </c>
      <c r="J202" s="5" t="n">
        <v>0.7714</v>
      </c>
    </row>
    <row r="203">
      <c r="A203" s="4" t="inlineStr">
        <is>
          <t>2023-10</t>
        </is>
      </c>
      <c r="B203" s="4" t="inlineStr">
        <is>
          <t>循環器領域</t>
        </is>
      </c>
      <c r="C203" s="4" t="inlineStr">
        <is>
          <t>アトルバスタチン</t>
        </is>
      </c>
      <c r="D203" s="4" t="inlineStr">
        <is>
          <t>自社</t>
        </is>
      </c>
      <c r="E203" s="4" t="inlineStr">
        <is>
          <t>アトルバスタチンOD錠「サンド」（自社合計）</t>
        </is>
      </c>
      <c r="F203" s="4" t="inlineStr">
        <is>
          <t>錠</t>
        </is>
      </c>
      <c r="G203" s="4" t="n">
        <v>45907</v>
      </c>
      <c r="H203" s="4" t="n">
        <v>18</v>
      </c>
      <c r="I203" s="4" t="n">
        <v>826328</v>
      </c>
      <c r="J203" s="4" t="n">
        <v>0.7714</v>
      </c>
    </row>
    <row r="204">
      <c r="A204" s="5" t="inlineStr">
        <is>
          <t>2023-10</t>
        </is>
      </c>
      <c r="B204" s="5" t="inlineStr">
        <is>
          <t>循環器領域</t>
        </is>
      </c>
      <c r="C204" s="5" t="inlineStr">
        <is>
          <t>アトルバスタチン</t>
        </is>
      </c>
      <c r="D204" s="5" t="inlineStr">
        <is>
          <t>競合A</t>
        </is>
      </c>
      <c r="E204" s="5" t="inlineStr">
        <is>
          <t>競合A社製品</t>
        </is>
      </c>
      <c r="F204" s="5" t="inlineStr">
        <is>
          <t>錠</t>
        </is>
      </c>
      <c r="G204" s="5" t="n">
        <v>127200</v>
      </c>
      <c r="H204" s="5" t="n">
        <v>18</v>
      </c>
      <c r="I204" s="5" t="n">
        <v>2286795</v>
      </c>
      <c r="J204" s="5" t="n">
        <v>0.7714</v>
      </c>
    </row>
    <row r="205">
      <c r="A205" s="4" t="inlineStr">
        <is>
          <t>2023-10</t>
        </is>
      </c>
      <c r="B205" s="4" t="inlineStr">
        <is>
          <t>循環器領域</t>
        </is>
      </c>
      <c r="C205" s="4" t="inlineStr">
        <is>
          <t>アトルバスタチン</t>
        </is>
      </c>
      <c r="D205" s="4" t="inlineStr">
        <is>
          <t>競合B</t>
        </is>
      </c>
      <c r="E205" s="4" t="inlineStr">
        <is>
          <t>競合B社製品</t>
        </is>
      </c>
      <c r="F205" s="4" t="inlineStr">
        <is>
          <t>錠</t>
        </is>
      </c>
      <c r="G205" s="4" t="n">
        <v>108293</v>
      </c>
      <c r="H205" s="4" t="n">
        <v>17.6</v>
      </c>
      <c r="I205" s="4" t="n">
        <v>1908223</v>
      </c>
      <c r="J205" s="4" t="n">
        <v>0.7714</v>
      </c>
    </row>
    <row r="206">
      <c r="A206" s="5" t="inlineStr">
        <is>
          <t>2023-11</t>
        </is>
      </c>
      <c r="B206" s="5" t="inlineStr">
        <is>
          <t>循環器領域</t>
        </is>
      </c>
      <c r="C206" s="5" t="inlineStr">
        <is>
          <t>アトルバスタチン</t>
        </is>
      </c>
      <c r="D206" s="5" t="inlineStr">
        <is>
          <t>オリジナル</t>
        </is>
      </c>
      <c r="E206" s="5" t="inlineStr">
        <is>
          <t>リピトール（オリジナル）</t>
        </is>
      </c>
      <c r="F206" s="5" t="inlineStr">
        <is>
          <t>錠</t>
        </is>
      </c>
      <c r="G206" s="5" t="n">
        <v>68836</v>
      </c>
      <c r="H206" s="5" t="n">
        <v>24.3</v>
      </c>
      <c r="I206" s="5" t="n">
        <v>1672709</v>
      </c>
      <c r="J206" s="5" t="n">
        <v>0.8036</v>
      </c>
    </row>
    <row r="207">
      <c r="A207" s="4" t="inlineStr">
        <is>
          <t>2023-11</t>
        </is>
      </c>
      <c r="B207" s="4" t="inlineStr">
        <is>
          <t>循環器領域</t>
        </is>
      </c>
      <c r="C207" s="4" t="inlineStr">
        <is>
          <t>アトルバスタチン</t>
        </is>
      </c>
      <c r="D207" s="4" t="inlineStr">
        <is>
          <t>自社</t>
        </is>
      </c>
      <c r="E207" s="4" t="inlineStr">
        <is>
          <t>アトルバスタチンOD錠「サンド」（自社合計）</t>
        </is>
      </c>
      <c r="F207" s="4" t="inlineStr">
        <is>
          <t>錠</t>
        </is>
      </c>
      <c r="G207" s="4" t="n">
        <v>45308</v>
      </c>
      <c r="H207" s="4" t="n">
        <v>18</v>
      </c>
      <c r="I207" s="4" t="n">
        <v>815539</v>
      </c>
      <c r="J207" s="4" t="n">
        <v>0.8036</v>
      </c>
    </row>
    <row r="208">
      <c r="A208" s="5" t="inlineStr">
        <is>
          <t>2023-11</t>
        </is>
      </c>
      <c r="B208" s="5" t="inlineStr">
        <is>
          <t>循環器領域</t>
        </is>
      </c>
      <c r="C208" s="5" t="inlineStr">
        <is>
          <t>アトルバスタチン</t>
        </is>
      </c>
      <c r="D208" s="5" t="inlineStr">
        <is>
          <t>競合A</t>
        </is>
      </c>
      <c r="E208" s="5" t="inlineStr">
        <is>
          <t>競合A社製品</t>
        </is>
      </c>
      <c r="F208" s="5" t="inlineStr">
        <is>
          <t>錠</t>
        </is>
      </c>
      <c r="G208" s="5" t="n">
        <v>142312</v>
      </c>
      <c r="H208" s="5" t="n">
        <v>18.4</v>
      </c>
      <c r="I208" s="5" t="n">
        <v>2621931</v>
      </c>
      <c r="J208" s="5" t="n">
        <v>0.8036</v>
      </c>
    </row>
    <row r="209">
      <c r="A209" s="4" t="inlineStr">
        <is>
          <t>2023-11</t>
        </is>
      </c>
      <c r="B209" s="4" t="inlineStr">
        <is>
          <t>循環器領域</t>
        </is>
      </c>
      <c r="C209" s="4" t="inlineStr">
        <is>
          <t>アトルバスタチン</t>
        </is>
      </c>
      <c r="D209" s="4" t="inlineStr">
        <is>
          <t>競合B</t>
        </is>
      </c>
      <c r="E209" s="4" t="inlineStr">
        <is>
          <t>競合B社製品</t>
        </is>
      </c>
      <c r="F209" s="4" t="inlineStr">
        <is>
          <t>錠</t>
        </is>
      </c>
      <c r="G209" s="4" t="n">
        <v>94098</v>
      </c>
      <c r="H209" s="4" t="n">
        <v>18.2</v>
      </c>
      <c r="I209" s="4" t="n">
        <v>1708647</v>
      </c>
      <c r="J209" s="4" t="n">
        <v>0.8036</v>
      </c>
    </row>
    <row r="210">
      <c r="A210" s="5" t="inlineStr">
        <is>
          <t>2023-12</t>
        </is>
      </c>
      <c r="B210" s="5" t="inlineStr">
        <is>
          <t>循環器領域</t>
        </is>
      </c>
      <c r="C210" s="5" t="inlineStr">
        <is>
          <t>アトルバスタチン</t>
        </is>
      </c>
      <c r="D210" s="5" t="inlineStr">
        <is>
          <t>オリジナル</t>
        </is>
      </c>
      <c r="E210" s="5" t="inlineStr">
        <is>
          <t>リピトール（オリジナル）</t>
        </is>
      </c>
      <c r="F210" s="5" t="inlineStr">
        <is>
          <t>錠</t>
        </is>
      </c>
      <c r="G210" s="5" t="n">
        <v>73613</v>
      </c>
      <c r="H210" s="5" t="n">
        <v>24.3</v>
      </c>
      <c r="I210" s="5" t="n">
        <v>1788797</v>
      </c>
      <c r="J210" s="5" t="n">
        <v>0.7986</v>
      </c>
    </row>
    <row r="211">
      <c r="A211" s="4" t="inlineStr">
        <is>
          <t>2023-12</t>
        </is>
      </c>
      <c r="B211" s="4" t="inlineStr">
        <is>
          <t>循環器領域</t>
        </is>
      </c>
      <c r="C211" s="4" t="inlineStr">
        <is>
          <t>アトルバスタチン</t>
        </is>
      </c>
      <c r="D211" s="4" t="inlineStr">
        <is>
          <t>自社</t>
        </is>
      </c>
      <c r="E211" s="4" t="inlineStr">
        <is>
          <t>アトルバスタチンOD錠「サンド」（自社合計）</t>
        </is>
      </c>
      <c r="F211" s="4" t="inlineStr">
        <is>
          <t>錠</t>
        </is>
      </c>
      <c r="G211" s="4" t="n">
        <v>47810</v>
      </c>
      <c r="H211" s="4" t="n">
        <v>18</v>
      </c>
      <c r="I211" s="4" t="n">
        <v>860572</v>
      </c>
      <c r="J211" s="4" t="n">
        <v>0.7986</v>
      </c>
    </row>
    <row r="212">
      <c r="A212" s="5" t="inlineStr">
        <is>
          <t>2023-12</t>
        </is>
      </c>
      <c r="B212" s="5" t="inlineStr">
        <is>
          <t>循環器領域</t>
        </is>
      </c>
      <c r="C212" s="5" t="inlineStr">
        <is>
          <t>アトルバスタチン</t>
        </is>
      </c>
      <c r="D212" s="5" t="inlineStr">
        <is>
          <t>競合A</t>
        </is>
      </c>
      <c r="E212" s="5" t="inlineStr">
        <is>
          <t>競合A社製品</t>
        </is>
      </c>
      <c r="F212" s="5" t="inlineStr">
        <is>
          <t>錠</t>
        </is>
      </c>
      <c r="G212" s="5" t="n">
        <v>132085</v>
      </c>
      <c r="H212" s="5" t="n">
        <v>18</v>
      </c>
      <c r="I212" s="5" t="n">
        <v>2380699</v>
      </c>
      <c r="J212" s="5" t="n">
        <v>0.7986</v>
      </c>
    </row>
    <row r="213">
      <c r="A213" s="4" t="inlineStr">
        <is>
          <t>2023-12</t>
        </is>
      </c>
      <c r="B213" s="4" t="inlineStr">
        <is>
          <t>循環器領域</t>
        </is>
      </c>
      <c r="C213" s="4" t="inlineStr">
        <is>
          <t>アトルバスタチン</t>
        </is>
      </c>
      <c r="D213" s="4" t="inlineStr">
        <is>
          <t>競合B</t>
        </is>
      </c>
      <c r="E213" s="4" t="inlineStr">
        <is>
          <t>競合B社製品</t>
        </is>
      </c>
      <c r="F213" s="4" t="inlineStr">
        <is>
          <t>錠</t>
        </is>
      </c>
      <c r="G213" s="4" t="n">
        <v>112019</v>
      </c>
      <c r="H213" s="4" t="n">
        <v>17.7</v>
      </c>
      <c r="I213" s="4" t="n">
        <v>1988209</v>
      </c>
      <c r="J213" s="4" t="n">
        <v>0.7986</v>
      </c>
    </row>
    <row r="214">
      <c r="A214" s="5" t="inlineStr">
        <is>
          <t>2024-01</t>
        </is>
      </c>
      <c r="B214" s="5" t="inlineStr">
        <is>
          <t>循環器領域</t>
        </is>
      </c>
      <c r="C214" s="5" t="inlineStr">
        <is>
          <t>アトルバスタチン</t>
        </is>
      </c>
      <c r="D214" s="5" t="inlineStr">
        <is>
          <t>オリジナル</t>
        </is>
      </c>
      <c r="E214" s="5" t="inlineStr">
        <is>
          <t>リピトール（オリジナル）</t>
        </is>
      </c>
      <c r="F214" s="5" t="inlineStr">
        <is>
          <t>錠</t>
        </is>
      </c>
      <c r="G214" s="5" t="n">
        <v>77251</v>
      </c>
      <c r="H214" s="5" t="n">
        <v>24.3</v>
      </c>
      <c r="I214" s="5" t="n">
        <v>1877199</v>
      </c>
      <c r="J214" s="5" t="n">
        <v>0.7857</v>
      </c>
    </row>
    <row r="215">
      <c r="A215" s="4" t="inlineStr">
        <is>
          <t>2024-01</t>
        </is>
      </c>
      <c r="B215" s="4" t="inlineStr">
        <is>
          <t>循環器領域</t>
        </is>
      </c>
      <c r="C215" s="4" t="inlineStr">
        <is>
          <t>アトルバスタチン</t>
        </is>
      </c>
      <c r="D215" s="4" t="inlineStr">
        <is>
          <t>自社</t>
        </is>
      </c>
      <c r="E215" s="4" t="inlineStr">
        <is>
          <t>アトルバスタチンOD錠「サンド」（自社合計）</t>
        </is>
      </c>
      <c r="F215" s="4" t="inlineStr">
        <is>
          <t>錠</t>
        </is>
      </c>
      <c r="G215" s="4" t="n">
        <v>46402</v>
      </c>
      <c r="H215" s="4" t="n">
        <v>18</v>
      </c>
      <c r="I215" s="4" t="n">
        <v>835241</v>
      </c>
      <c r="J215" s="4" t="n">
        <v>0.7857</v>
      </c>
    </row>
    <row r="216">
      <c r="A216" s="5" t="inlineStr">
        <is>
          <t>2024-01</t>
        </is>
      </c>
      <c r="B216" s="5" t="inlineStr">
        <is>
          <t>循環器領域</t>
        </is>
      </c>
      <c r="C216" s="5" t="inlineStr">
        <is>
          <t>アトルバスタチン</t>
        </is>
      </c>
      <c r="D216" s="5" t="inlineStr">
        <is>
          <t>競合A</t>
        </is>
      </c>
      <c r="E216" s="5" t="inlineStr">
        <is>
          <t>競合A社製品</t>
        </is>
      </c>
      <c r="F216" s="5" t="inlineStr">
        <is>
          <t>錠</t>
        </is>
      </c>
      <c r="G216" s="5" t="n">
        <v>128909</v>
      </c>
      <c r="H216" s="5" t="n">
        <v>18.4</v>
      </c>
      <c r="I216" s="5" t="n">
        <v>2374718</v>
      </c>
      <c r="J216" s="5" t="n">
        <v>0.7857</v>
      </c>
    </row>
    <row r="217">
      <c r="A217" s="4" t="inlineStr">
        <is>
          <t>2024-01</t>
        </is>
      </c>
      <c r="B217" s="4" t="inlineStr">
        <is>
          <t>循環器領域</t>
        </is>
      </c>
      <c r="C217" s="4" t="inlineStr">
        <is>
          <t>アトルバスタチン</t>
        </is>
      </c>
      <c r="D217" s="4" t="inlineStr">
        <is>
          <t>競合B</t>
        </is>
      </c>
      <c r="E217" s="4" t="inlineStr">
        <is>
          <t>競合B社製品</t>
        </is>
      </c>
      <c r="F217" s="4" t="inlineStr">
        <is>
          <t>錠</t>
        </is>
      </c>
      <c r="G217" s="4" t="n">
        <v>107934</v>
      </c>
      <c r="H217" s="4" t="n">
        <v>18.3</v>
      </c>
      <c r="I217" s="4" t="n">
        <v>1971989</v>
      </c>
      <c r="J217" s="4" t="n">
        <v>0.7857</v>
      </c>
    </row>
    <row r="218">
      <c r="A218" s="5" t="inlineStr">
        <is>
          <t>2024-02</t>
        </is>
      </c>
      <c r="B218" s="5" t="inlineStr">
        <is>
          <t>循環器領域</t>
        </is>
      </c>
      <c r="C218" s="5" t="inlineStr">
        <is>
          <t>アトルバスタチン</t>
        </is>
      </c>
      <c r="D218" s="5" t="inlineStr">
        <is>
          <t>オリジナル</t>
        </is>
      </c>
      <c r="E218" s="5" t="inlineStr">
        <is>
          <t>リピトール（オリジナル）</t>
        </is>
      </c>
      <c r="F218" s="5" t="inlineStr">
        <is>
          <t>錠</t>
        </is>
      </c>
      <c r="G218" s="5" t="n">
        <v>70481</v>
      </c>
      <c r="H218" s="5" t="n">
        <v>24.3</v>
      </c>
      <c r="I218" s="5" t="n">
        <v>1712691</v>
      </c>
      <c r="J218" s="5" t="n">
        <v>0.8078</v>
      </c>
    </row>
    <row r="219">
      <c r="A219" s="4" t="inlineStr">
        <is>
          <t>2024-02</t>
        </is>
      </c>
      <c r="B219" s="4" t="inlineStr">
        <is>
          <t>循環器領域</t>
        </is>
      </c>
      <c r="C219" s="4" t="inlineStr">
        <is>
          <t>アトルバスタチン</t>
        </is>
      </c>
      <c r="D219" s="4" t="inlineStr">
        <is>
          <t>自社</t>
        </is>
      </c>
      <c r="E219" s="4" t="inlineStr">
        <is>
          <t>アトルバスタチンOD錠「サンド」（自社合計）</t>
        </is>
      </c>
      <c r="F219" s="4" t="inlineStr">
        <is>
          <t>錠</t>
        </is>
      </c>
      <c r="G219" s="4" t="n">
        <v>41698</v>
      </c>
      <c r="H219" s="4" t="n">
        <v>18</v>
      </c>
      <c r="I219" s="4" t="n">
        <v>750567</v>
      </c>
      <c r="J219" s="4" t="n">
        <v>0.8078</v>
      </c>
    </row>
    <row r="220">
      <c r="A220" s="5" t="inlineStr">
        <is>
          <t>2024-02</t>
        </is>
      </c>
      <c r="B220" s="5" t="inlineStr">
        <is>
          <t>循環器領域</t>
        </is>
      </c>
      <c r="C220" s="5" t="inlineStr">
        <is>
          <t>アトルバスタチン</t>
        </is>
      </c>
      <c r="D220" s="5" t="inlineStr">
        <is>
          <t>競合A</t>
        </is>
      </c>
      <c r="E220" s="5" t="inlineStr">
        <is>
          <t>競合A社製品</t>
        </is>
      </c>
      <c r="F220" s="5" t="inlineStr">
        <is>
          <t>錠</t>
        </is>
      </c>
      <c r="G220" s="5" t="n">
        <v>139462</v>
      </c>
      <c r="H220" s="5" t="n">
        <v>17.6</v>
      </c>
      <c r="I220" s="5" t="n">
        <v>2451473</v>
      </c>
      <c r="J220" s="5" t="n">
        <v>0.8078</v>
      </c>
    </row>
    <row r="221">
      <c r="A221" s="4" t="inlineStr">
        <is>
          <t>2024-02</t>
        </is>
      </c>
      <c r="B221" s="4" t="inlineStr">
        <is>
          <t>循環器領域</t>
        </is>
      </c>
      <c r="C221" s="4" t="inlineStr">
        <is>
          <t>アトルバスタチン</t>
        </is>
      </c>
      <c r="D221" s="4" t="inlineStr">
        <is>
          <t>競合B</t>
        </is>
      </c>
      <c r="E221" s="4" t="inlineStr">
        <is>
          <t>競合B社製品</t>
        </is>
      </c>
      <c r="F221" s="4" t="inlineStr">
        <is>
          <t>錠</t>
        </is>
      </c>
      <c r="G221" s="4" t="n">
        <v>115035</v>
      </c>
      <c r="H221" s="4" t="n">
        <v>17.8</v>
      </c>
      <c r="I221" s="4" t="n">
        <v>2049161</v>
      </c>
      <c r="J221" s="4" t="n">
        <v>0.8078</v>
      </c>
    </row>
    <row r="222">
      <c r="A222" s="5" t="inlineStr">
        <is>
          <t>2024-03</t>
        </is>
      </c>
      <c r="B222" s="5" t="inlineStr">
        <is>
          <t>循環器領域</t>
        </is>
      </c>
      <c r="C222" s="5" t="inlineStr">
        <is>
          <t>アトルバスタチン</t>
        </is>
      </c>
      <c r="D222" s="5" t="inlineStr">
        <is>
          <t>オリジナル</t>
        </is>
      </c>
      <c r="E222" s="5" t="inlineStr">
        <is>
          <t>リピトール（オリジナル）</t>
        </is>
      </c>
      <c r="F222" s="5" t="inlineStr">
        <is>
          <t>錠</t>
        </is>
      </c>
      <c r="G222" s="5" t="n">
        <v>75024</v>
      </c>
      <c r="H222" s="5" t="n">
        <v>24.3</v>
      </c>
      <c r="I222" s="5" t="n">
        <v>1823084</v>
      </c>
      <c r="J222" s="5" t="n">
        <v>0.8096</v>
      </c>
    </row>
    <row r="223">
      <c r="A223" s="4" t="inlineStr">
        <is>
          <t>2024-03</t>
        </is>
      </c>
      <c r="B223" s="4" t="inlineStr">
        <is>
          <t>循環器領域</t>
        </is>
      </c>
      <c r="C223" s="4" t="inlineStr">
        <is>
          <t>アトルバスタチン</t>
        </is>
      </c>
      <c r="D223" s="4" t="inlineStr">
        <is>
          <t>自社</t>
        </is>
      </c>
      <c r="E223" s="4" t="inlineStr">
        <is>
          <t>アトルバスタチンOD錠「サンド」（自社合計）</t>
        </is>
      </c>
      <c r="F223" s="4" t="inlineStr">
        <is>
          <t>錠</t>
        </is>
      </c>
      <c r="G223" s="4" t="n">
        <v>47846</v>
      </c>
      <c r="H223" s="4" t="n">
        <v>18</v>
      </c>
      <c r="I223" s="4" t="n">
        <v>861221</v>
      </c>
      <c r="J223" s="4" t="n">
        <v>0.8096</v>
      </c>
    </row>
    <row r="224">
      <c r="A224" s="5" t="inlineStr">
        <is>
          <t>2024-03</t>
        </is>
      </c>
      <c r="B224" s="5" t="inlineStr">
        <is>
          <t>循環器領域</t>
        </is>
      </c>
      <c r="C224" s="5" t="inlineStr">
        <is>
          <t>アトルバスタチン</t>
        </is>
      </c>
      <c r="D224" s="5" t="inlineStr">
        <is>
          <t>競合A</t>
        </is>
      </c>
      <c r="E224" s="5" t="inlineStr">
        <is>
          <t>競合A社製品</t>
        </is>
      </c>
      <c r="F224" s="5" t="inlineStr">
        <is>
          <t>錠</t>
        </is>
      </c>
      <c r="G224" s="5" t="n">
        <v>140862</v>
      </c>
      <c r="H224" s="5" t="n">
        <v>18</v>
      </c>
      <c r="I224" s="5" t="n">
        <v>2537172</v>
      </c>
      <c r="J224" s="5" t="n">
        <v>0.8096</v>
      </c>
    </row>
    <row r="225">
      <c r="A225" s="4" t="inlineStr">
        <is>
          <t>2024-03</t>
        </is>
      </c>
      <c r="B225" s="4" t="inlineStr">
        <is>
          <t>循環器領域</t>
        </is>
      </c>
      <c r="C225" s="4" t="inlineStr">
        <is>
          <t>アトルバスタチン</t>
        </is>
      </c>
      <c r="D225" s="4" t="inlineStr">
        <is>
          <t>競合B</t>
        </is>
      </c>
      <c r="E225" s="4" t="inlineStr">
        <is>
          <t>競合B社製品</t>
        </is>
      </c>
      <c r="F225" s="4" t="inlineStr">
        <is>
          <t>錠</t>
        </is>
      </c>
      <c r="G225" s="4" t="n">
        <v>130241</v>
      </c>
      <c r="H225" s="4" t="n">
        <v>17.6</v>
      </c>
      <c r="I225" s="4" t="n">
        <v>2287292</v>
      </c>
      <c r="J225" s="4" t="n">
        <v>0.8096</v>
      </c>
    </row>
    <row r="226">
      <c r="A226" s="5" t="inlineStr">
        <is>
          <t>2024-04</t>
        </is>
      </c>
      <c r="B226" s="5" t="inlineStr">
        <is>
          <t>循環器領域</t>
        </is>
      </c>
      <c r="C226" s="5" t="inlineStr">
        <is>
          <t>アトルバスタチン</t>
        </is>
      </c>
      <c r="D226" s="5" t="inlineStr">
        <is>
          <t>オリジナル</t>
        </is>
      </c>
      <c r="E226" s="5" t="inlineStr">
        <is>
          <t>リピトール（オリジナル）</t>
        </is>
      </c>
      <c r="F226" s="5" t="inlineStr">
        <is>
          <t>錠</t>
        </is>
      </c>
      <c r="G226" s="5" t="n">
        <v>63509</v>
      </c>
      <c r="H226" s="5" t="n">
        <v>23</v>
      </c>
      <c r="I226" s="5" t="n">
        <v>1458381</v>
      </c>
      <c r="J226" s="5" t="n">
        <v>0.8088</v>
      </c>
    </row>
    <row r="227">
      <c r="A227" s="4" t="inlineStr">
        <is>
          <t>2024-04</t>
        </is>
      </c>
      <c r="B227" s="4" t="inlineStr">
        <is>
          <t>循環器領域</t>
        </is>
      </c>
      <c r="C227" s="4" t="inlineStr">
        <is>
          <t>アトルバスタチン</t>
        </is>
      </c>
      <c r="D227" s="4" t="inlineStr">
        <is>
          <t>自社</t>
        </is>
      </c>
      <c r="E227" s="4" t="inlineStr">
        <is>
          <t>アトルバスタチンOD錠「サンド」（自社合計）</t>
        </is>
      </c>
      <c r="F227" s="4" t="inlineStr">
        <is>
          <t>錠</t>
        </is>
      </c>
      <c r="G227" s="4" t="n">
        <v>45413</v>
      </c>
      <c r="H227" s="4" t="n">
        <v>17</v>
      </c>
      <c r="I227" s="4" t="n">
        <v>772482</v>
      </c>
      <c r="J227" s="4" t="n">
        <v>0.8088</v>
      </c>
    </row>
    <row r="228">
      <c r="A228" s="5" t="inlineStr">
        <is>
          <t>2024-04</t>
        </is>
      </c>
      <c r="B228" s="5" t="inlineStr">
        <is>
          <t>循環器領域</t>
        </is>
      </c>
      <c r="C228" s="5" t="inlineStr">
        <is>
          <t>アトルバスタチン</t>
        </is>
      </c>
      <c r="D228" s="5" t="inlineStr">
        <is>
          <t>競合A</t>
        </is>
      </c>
      <c r="E228" s="5" t="inlineStr">
        <is>
          <t>競合A社製品</t>
        </is>
      </c>
      <c r="F228" s="5" t="inlineStr">
        <is>
          <t>錠</t>
        </is>
      </c>
      <c r="G228" s="5" t="n">
        <v>126848</v>
      </c>
      <c r="H228" s="5" t="n">
        <v>16.2</v>
      </c>
      <c r="I228" s="5" t="n">
        <v>2058805</v>
      </c>
      <c r="J228" s="5" t="n">
        <v>0.8088</v>
      </c>
    </row>
    <row r="229">
      <c r="A229" s="4" t="inlineStr">
        <is>
          <t>2024-04</t>
        </is>
      </c>
      <c r="B229" s="4" t="inlineStr">
        <is>
          <t>循環器領域</t>
        </is>
      </c>
      <c r="C229" s="4" t="inlineStr">
        <is>
          <t>アトルバスタチン</t>
        </is>
      </c>
      <c r="D229" s="4" t="inlineStr">
        <is>
          <t>競合B</t>
        </is>
      </c>
      <c r="E229" s="4" t="inlineStr">
        <is>
          <t>競合B社製品</t>
        </is>
      </c>
      <c r="F229" s="4" t="inlineStr">
        <is>
          <t>錠</t>
        </is>
      </c>
      <c r="G229" s="4" t="n">
        <v>96373</v>
      </c>
      <c r="H229" s="4" t="n">
        <v>17.1</v>
      </c>
      <c r="I229" s="4" t="n">
        <v>1649276</v>
      </c>
      <c r="J229" s="4" t="n">
        <v>0.8088</v>
      </c>
    </row>
    <row r="230">
      <c r="A230" s="5" t="inlineStr">
        <is>
          <t>2024-05</t>
        </is>
      </c>
      <c r="B230" s="5" t="inlineStr">
        <is>
          <t>循環器領域</t>
        </is>
      </c>
      <c r="C230" s="5" t="inlineStr">
        <is>
          <t>アトルバスタチン</t>
        </is>
      </c>
      <c r="D230" s="5" t="inlineStr">
        <is>
          <t>オリジナル</t>
        </is>
      </c>
      <c r="E230" s="5" t="inlineStr">
        <is>
          <t>リピトール（オリジナル）</t>
        </is>
      </c>
      <c r="F230" s="5" t="inlineStr">
        <is>
          <t>錠</t>
        </is>
      </c>
      <c r="G230" s="5" t="n">
        <v>66752</v>
      </c>
      <c r="H230" s="5" t="n">
        <v>23</v>
      </c>
      <c r="I230" s="5" t="n">
        <v>1532867</v>
      </c>
      <c r="J230" s="5" t="n">
        <v>0.8121</v>
      </c>
    </row>
    <row r="231">
      <c r="A231" s="4" t="inlineStr">
        <is>
          <t>2024-05</t>
        </is>
      </c>
      <c r="B231" s="4" t="inlineStr">
        <is>
          <t>循環器領域</t>
        </is>
      </c>
      <c r="C231" s="4" t="inlineStr">
        <is>
          <t>アトルバスタチン</t>
        </is>
      </c>
      <c r="D231" s="4" t="inlineStr">
        <is>
          <t>自社</t>
        </is>
      </c>
      <c r="E231" s="4" t="inlineStr">
        <is>
          <t>アトルバスタチンOD錠「サンド」（自社合計）</t>
        </is>
      </c>
      <c r="F231" s="4" t="inlineStr">
        <is>
          <t>錠</t>
        </is>
      </c>
      <c r="G231" s="4" t="n">
        <v>50234</v>
      </c>
      <c r="H231" s="4" t="n">
        <v>17</v>
      </c>
      <c r="I231" s="4" t="n">
        <v>854482</v>
      </c>
      <c r="J231" s="4" t="n">
        <v>0.8121</v>
      </c>
    </row>
    <row r="232">
      <c r="A232" s="5" t="inlineStr">
        <is>
          <t>2024-05</t>
        </is>
      </c>
      <c r="B232" s="5" t="inlineStr">
        <is>
          <t>循環器領域</t>
        </is>
      </c>
      <c r="C232" s="5" t="inlineStr">
        <is>
          <t>アトルバスタチン</t>
        </is>
      </c>
      <c r="D232" s="5" t="inlineStr">
        <is>
          <t>競合A</t>
        </is>
      </c>
      <c r="E232" s="5" t="inlineStr">
        <is>
          <t>競合A社製品</t>
        </is>
      </c>
      <c r="F232" s="5" t="inlineStr">
        <is>
          <t>錠</t>
        </is>
      </c>
      <c r="G232" s="5" t="n">
        <v>116266</v>
      </c>
      <c r="H232" s="5" t="n">
        <v>16.8</v>
      </c>
      <c r="I232" s="5" t="n">
        <v>1954297</v>
      </c>
      <c r="J232" s="5" t="n">
        <v>0.8121</v>
      </c>
    </row>
    <row r="233">
      <c r="A233" s="4" t="inlineStr">
        <is>
          <t>2024-05</t>
        </is>
      </c>
      <c r="B233" s="4" t="inlineStr">
        <is>
          <t>循環器領域</t>
        </is>
      </c>
      <c r="C233" s="4" t="inlineStr">
        <is>
          <t>アトルバスタチン</t>
        </is>
      </c>
      <c r="D233" s="4" t="inlineStr">
        <is>
          <t>競合B</t>
        </is>
      </c>
      <c r="E233" s="4" t="inlineStr">
        <is>
          <t>競合B社製品</t>
        </is>
      </c>
      <c r="F233" s="4" t="inlineStr">
        <is>
          <t>錠</t>
        </is>
      </c>
      <c r="G233" s="4" t="n">
        <v>121933</v>
      </c>
      <c r="H233" s="4" t="n">
        <v>17.2</v>
      </c>
      <c r="I233" s="4" t="n">
        <v>2098598</v>
      </c>
      <c r="J233" s="4" t="n">
        <v>0.8121</v>
      </c>
    </row>
    <row r="234">
      <c r="A234" s="5" t="inlineStr">
        <is>
          <t>2024-06</t>
        </is>
      </c>
      <c r="B234" s="5" t="inlineStr">
        <is>
          <t>循環器領域</t>
        </is>
      </c>
      <c r="C234" s="5" t="inlineStr">
        <is>
          <t>アトルバスタチン</t>
        </is>
      </c>
      <c r="D234" s="5" t="inlineStr">
        <is>
          <t>オリジナル</t>
        </is>
      </c>
      <c r="E234" s="5" t="inlineStr">
        <is>
          <t>リピトール（オリジナル）</t>
        </is>
      </c>
      <c r="F234" s="5" t="inlineStr">
        <is>
          <t>錠</t>
        </is>
      </c>
      <c r="G234" s="5" t="n">
        <v>60246</v>
      </c>
      <c r="H234" s="5" t="n">
        <v>23</v>
      </c>
      <c r="I234" s="5" t="n">
        <v>1383458</v>
      </c>
      <c r="J234" s="5" t="n">
        <v>0.8247</v>
      </c>
    </row>
    <row r="235">
      <c r="A235" s="4" t="inlineStr">
        <is>
          <t>2024-06</t>
        </is>
      </c>
      <c r="B235" s="4" t="inlineStr">
        <is>
          <t>循環器領域</t>
        </is>
      </c>
      <c r="C235" s="4" t="inlineStr">
        <is>
          <t>アトルバスタチン</t>
        </is>
      </c>
      <c r="D235" s="4" t="inlineStr">
        <is>
          <t>自社</t>
        </is>
      </c>
      <c r="E235" s="4" t="inlineStr">
        <is>
          <t>アトルバスタチンOD錠「サンド」（自社合計）</t>
        </is>
      </c>
      <c r="F235" s="4" t="inlineStr">
        <is>
          <t>錠</t>
        </is>
      </c>
      <c r="G235" s="4" t="n">
        <v>45978</v>
      </c>
      <c r="H235" s="4" t="n">
        <v>17</v>
      </c>
      <c r="I235" s="4" t="n">
        <v>782088</v>
      </c>
      <c r="J235" s="4" t="n">
        <v>0.8247</v>
      </c>
    </row>
    <row r="236">
      <c r="A236" s="5" t="inlineStr">
        <is>
          <t>2024-06</t>
        </is>
      </c>
      <c r="B236" s="5" t="inlineStr">
        <is>
          <t>循環器領域</t>
        </is>
      </c>
      <c r="C236" s="5" t="inlineStr">
        <is>
          <t>アトルバスタチン</t>
        </is>
      </c>
      <c r="D236" s="5" t="inlineStr">
        <is>
          <t>競合A</t>
        </is>
      </c>
      <c r="E236" s="5" t="inlineStr">
        <is>
          <t>競合A社製品</t>
        </is>
      </c>
      <c r="F236" s="5" t="inlineStr">
        <is>
          <t>錠</t>
        </is>
      </c>
      <c r="G236" s="5" t="n">
        <v>136666</v>
      </c>
      <c r="H236" s="5" t="n">
        <v>16.8</v>
      </c>
      <c r="I236" s="5" t="n">
        <v>2298147</v>
      </c>
      <c r="J236" s="5" t="n">
        <v>0.8247</v>
      </c>
    </row>
    <row r="237">
      <c r="A237" s="4" t="inlineStr">
        <is>
          <t>2024-06</t>
        </is>
      </c>
      <c r="B237" s="4" t="inlineStr">
        <is>
          <t>循環器領域</t>
        </is>
      </c>
      <c r="C237" s="4" t="inlineStr">
        <is>
          <t>アトルバスタチン</t>
        </is>
      </c>
      <c r="D237" s="4" t="inlineStr">
        <is>
          <t>競合B</t>
        </is>
      </c>
      <c r="E237" s="4" t="inlineStr">
        <is>
          <t>競合B社製品</t>
        </is>
      </c>
      <c r="F237" s="4" t="inlineStr">
        <is>
          <t>錠</t>
        </is>
      </c>
      <c r="G237" s="4" t="n">
        <v>100850</v>
      </c>
      <c r="H237" s="4" t="n">
        <v>17.3</v>
      </c>
      <c r="I237" s="4" t="n">
        <v>1743378</v>
      </c>
      <c r="J237" s="4" t="n">
        <v>0.8247</v>
      </c>
    </row>
    <row r="238">
      <c r="A238" s="5" t="inlineStr">
        <is>
          <t>2024-07</t>
        </is>
      </c>
      <c r="B238" s="5" t="inlineStr">
        <is>
          <t>循環器領域</t>
        </is>
      </c>
      <c r="C238" s="5" t="inlineStr">
        <is>
          <t>アトルバスタチン</t>
        </is>
      </c>
      <c r="D238" s="5" t="inlineStr">
        <is>
          <t>オリジナル</t>
        </is>
      </c>
      <c r="E238" s="5" t="inlineStr">
        <is>
          <t>リピトール（オリジナル）</t>
        </is>
      </c>
      <c r="F238" s="5" t="inlineStr">
        <is>
          <t>錠</t>
        </is>
      </c>
      <c r="G238" s="5" t="n">
        <v>67430</v>
      </c>
      <c r="H238" s="5" t="n">
        <v>23</v>
      </c>
      <c r="I238" s="5" t="n">
        <v>1548436</v>
      </c>
      <c r="J238" s="5" t="n">
        <v>0.8142</v>
      </c>
    </row>
    <row r="239">
      <c r="A239" s="4" t="inlineStr">
        <is>
          <t>2024-07</t>
        </is>
      </c>
      <c r="B239" s="4" t="inlineStr">
        <is>
          <t>循環器領域</t>
        </is>
      </c>
      <c r="C239" s="4" t="inlineStr">
        <is>
          <t>アトルバスタチン</t>
        </is>
      </c>
      <c r="D239" s="4" t="inlineStr">
        <is>
          <t>自社</t>
        </is>
      </c>
      <c r="E239" s="4" t="inlineStr">
        <is>
          <t>アトルバスタチンOD錠「サンド」（自社合計）</t>
        </is>
      </c>
      <c r="F239" s="4" t="inlineStr">
        <is>
          <t>錠</t>
        </is>
      </c>
      <c r="G239" s="4" t="n">
        <v>47665</v>
      </c>
      <c r="H239" s="4" t="n">
        <v>17</v>
      </c>
      <c r="I239" s="4" t="n">
        <v>810781</v>
      </c>
      <c r="J239" s="4" t="n">
        <v>0.8142</v>
      </c>
    </row>
    <row r="240">
      <c r="A240" s="5" t="inlineStr">
        <is>
          <t>2024-07</t>
        </is>
      </c>
      <c r="B240" s="5" t="inlineStr">
        <is>
          <t>循環器領域</t>
        </is>
      </c>
      <c r="C240" s="5" t="inlineStr">
        <is>
          <t>アトルバスタチン</t>
        </is>
      </c>
      <c r="D240" s="5" t="inlineStr">
        <is>
          <t>競合A</t>
        </is>
      </c>
      <c r="E240" s="5" t="inlineStr">
        <is>
          <t>競合A社製品</t>
        </is>
      </c>
      <c r="F240" s="5" t="inlineStr">
        <is>
          <t>錠</t>
        </is>
      </c>
      <c r="G240" s="5" t="n">
        <v>138277</v>
      </c>
      <c r="H240" s="5" t="n">
        <v>16.7</v>
      </c>
      <c r="I240" s="5" t="n">
        <v>2311481</v>
      </c>
      <c r="J240" s="5" t="n">
        <v>0.8142</v>
      </c>
    </row>
    <row r="241">
      <c r="A241" s="4" t="inlineStr">
        <is>
          <t>2024-07</t>
        </is>
      </c>
      <c r="B241" s="4" t="inlineStr">
        <is>
          <t>循環器領域</t>
        </is>
      </c>
      <c r="C241" s="4" t="inlineStr">
        <is>
          <t>アトルバスタチン</t>
        </is>
      </c>
      <c r="D241" s="4" t="inlineStr">
        <is>
          <t>競合B</t>
        </is>
      </c>
      <c r="E241" s="4" t="inlineStr">
        <is>
          <t>競合B社製品</t>
        </is>
      </c>
      <c r="F241" s="4" t="inlineStr">
        <is>
          <t>錠</t>
        </is>
      </c>
      <c r="G241" s="4" t="n">
        <v>109482</v>
      </c>
      <c r="H241" s="4" t="n">
        <v>17</v>
      </c>
      <c r="I241" s="4" t="n">
        <v>1856801</v>
      </c>
      <c r="J241" s="4" t="n">
        <v>0.8142</v>
      </c>
    </row>
    <row r="242">
      <c r="A242" s="5" t="inlineStr">
        <is>
          <t>2024-08</t>
        </is>
      </c>
      <c r="B242" s="5" t="inlineStr">
        <is>
          <t>循環器領域</t>
        </is>
      </c>
      <c r="C242" s="5" t="inlineStr">
        <is>
          <t>アトルバスタチン</t>
        </is>
      </c>
      <c r="D242" s="5" t="inlineStr">
        <is>
          <t>オリジナル</t>
        </is>
      </c>
      <c r="E242" s="5" t="inlineStr">
        <is>
          <t>リピトール（オリジナル）</t>
        </is>
      </c>
      <c r="F242" s="5" t="inlineStr">
        <is>
          <t>錠</t>
        </is>
      </c>
      <c r="G242" s="5" t="n">
        <v>64739</v>
      </c>
      <c r="H242" s="5" t="n">
        <v>23</v>
      </c>
      <c r="I242" s="5" t="n">
        <v>1486627</v>
      </c>
      <c r="J242" s="5" t="n">
        <v>0.8174</v>
      </c>
    </row>
    <row r="243">
      <c r="A243" s="4" t="inlineStr">
        <is>
          <t>2024-08</t>
        </is>
      </c>
      <c r="B243" s="4" t="inlineStr">
        <is>
          <t>循環器領域</t>
        </is>
      </c>
      <c r="C243" s="4" t="inlineStr">
        <is>
          <t>アトルバスタチン</t>
        </is>
      </c>
      <c r="D243" s="4" t="inlineStr">
        <is>
          <t>自社</t>
        </is>
      </c>
      <c r="E243" s="4" t="inlineStr">
        <is>
          <t>アトルバスタチンOD錠「サンド」（自社合計）</t>
        </is>
      </c>
      <c r="F243" s="4" t="inlineStr">
        <is>
          <t>錠</t>
        </is>
      </c>
      <c r="G243" s="4" t="n">
        <v>49109</v>
      </c>
      <c r="H243" s="4" t="n">
        <v>17</v>
      </c>
      <c r="I243" s="4" t="n">
        <v>835352</v>
      </c>
      <c r="J243" s="4" t="n">
        <v>0.8174</v>
      </c>
    </row>
    <row r="244">
      <c r="A244" s="5" t="inlineStr">
        <is>
          <t>2024-08</t>
        </is>
      </c>
      <c r="B244" s="5" t="inlineStr">
        <is>
          <t>循環器領域</t>
        </is>
      </c>
      <c r="C244" s="5" t="inlineStr">
        <is>
          <t>アトルバスタチン</t>
        </is>
      </c>
      <c r="D244" s="5" t="inlineStr">
        <is>
          <t>競合A</t>
        </is>
      </c>
      <c r="E244" s="5" t="inlineStr">
        <is>
          <t>競合A社製品</t>
        </is>
      </c>
      <c r="F244" s="5" t="inlineStr">
        <is>
          <t>錠</t>
        </is>
      </c>
      <c r="G244" s="5" t="n">
        <v>124702</v>
      </c>
      <c r="H244" s="5" t="n">
        <v>17</v>
      </c>
      <c r="I244" s="5" t="n">
        <v>2115885</v>
      </c>
      <c r="J244" s="5" t="n">
        <v>0.8174</v>
      </c>
    </row>
    <row r="245">
      <c r="A245" s="4" t="inlineStr">
        <is>
          <t>2024-08</t>
        </is>
      </c>
      <c r="B245" s="4" t="inlineStr">
        <is>
          <t>循環器領域</t>
        </is>
      </c>
      <c r="C245" s="4" t="inlineStr">
        <is>
          <t>アトルバスタチン</t>
        </is>
      </c>
      <c r="D245" s="4" t="inlineStr">
        <is>
          <t>競合B</t>
        </is>
      </c>
      <c r="E245" s="4" t="inlineStr">
        <is>
          <t>競合B社製品</t>
        </is>
      </c>
      <c r="F245" s="4" t="inlineStr">
        <is>
          <t>錠</t>
        </is>
      </c>
      <c r="G245" s="4" t="n">
        <v>115923</v>
      </c>
      <c r="H245" s="4" t="n">
        <v>17.5</v>
      </c>
      <c r="I245" s="4" t="n">
        <v>2030267</v>
      </c>
      <c r="J245" s="4" t="n">
        <v>0.8174</v>
      </c>
    </row>
    <row r="246">
      <c r="A246" s="5" t="inlineStr">
        <is>
          <t>2024-09</t>
        </is>
      </c>
      <c r="B246" s="5" t="inlineStr">
        <is>
          <t>循環器領域</t>
        </is>
      </c>
      <c r="C246" s="5" t="inlineStr">
        <is>
          <t>アトルバスタチン</t>
        </is>
      </c>
      <c r="D246" s="5" t="inlineStr">
        <is>
          <t>オリジナル</t>
        </is>
      </c>
      <c r="E246" s="5" t="inlineStr">
        <is>
          <t>リピトール（オリジナル）</t>
        </is>
      </c>
      <c r="F246" s="5" t="inlineStr">
        <is>
          <t>錠</t>
        </is>
      </c>
      <c r="G246" s="5" t="n">
        <v>67711</v>
      </c>
      <c r="H246" s="5" t="n">
        <v>23</v>
      </c>
      <c r="I246" s="5" t="n">
        <v>1554885</v>
      </c>
      <c r="J246" s="5" t="n">
        <v>0.8068</v>
      </c>
    </row>
    <row r="247">
      <c r="A247" s="4" t="inlineStr">
        <is>
          <t>2024-09</t>
        </is>
      </c>
      <c r="B247" s="4" t="inlineStr">
        <is>
          <t>循環器領域</t>
        </is>
      </c>
      <c r="C247" s="4" t="inlineStr">
        <is>
          <t>アトルバスタチン</t>
        </is>
      </c>
      <c r="D247" s="4" t="inlineStr">
        <is>
          <t>自社</t>
        </is>
      </c>
      <c r="E247" s="4" t="inlineStr">
        <is>
          <t>アトルバスタチンOD錠「サンド」（自社合計）</t>
        </is>
      </c>
      <c r="F247" s="4" t="inlineStr">
        <is>
          <t>錠</t>
        </is>
      </c>
      <c r="G247" s="4" t="n">
        <v>45828</v>
      </c>
      <c r="H247" s="4" t="n">
        <v>17</v>
      </c>
      <c r="I247" s="4" t="n">
        <v>779537</v>
      </c>
      <c r="J247" s="4" t="n">
        <v>0.8068</v>
      </c>
    </row>
    <row r="248">
      <c r="A248" s="5" t="inlineStr">
        <is>
          <t>2024-09</t>
        </is>
      </c>
      <c r="B248" s="5" t="inlineStr">
        <is>
          <t>循環器領域</t>
        </is>
      </c>
      <c r="C248" s="5" t="inlineStr">
        <is>
          <t>アトルバスタチン</t>
        </is>
      </c>
      <c r="D248" s="5" t="inlineStr">
        <is>
          <t>競合A</t>
        </is>
      </c>
      <c r="E248" s="5" t="inlineStr">
        <is>
          <t>競合A社製品</t>
        </is>
      </c>
      <c r="F248" s="5" t="inlineStr">
        <is>
          <t>錠</t>
        </is>
      </c>
      <c r="G248" s="5" t="n">
        <v>136366</v>
      </c>
      <c r="H248" s="5" t="n">
        <v>17</v>
      </c>
      <c r="I248" s="5" t="n">
        <v>2320113</v>
      </c>
      <c r="J248" s="5" t="n">
        <v>0.8068</v>
      </c>
    </row>
    <row r="249">
      <c r="A249" s="4" t="inlineStr">
        <is>
          <t>2024-09</t>
        </is>
      </c>
      <c r="B249" s="4" t="inlineStr">
        <is>
          <t>循環器領域</t>
        </is>
      </c>
      <c r="C249" s="4" t="inlineStr">
        <is>
          <t>アトルバスタチン</t>
        </is>
      </c>
      <c r="D249" s="4" t="inlineStr">
        <is>
          <t>競合B</t>
        </is>
      </c>
      <c r="E249" s="4" t="inlineStr">
        <is>
          <t>競合B社製品</t>
        </is>
      </c>
      <c r="F249" s="4" t="inlineStr">
        <is>
          <t>錠</t>
        </is>
      </c>
      <c r="G249" s="4" t="n">
        <v>100655</v>
      </c>
      <c r="H249" s="4" t="n">
        <v>17.5</v>
      </c>
      <c r="I249" s="4" t="n">
        <v>1757657</v>
      </c>
      <c r="J249" s="4" t="n">
        <v>0.8068</v>
      </c>
    </row>
    <row r="250">
      <c r="A250" s="5" t="inlineStr">
        <is>
          <t>2024-10</t>
        </is>
      </c>
      <c r="B250" s="5" t="inlineStr">
        <is>
          <t>循環器領域</t>
        </is>
      </c>
      <c r="C250" s="5" t="inlineStr">
        <is>
          <t>アトルバスタチン</t>
        </is>
      </c>
      <c r="D250" s="5" t="inlineStr">
        <is>
          <t>オリジナル</t>
        </is>
      </c>
      <c r="E250" s="5" t="inlineStr">
        <is>
          <t>リピトール（オリジナル）</t>
        </is>
      </c>
      <c r="F250" s="5" t="inlineStr">
        <is>
          <t>錠</t>
        </is>
      </c>
      <c r="G250" s="5" t="n">
        <v>63435</v>
      </c>
      <c r="H250" s="5" t="n">
        <v>23</v>
      </c>
      <c r="I250" s="5" t="n">
        <v>1456685</v>
      </c>
      <c r="J250" s="5" t="n">
        <v>0.8249</v>
      </c>
    </row>
    <row r="251">
      <c r="A251" s="4" t="inlineStr">
        <is>
          <t>2024-10</t>
        </is>
      </c>
      <c r="B251" s="4" t="inlineStr">
        <is>
          <t>循環器領域</t>
        </is>
      </c>
      <c r="C251" s="4" t="inlineStr">
        <is>
          <t>アトルバスタチン</t>
        </is>
      </c>
      <c r="D251" s="4" t="inlineStr">
        <is>
          <t>自社</t>
        </is>
      </c>
      <c r="E251" s="4" t="inlineStr">
        <is>
          <t>アトルバスタチンOD錠「サンド」（自社合計）</t>
        </is>
      </c>
      <c r="F251" s="4" t="inlineStr">
        <is>
          <t>錠</t>
        </is>
      </c>
      <c r="G251" s="4" t="n">
        <v>49616</v>
      </c>
      <c r="H251" s="4" t="n">
        <v>17</v>
      </c>
      <c r="I251" s="4" t="n">
        <v>843964</v>
      </c>
      <c r="J251" s="4" t="n">
        <v>0.8249</v>
      </c>
    </row>
    <row r="252">
      <c r="A252" s="5" t="inlineStr">
        <is>
          <t>2024-10</t>
        </is>
      </c>
      <c r="B252" s="5" t="inlineStr">
        <is>
          <t>循環器領域</t>
        </is>
      </c>
      <c r="C252" s="5" t="inlineStr">
        <is>
          <t>アトルバスタチン</t>
        </is>
      </c>
      <c r="D252" s="5" t="inlineStr">
        <is>
          <t>競合A</t>
        </is>
      </c>
      <c r="E252" s="5" t="inlineStr">
        <is>
          <t>競合A社製品</t>
        </is>
      </c>
      <c r="F252" s="5" t="inlineStr">
        <is>
          <t>錠</t>
        </is>
      </c>
      <c r="G252" s="5" t="n">
        <v>154462</v>
      </c>
      <c r="H252" s="5" t="n">
        <v>16.9</v>
      </c>
      <c r="I252" s="5" t="n">
        <v>2616613</v>
      </c>
      <c r="J252" s="5" t="n">
        <v>0.8249</v>
      </c>
    </row>
    <row r="253">
      <c r="A253" s="4" t="inlineStr">
        <is>
          <t>2024-10</t>
        </is>
      </c>
      <c r="B253" s="4" t="inlineStr">
        <is>
          <t>循環器領域</t>
        </is>
      </c>
      <c r="C253" s="4" t="inlineStr">
        <is>
          <t>アトルバスタチン</t>
        </is>
      </c>
      <c r="D253" s="4" t="inlineStr">
        <is>
          <t>競合B</t>
        </is>
      </c>
      <c r="E253" s="4" t="inlineStr">
        <is>
          <t>競合B社製品</t>
        </is>
      </c>
      <c r="F253" s="4" t="inlineStr">
        <is>
          <t>錠</t>
        </is>
      </c>
      <c r="G253" s="4" t="n">
        <v>94739</v>
      </c>
      <c r="H253" s="4" t="n">
        <v>16.3</v>
      </c>
      <c r="I253" s="4" t="n">
        <v>1546930</v>
      </c>
      <c r="J253" s="4" t="n">
        <v>0.8249</v>
      </c>
    </row>
    <row r="254">
      <c r="A254" s="5" t="inlineStr">
        <is>
          <t>2024-11</t>
        </is>
      </c>
      <c r="B254" s="5" t="inlineStr">
        <is>
          <t>循環器領域</t>
        </is>
      </c>
      <c r="C254" s="5" t="inlineStr">
        <is>
          <t>アトルバスタチン</t>
        </is>
      </c>
      <c r="D254" s="5" t="inlineStr">
        <is>
          <t>オリジナル</t>
        </is>
      </c>
      <c r="E254" s="5" t="inlineStr">
        <is>
          <t>リピトール（オリジナル）</t>
        </is>
      </c>
      <c r="F254" s="5" t="inlineStr">
        <is>
          <t>錠</t>
        </is>
      </c>
      <c r="G254" s="5" t="n">
        <v>68734</v>
      </c>
      <c r="H254" s="5" t="n">
        <v>23</v>
      </c>
      <c r="I254" s="5" t="n">
        <v>1578384</v>
      </c>
      <c r="J254" s="5" t="n">
        <v>0.8132</v>
      </c>
    </row>
    <row r="255">
      <c r="A255" s="4" t="inlineStr">
        <is>
          <t>2024-11</t>
        </is>
      </c>
      <c r="B255" s="4" t="inlineStr">
        <is>
          <t>循環器領域</t>
        </is>
      </c>
      <c r="C255" s="4" t="inlineStr">
        <is>
          <t>アトルバスタチン</t>
        </is>
      </c>
      <c r="D255" s="4" t="inlineStr">
        <is>
          <t>自社</t>
        </is>
      </c>
      <c r="E255" s="4" t="inlineStr">
        <is>
          <t>アトルバスタチンOD錠「サンド」（自社合計）</t>
        </is>
      </c>
      <c r="F255" s="4" t="inlineStr">
        <is>
          <t>錠</t>
        </is>
      </c>
      <c r="G255" s="4" t="n">
        <v>48485</v>
      </c>
      <c r="H255" s="4" t="n">
        <v>17</v>
      </c>
      <c r="I255" s="4" t="n">
        <v>824732</v>
      </c>
      <c r="J255" s="4" t="n">
        <v>0.8132</v>
      </c>
    </row>
    <row r="256">
      <c r="A256" s="5" t="inlineStr">
        <is>
          <t>2024-11</t>
        </is>
      </c>
      <c r="B256" s="5" t="inlineStr">
        <is>
          <t>循環器領域</t>
        </is>
      </c>
      <c r="C256" s="5" t="inlineStr">
        <is>
          <t>アトルバスタチン</t>
        </is>
      </c>
      <c r="D256" s="5" t="inlineStr">
        <is>
          <t>競合A</t>
        </is>
      </c>
      <c r="E256" s="5" t="inlineStr">
        <is>
          <t>競合A社製品</t>
        </is>
      </c>
      <c r="F256" s="5" t="inlineStr">
        <is>
          <t>錠</t>
        </is>
      </c>
      <c r="G256" s="5" t="n">
        <v>147711</v>
      </c>
      <c r="H256" s="5" t="n">
        <v>16.5</v>
      </c>
      <c r="I256" s="5" t="n">
        <v>2432044</v>
      </c>
      <c r="J256" s="5" t="n">
        <v>0.8132</v>
      </c>
    </row>
    <row r="257">
      <c r="A257" s="4" t="inlineStr">
        <is>
          <t>2024-11</t>
        </is>
      </c>
      <c r="B257" s="4" t="inlineStr">
        <is>
          <t>循環器領域</t>
        </is>
      </c>
      <c r="C257" s="4" t="inlineStr">
        <is>
          <t>アトルバスタチン</t>
        </is>
      </c>
      <c r="D257" s="4" t="inlineStr">
        <is>
          <t>競合B</t>
        </is>
      </c>
      <c r="E257" s="4" t="inlineStr">
        <is>
          <t>競合B社製品</t>
        </is>
      </c>
      <c r="F257" s="4" t="inlineStr">
        <is>
          <t>錠</t>
        </is>
      </c>
      <c r="G257" s="4" t="n">
        <v>102950</v>
      </c>
      <c r="H257" s="4" t="n">
        <v>16.6</v>
      </c>
      <c r="I257" s="4" t="n">
        <v>1707335</v>
      </c>
      <c r="J257" s="4" t="n">
        <v>0.8132</v>
      </c>
    </row>
    <row r="258">
      <c r="A258" s="5" t="inlineStr">
        <is>
          <t>2024-12</t>
        </is>
      </c>
      <c r="B258" s="5" t="inlineStr">
        <is>
          <t>循環器領域</t>
        </is>
      </c>
      <c r="C258" s="5" t="inlineStr">
        <is>
          <t>アトルバスタチン</t>
        </is>
      </c>
      <c r="D258" s="5" t="inlineStr">
        <is>
          <t>オリジナル</t>
        </is>
      </c>
      <c r="E258" s="5" t="inlineStr">
        <is>
          <t>リピトール（オリジナル）</t>
        </is>
      </c>
      <c r="F258" s="5" t="inlineStr">
        <is>
          <t>錠</t>
        </is>
      </c>
      <c r="G258" s="5" t="n">
        <v>65283</v>
      </c>
      <c r="H258" s="5" t="n">
        <v>23</v>
      </c>
      <c r="I258" s="5" t="n">
        <v>1499115</v>
      </c>
      <c r="J258" s="5" t="n">
        <v>0.8109</v>
      </c>
    </row>
    <row r="259">
      <c r="A259" s="4" t="inlineStr">
        <is>
          <t>2024-12</t>
        </is>
      </c>
      <c r="B259" s="4" t="inlineStr">
        <is>
          <t>循環器領域</t>
        </is>
      </c>
      <c r="C259" s="4" t="inlineStr">
        <is>
          <t>アトルバスタチン</t>
        </is>
      </c>
      <c r="D259" s="4" t="inlineStr">
        <is>
          <t>自社</t>
        </is>
      </c>
      <c r="E259" s="4" t="inlineStr">
        <is>
          <t>アトルバスタチンOD錠「サンド」（自社合計）</t>
        </is>
      </c>
      <c r="F259" s="4" t="inlineStr">
        <is>
          <t>錠</t>
        </is>
      </c>
      <c r="G259" s="4" t="n">
        <v>46456</v>
      </c>
      <c r="H259" s="4" t="n">
        <v>17</v>
      </c>
      <c r="I259" s="4" t="n">
        <v>790221</v>
      </c>
      <c r="J259" s="4" t="n">
        <v>0.8109</v>
      </c>
    </row>
    <row r="260">
      <c r="A260" s="5" t="inlineStr">
        <is>
          <t>2024-12</t>
        </is>
      </c>
      <c r="B260" s="5" t="inlineStr">
        <is>
          <t>循環器領域</t>
        </is>
      </c>
      <c r="C260" s="5" t="inlineStr">
        <is>
          <t>アトルバスタチン</t>
        </is>
      </c>
      <c r="D260" s="5" t="inlineStr">
        <is>
          <t>競合A</t>
        </is>
      </c>
      <c r="E260" s="5" t="inlineStr">
        <is>
          <t>競合A社製品</t>
        </is>
      </c>
      <c r="F260" s="5" t="inlineStr">
        <is>
          <t>錠</t>
        </is>
      </c>
      <c r="G260" s="5" t="n">
        <v>132140</v>
      </c>
      <c r="H260" s="5" t="n">
        <v>17.1</v>
      </c>
      <c r="I260" s="5" t="n">
        <v>2260115</v>
      </c>
      <c r="J260" s="5" t="n">
        <v>0.8109</v>
      </c>
    </row>
    <row r="261">
      <c r="A261" s="4" t="inlineStr">
        <is>
          <t>2024-12</t>
        </is>
      </c>
      <c r="B261" s="4" t="inlineStr">
        <is>
          <t>循環器領域</t>
        </is>
      </c>
      <c r="C261" s="4" t="inlineStr">
        <is>
          <t>アトルバスタチン</t>
        </is>
      </c>
      <c r="D261" s="4" t="inlineStr">
        <is>
          <t>競合B</t>
        </is>
      </c>
      <c r="E261" s="4" t="inlineStr">
        <is>
          <t>競合B社製品</t>
        </is>
      </c>
      <c r="F261" s="4" t="inlineStr">
        <is>
          <t>錠</t>
        </is>
      </c>
      <c r="G261" s="4" t="n">
        <v>101436</v>
      </c>
      <c r="H261" s="4" t="n">
        <v>16.5</v>
      </c>
      <c r="I261" s="4" t="n">
        <v>1676672</v>
      </c>
      <c r="J261" s="4" t="n">
        <v>0.8109</v>
      </c>
    </row>
    <row r="262">
      <c r="A262" s="5" t="inlineStr">
        <is>
          <t>2025-01</t>
        </is>
      </c>
      <c r="B262" s="5" t="inlineStr">
        <is>
          <t>循環器領域</t>
        </is>
      </c>
      <c r="C262" s="5" t="inlineStr">
        <is>
          <t>アトルバスタチン</t>
        </is>
      </c>
      <c r="D262" s="5" t="inlineStr">
        <is>
          <t>オリジナル</t>
        </is>
      </c>
      <c r="E262" s="5" t="inlineStr">
        <is>
          <t>リピトール（オリジナル）</t>
        </is>
      </c>
      <c r="F262" s="5" t="inlineStr">
        <is>
          <t>錠</t>
        </is>
      </c>
      <c r="G262" s="5" t="n">
        <v>61135</v>
      </c>
      <c r="H262" s="5" t="n">
        <v>23</v>
      </c>
      <c r="I262" s="5" t="n">
        <v>1403866</v>
      </c>
      <c r="J262" s="5" t="n">
        <v>0.8205</v>
      </c>
    </row>
    <row r="263">
      <c r="A263" s="4" t="inlineStr">
        <is>
          <t>2025-01</t>
        </is>
      </c>
      <c r="B263" s="4" t="inlineStr">
        <is>
          <t>循環器領域</t>
        </is>
      </c>
      <c r="C263" s="4" t="inlineStr">
        <is>
          <t>アトルバスタチン</t>
        </is>
      </c>
      <c r="D263" s="4" t="inlineStr">
        <is>
          <t>自社</t>
        </is>
      </c>
      <c r="E263" s="4" t="inlineStr">
        <is>
          <t>アトルバスタチンOD錠「サンド」（自社合計）</t>
        </is>
      </c>
      <c r="F263" s="4" t="inlineStr">
        <is>
          <t>錠</t>
        </is>
      </c>
      <c r="G263" s="4" t="n">
        <v>43945</v>
      </c>
      <c r="H263" s="4" t="n">
        <v>17</v>
      </c>
      <c r="I263" s="4" t="n">
        <v>747511</v>
      </c>
      <c r="J263" s="4" t="n">
        <v>0.8205</v>
      </c>
    </row>
    <row r="264">
      <c r="A264" s="5" t="inlineStr">
        <is>
          <t>2025-01</t>
        </is>
      </c>
      <c r="B264" s="5" t="inlineStr">
        <is>
          <t>循環器領域</t>
        </is>
      </c>
      <c r="C264" s="5" t="inlineStr">
        <is>
          <t>アトルバスタチン</t>
        </is>
      </c>
      <c r="D264" s="5" t="inlineStr">
        <is>
          <t>競合A</t>
        </is>
      </c>
      <c r="E264" s="5" t="inlineStr">
        <is>
          <t>競合A社製品</t>
        </is>
      </c>
      <c r="F264" s="5" t="inlineStr">
        <is>
          <t>錠</t>
        </is>
      </c>
      <c r="G264" s="5" t="n">
        <v>132748</v>
      </c>
      <c r="H264" s="5" t="n">
        <v>17.2</v>
      </c>
      <c r="I264" s="5" t="n">
        <v>2289737</v>
      </c>
      <c r="J264" s="5" t="n">
        <v>0.8205</v>
      </c>
    </row>
    <row r="265">
      <c r="A265" s="4" t="inlineStr">
        <is>
          <t>2025-01</t>
        </is>
      </c>
      <c r="B265" s="4" t="inlineStr">
        <is>
          <t>循環器領域</t>
        </is>
      </c>
      <c r="C265" s="4" t="inlineStr">
        <is>
          <t>アトルバスタチン</t>
        </is>
      </c>
      <c r="D265" s="4" t="inlineStr">
        <is>
          <t>競合B</t>
        </is>
      </c>
      <c r="E265" s="4" t="inlineStr">
        <is>
          <t>競合B社製品</t>
        </is>
      </c>
      <c r="F265" s="4" t="inlineStr">
        <is>
          <t>錠</t>
        </is>
      </c>
      <c r="G265" s="4" t="n">
        <v>102712</v>
      </c>
      <c r="H265" s="4" t="n">
        <v>17.1</v>
      </c>
      <c r="I265" s="4" t="n">
        <v>1751956</v>
      </c>
      <c r="J265" s="4" t="n">
        <v>0.8205</v>
      </c>
    </row>
    <row r="266">
      <c r="A266" s="5" t="inlineStr">
        <is>
          <t>2025-02</t>
        </is>
      </c>
      <c r="B266" s="5" t="inlineStr">
        <is>
          <t>循環器領域</t>
        </is>
      </c>
      <c r="C266" s="5" t="inlineStr">
        <is>
          <t>アトルバスタチン</t>
        </is>
      </c>
      <c r="D266" s="5" t="inlineStr">
        <is>
          <t>オリジナル</t>
        </is>
      </c>
      <c r="E266" s="5" t="inlineStr">
        <is>
          <t>リピトール（オリジナル）</t>
        </is>
      </c>
      <c r="F266" s="5" t="inlineStr">
        <is>
          <t>錠</t>
        </is>
      </c>
      <c r="G266" s="5" t="n">
        <v>64146</v>
      </c>
      <c r="H266" s="5" t="n">
        <v>23</v>
      </c>
      <c r="I266" s="5" t="n">
        <v>1473026</v>
      </c>
      <c r="J266" s="5" t="n">
        <v>0.8232</v>
      </c>
    </row>
    <row r="267">
      <c r="A267" s="4" t="inlineStr">
        <is>
          <t>2025-02</t>
        </is>
      </c>
      <c r="B267" s="4" t="inlineStr">
        <is>
          <t>循環器領域</t>
        </is>
      </c>
      <c r="C267" s="4" t="inlineStr">
        <is>
          <t>アトルバスタチン</t>
        </is>
      </c>
      <c r="D267" s="4" t="inlineStr">
        <is>
          <t>自社</t>
        </is>
      </c>
      <c r="E267" s="4" t="inlineStr">
        <is>
          <t>アトルバスタチンOD錠「サンド」（自社合計）</t>
        </is>
      </c>
      <c r="F267" s="4" t="inlineStr">
        <is>
          <t>錠</t>
        </is>
      </c>
      <c r="G267" s="4" t="n">
        <v>50108</v>
      </c>
      <c r="H267" s="4" t="n">
        <v>17</v>
      </c>
      <c r="I267" s="4" t="n">
        <v>852340</v>
      </c>
      <c r="J267" s="4" t="n">
        <v>0.8232</v>
      </c>
    </row>
    <row r="268">
      <c r="A268" s="5" t="inlineStr">
        <is>
          <t>2025-02</t>
        </is>
      </c>
      <c r="B268" s="5" t="inlineStr">
        <is>
          <t>循環器領域</t>
        </is>
      </c>
      <c r="C268" s="5" t="inlineStr">
        <is>
          <t>アトルバスタチン</t>
        </is>
      </c>
      <c r="D268" s="5" t="inlineStr">
        <is>
          <t>競合A</t>
        </is>
      </c>
      <c r="E268" s="5" t="inlineStr">
        <is>
          <t>競合A社製品</t>
        </is>
      </c>
      <c r="F268" s="5" t="inlineStr">
        <is>
          <t>錠</t>
        </is>
      </c>
      <c r="G268" s="5" t="n">
        <v>131426</v>
      </c>
      <c r="H268" s="5" t="n">
        <v>16.9</v>
      </c>
      <c r="I268" s="5" t="n">
        <v>2227533</v>
      </c>
      <c r="J268" s="5" t="n">
        <v>0.8232</v>
      </c>
    </row>
    <row r="269">
      <c r="A269" s="4" t="inlineStr">
        <is>
          <t>2025-02</t>
        </is>
      </c>
      <c r="B269" s="4" t="inlineStr">
        <is>
          <t>循環器領域</t>
        </is>
      </c>
      <c r="C269" s="4" t="inlineStr">
        <is>
          <t>アトルバスタチン</t>
        </is>
      </c>
      <c r="D269" s="4" t="inlineStr">
        <is>
          <t>競合B</t>
        </is>
      </c>
      <c r="E269" s="4" t="inlineStr">
        <is>
          <t>競合B社製品</t>
        </is>
      </c>
      <c r="F269" s="4" t="inlineStr">
        <is>
          <t>錠</t>
        </is>
      </c>
      <c r="G269" s="4" t="n">
        <v>117083</v>
      </c>
      <c r="H269" s="4" t="n">
        <v>17.1</v>
      </c>
      <c r="I269" s="4" t="n">
        <v>1999413</v>
      </c>
      <c r="J269" s="4" t="n">
        <v>0.8232</v>
      </c>
    </row>
    <row r="270">
      <c r="A270" s="5" t="inlineStr">
        <is>
          <t>2025-03</t>
        </is>
      </c>
      <c r="B270" s="5" t="inlineStr">
        <is>
          <t>循環器領域</t>
        </is>
      </c>
      <c r="C270" s="5" t="inlineStr">
        <is>
          <t>アトルバスタチン</t>
        </is>
      </c>
      <c r="D270" s="5" t="inlineStr">
        <is>
          <t>オリジナル</t>
        </is>
      </c>
      <c r="E270" s="5" t="inlineStr">
        <is>
          <t>リピトール（オリジナル）</t>
        </is>
      </c>
      <c r="F270" s="5" t="inlineStr">
        <is>
          <t>錠</t>
        </is>
      </c>
      <c r="G270" s="5" t="n">
        <v>71526</v>
      </c>
      <c r="H270" s="5" t="n">
        <v>23</v>
      </c>
      <c r="I270" s="5" t="n">
        <v>1642496</v>
      </c>
      <c r="J270" s="5" t="n">
        <v>0.8178</v>
      </c>
    </row>
    <row r="271">
      <c r="A271" s="4" t="inlineStr">
        <is>
          <t>2025-03</t>
        </is>
      </c>
      <c r="B271" s="4" t="inlineStr">
        <is>
          <t>循環器領域</t>
        </is>
      </c>
      <c r="C271" s="4" t="inlineStr">
        <is>
          <t>アトルバスタチン</t>
        </is>
      </c>
      <c r="D271" s="4" t="inlineStr">
        <is>
          <t>自社</t>
        </is>
      </c>
      <c r="E271" s="4" t="inlineStr">
        <is>
          <t>アトルバスタチンOD錠「サンド」（自社合計）</t>
        </is>
      </c>
      <c r="F271" s="4" t="inlineStr">
        <is>
          <t>錠</t>
        </is>
      </c>
      <c r="G271" s="4" t="n">
        <v>54004</v>
      </c>
      <c r="H271" s="4" t="n">
        <v>17</v>
      </c>
      <c r="I271" s="4" t="n">
        <v>918614</v>
      </c>
      <c r="J271" s="4" t="n">
        <v>0.8178</v>
      </c>
    </row>
    <row r="272">
      <c r="A272" s="5" t="inlineStr">
        <is>
          <t>2025-03</t>
        </is>
      </c>
      <c r="B272" s="5" t="inlineStr">
        <is>
          <t>循環器領域</t>
        </is>
      </c>
      <c r="C272" s="5" t="inlineStr">
        <is>
          <t>アトルバスタチン</t>
        </is>
      </c>
      <c r="D272" s="5" t="inlineStr">
        <is>
          <t>競合A</t>
        </is>
      </c>
      <c r="E272" s="5" t="inlineStr">
        <is>
          <t>競合A社製品</t>
        </is>
      </c>
      <c r="F272" s="5" t="inlineStr">
        <is>
          <t>錠</t>
        </is>
      </c>
      <c r="G272" s="5" t="n">
        <v>144745</v>
      </c>
      <c r="H272" s="5" t="n">
        <v>17</v>
      </c>
      <c r="I272" s="5" t="n">
        <v>2456329</v>
      </c>
      <c r="J272" s="5" t="n">
        <v>0.8178</v>
      </c>
    </row>
    <row r="273">
      <c r="A273" s="4" t="inlineStr">
        <is>
          <t>2025-03</t>
        </is>
      </c>
      <c r="B273" s="4" t="inlineStr">
        <is>
          <t>循環器領域</t>
        </is>
      </c>
      <c r="C273" s="4" t="inlineStr">
        <is>
          <t>アトルバスタチン</t>
        </is>
      </c>
      <c r="D273" s="4" t="inlineStr">
        <is>
          <t>競合B</t>
        </is>
      </c>
      <c r="E273" s="4" t="inlineStr">
        <is>
          <t>競合B社製品</t>
        </is>
      </c>
      <c r="F273" s="4" t="inlineStr">
        <is>
          <t>錠</t>
        </is>
      </c>
      <c r="G273" s="4" t="n">
        <v>122300</v>
      </c>
      <c r="H273" s="4" t="n">
        <v>17.3</v>
      </c>
      <c r="I273" s="4" t="n">
        <v>2114840</v>
      </c>
      <c r="J273" s="4" t="n">
        <v>0.8178</v>
      </c>
    </row>
    <row r="274">
      <c r="A274" s="5" t="inlineStr">
        <is>
          <t>2025-04</t>
        </is>
      </c>
      <c r="B274" s="5" t="inlineStr">
        <is>
          <t>循環器領域</t>
        </is>
      </c>
      <c r="C274" s="5" t="inlineStr">
        <is>
          <t>アトルバスタチン</t>
        </is>
      </c>
      <c r="D274" s="5" t="inlineStr">
        <is>
          <t>オリジナル</t>
        </is>
      </c>
      <c r="E274" s="5" t="inlineStr">
        <is>
          <t>リピトール（オリジナル）</t>
        </is>
      </c>
      <c r="F274" s="5" t="inlineStr">
        <is>
          <t>錠</t>
        </is>
      </c>
      <c r="G274" s="5" t="n">
        <v>62176</v>
      </c>
      <c r="H274" s="5" t="n">
        <v>22.3</v>
      </c>
      <c r="I274" s="5" t="n">
        <v>1384937</v>
      </c>
      <c r="J274" s="5" t="n">
        <v>0.8096</v>
      </c>
    </row>
    <row r="275">
      <c r="A275" s="4" t="inlineStr">
        <is>
          <t>2025-04</t>
        </is>
      </c>
      <c r="B275" s="4" t="inlineStr">
        <is>
          <t>循環器領域</t>
        </is>
      </c>
      <c r="C275" s="4" t="inlineStr">
        <is>
          <t>アトルバスタチン</t>
        </is>
      </c>
      <c r="D275" s="4" t="inlineStr">
        <is>
          <t>自社</t>
        </is>
      </c>
      <c r="E275" s="4" t="inlineStr">
        <is>
          <t>アトルバスタチンOD錠「サンド」（自社合計）</t>
        </is>
      </c>
      <c r="F275" s="4" t="inlineStr">
        <is>
          <t>錠</t>
        </is>
      </c>
      <c r="G275" s="4" t="n">
        <v>39295</v>
      </c>
      <c r="H275" s="4" t="n">
        <v>16.5</v>
      </c>
      <c r="I275" s="4" t="n">
        <v>648363</v>
      </c>
      <c r="J275" s="4" t="n">
        <v>0.8096</v>
      </c>
    </row>
    <row r="276">
      <c r="A276" s="5" t="inlineStr">
        <is>
          <t>2025-04</t>
        </is>
      </c>
      <c r="B276" s="5" t="inlineStr">
        <is>
          <t>循環器領域</t>
        </is>
      </c>
      <c r="C276" s="5" t="inlineStr">
        <is>
          <t>アトルバスタチン</t>
        </is>
      </c>
      <c r="D276" s="5" t="inlineStr">
        <is>
          <t>競合A</t>
        </is>
      </c>
      <c r="E276" s="5" t="inlineStr">
        <is>
          <t>競合A社製品</t>
        </is>
      </c>
      <c r="F276" s="5" t="inlineStr">
        <is>
          <t>錠</t>
        </is>
      </c>
      <c r="G276" s="5" t="n">
        <v>108000</v>
      </c>
      <c r="H276" s="5" t="n">
        <v>16.3</v>
      </c>
      <c r="I276" s="5" t="n">
        <v>1757788</v>
      </c>
      <c r="J276" s="5" t="n">
        <v>0.8096</v>
      </c>
    </row>
    <row r="277">
      <c r="A277" s="4" t="inlineStr">
        <is>
          <t>2025-04</t>
        </is>
      </c>
      <c r="B277" s="4" t="inlineStr">
        <is>
          <t>循環器領域</t>
        </is>
      </c>
      <c r="C277" s="4" t="inlineStr">
        <is>
          <t>アトルバスタチン</t>
        </is>
      </c>
      <c r="D277" s="4" t="inlineStr">
        <is>
          <t>競合B</t>
        </is>
      </c>
      <c r="E277" s="4" t="inlineStr">
        <is>
          <t>競合B社製品</t>
        </is>
      </c>
      <c r="F277" s="4" t="inlineStr">
        <is>
          <t>錠</t>
        </is>
      </c>
      <c r="G277" s="4" t="n">
        <v>117004</v>
      </c>
      <c r="H277" s="4" t="n">
        <v>16.7</v>
      </c>
      <c r="I277" s="4" t="n">
        <v>1959459</v>
      </c>
      <c r="J277" s="4" t="n">
        <v>0.8096</v>
      </c>
    </row>
    <row r="278">
      <c r="A278" s="5" t="inlineStr">
        <is>
          <t>2025-05</t>
        </is>
      </c>
      <c r="B278" s="5" t="inlineStr">
        <is>
          <t>循環器領域</t>
        </is>
      </c>
      <c r="C278" s="5" t="inlineStr">
        <is>
          <t>アトルバスタチン</t>
        </is>
      </c>
      <c r="D278" s="5" t="inlineStr">
        <is>
          <t>オリジナル</t>
        </is>
      </c>
      <c r="E278" s="5" t="inlineStr">
        <is>
          <t>リピトール（オリジナル）</t>
        </is>
      </c>
      <c r="F278" s="5" t="inlineStr">
        <is>
          <t>錠</t>
        </is>
      </c>
      <c r="G278" s="5" t="n">
        <v>62259</v>
      </c>
      <c r="H278" s="5" t="n">
        <v>22.3</v>
      </c>
      <c r="I278" s="5" t="n">
        <v>1386799</v>
      </c>
      <c r="J278" s="5" t="n">
        <v>0.8252</v>
      </c>
    </row>
    <row r="279">
      <c r="A279" s="4" t="inlineStr">
        <is>
          <t>2025-05</t>
        </is>
      </c>
      <c r="B279" s="4" t="inlineStr">
        <is>
          <t>循環器領域</t>
        </is>
      </c>
      <c r="C279" s="4" t="inlineStr">
        <is>
          <t>アトルバスタチン</t>
        </is>
      </c>
      <c r="D279" s="4" t="inlineStr">
        <is>
          <t>自社</t>
        </is>
      </c>
      <c r="E279" s="4" t="inlineStr">
        <is>
          <t>アトルバスタチンOD錠「サンド」（自社合計）</t>
        </is>
      </c>
      <c r="F279" s="4" t="inlineStr">
        <is>
          <t>錠</t>
        </is>
      </c>
      <c r="G279" s="4" t="n">
        <v>51404</v>
      </c>
      <c r="H279" s="4" t="n">
        <v>16.5</v>
      </c>
      <c r="I279" s="4" t="n">
        <v>848158</v>
      </c>
      <c r="J279" s="4" t="n">
        <v>0.8252</v>
      </c>
    </row>
    <row r="280">
      <c r="A280" s="5" t="inlineStr">
        <is>
          <t>2025-05</t>
        </is>
      </c>
      <c r="B280" s="5" t="inlineStr">
        <is>
          <t>循環器領域</t>
        </is>
      </c>
      <c r="C280" s="5" t="inlineStr">
        <is>
          <t>アトルバスタチン</t>
        </is>
      </c>
      <c r="D280" s="5" t="inlineStr">
        <is>
          <t>競合A</t>
        </is>
      </c>
      <c r="E280" s="5" t="inlineStr">
        <is>
          <t>競合A社製品</t>
        </is>
      </c>
      <c r="F280" s="5" t="inlineStr">
        <is>
          <t>錠</t>
        </is>
      </c>
      <c r="G280" s="5" t="n">
        <v>143044</v>
      </c>
      <c r="H280" s="5" t="n">
        <v>16.5</v>
      </c>
      <c r="I280" s="5" t="n">
        <v>2356913</v>
      </c>
      <c r="J280" s="5" t="n">
        <v>0.8252</v>
      </c>
    </row>
    <row r="281">
      <c r="A281" s="4" t="inlineStr">
        <is>
          <t>2025-05</t>
        </is>
      </c>
      <c r="B281" s="4" t="inlineStr">
        <is>
          <t>循環器領域</t>
        </is>
      </c>
      <c r="C281" s="4" t="inlineStr">
        <is>
          <t>アトルバスタチン</t>
        </is>
      </c>
      <c r="D281" s="4" t="inlineStr">
        <is>
          <t>競合B</t>
        </is>
      </c>
      <c r="E281" s="4" t="inlineStr">
        <is>
          <t>競合B社製品</t>
        </is>
      </c>
      <c r="F281" s="4" t="inlineStr">
        <is>
          <t>錠</t>
        </is>
      </c>
      <c r="G281" s="4" t="n">
        <v>99473</v>
      </c>
      <c r="H281" s="4" t="n">
        <v>16.9</v>
      </c>
      <c r="I281" s="4" t="n">
        <v>1685704</v>
      </c>
      <c r="J281" s="4" t="n">
        <v>0.8252</v>
      </c>
    </row>
    <row r="282">
      <c r="A282" s="5" t="inlineStr">
        <is>
          <t>2025-06</t>
        </is>
      </c>
      <c r="B282" s="5" t="inlineStr">
        <is>
          <t>循環器領域</t>
        </is>
      </c>
      <c r="C282" s="5" t="inlineStr">
        <is>
          <t>アトルバスタチン</t>
        </is>
      </c>
      <c r="D282" s="5" t="inlineStr">
        <is>
          <t>オリジナル</t>
        </is>
      </c>
      <c r="E282" s="5" t="inlineStr">
        <is>
          <t>リピトール（オリジナル）</t>
        </is>
      </c>
      <c r="F282" s="5" t="inlineStr">
        <is>
          <t>錠</t>
        </is>
      </c>
      <c r="G282" s="5" t="n">
        <v>66272</v>
      </c>
      <c r="H282" s="5" t="n">
        <v>22.3</v>
      </c>
      <c r="I282" s="5" t="n">
        <v>1476176</v>
      </c>
      <c r="J282" s="5" t="n">
        <v>0.8155</v>
      </c>
    </row>
    <row r="283">
      <c r="A283" s="4" t="inlineStr">
        <is>
          <t>2025-06</t>
        </is>
      </c>
      <c r="B283" s="4" t="inlineStr">
        <is>
          <t>循環器領域</t>
        </is>
      </c>
      <c r="C283" s="4" t="inlineStr">
        <is>
          <t>アトルバスタチン</t>
        </is>
      </c>
      <c r="D283" s="4" t="inlineStr">
        <is>
          <t>自社</t>
        </is>
      </c>
      <c r="E283" s="4" t="inlineStr">
        <is>
          <t>アトルバスタチンOD錠「サンド」（自社合計）</t>
        </is>
      </c>
      <c r="F283" s="4" t="inlineStr">
        <is>
          <t>錠</t>
        </is>
      </c>
      <c r="G283" s="4" t="n">
        <v>46442</v>
      </c>
      <c r="H283" s="4" t="n">
        <v>16.5</v>
      </c>
      <c r="I283" s="4" t="n">
        <v>766282</v>
      </c>
      <c r="J283" s="4" t="n">
        <v>0.8155</v>
      </c>
    </row>
    <row r="284">
      <c r="A284" s="5" t="inlineStr">
        <is>
          <t>2025-06</t>
        </is>
      </c>
      <c r="B284" s="5" t="inlineStr">
        <is>
          <t>循環器領域</t>
        </is>
      </c>
      <c r="C284" s="5" t="inlineStr">
        <is>
          <t>アトルバスタチン</t>
        </is>
      </c>
      <c r="D284" s="5" t="inlineStr">
        <is>
          <t>競合A</t>
        </is>
      </c>
      <c r="E284" s="5" t="inlineStr">
        <is>
          <t>競合A社製品</t>
        </is>
      </c>
      <c r="F284" s="5" t="inlineStr">
        <is>
          <t>錠</t>
        </is>
      </c>
      <c r="G284" s="5" t="n">
        <v>124609</v>
      </c>
      <c r="H284" s="5" t="n">
        <v>16.2</v>
      </c>
      <c r="I284" s="5" t="n">
        <v>2019487</v>
      </c>
      <c r="J284" s="5" t="n">
        <v>0.8155</v>
      </c>
    </row>
    <row r="285">
      <c r="A285" s="4" t="inlineStr">
        <is>
          <t>2025-06</t>
        </is>
      </c>
      <c r="B285" s="4" t="inlineStr">
        <is>
          <t>循環器領域</t>
        </is>
      </c>
      <c r="C285" s="4" t="inlineStr">
        <is>
          <t>アトルバスタチン</t>
        </is>
      </c>
      <c r="D285" s="4" t="inlineStr">
        <is>
          <t>競合B</t>
        </is>
      </c>
      <c r="E285" s="4" t="inlineStr">
        <is>
          <t>競合B社製品</t>
        </is>
      </c>
      <c r="F285" s="4" t="inlineStr">
        <is>
          <t>錠</t>
        </is>
      </c>
      <c r="G285" s="4" t="n">
        <v>121856</v>
      </c>
      <c r="H285" s="4" t="n">
        <v>16.4</v>
      </c>
      <c r="I285" s="4" t="n">
        <v>1996195</v>
      </c>
      <c r="J285" s="4" t="n">
        <v>0.8155</v>
      </c>
    </row>
    <row r="286">
      <c r="A286" s="5" t="inlineStr">
        <is>
          <t>2025-07</t>
        </is>
      </c>
      <c r="B286" s="5" t="inlineStr">
        <is>
          <t>循環器領域</t>
        </is>
      </c>
      <c r="C286" s="5" t="inlineStr">
        <is>
          <t>アトルバスタチン</t>
        </is>
      </c>
      <c r="D286" s="5" t="inlineStr">
        <is>
          <t>オリジナル</t>
        </is>
      </c>
      <c r="E286" s="5" t="inlineStr">
        <is>
          <t>リピトール（オリジナル）</t>
        </is>
      </c>
      <c r="F286" s="5" t="inlineStr">
        <is>
          <t>錠</t>
        </is>
      </c>
      <c r="G286" s="5" t="n">
        <v>57731</v>
      </c>
      <c r="H286" s="5" t="n">
        <v>22.3</v>
      </c>
      <c r="I286" s="5" t="n">
        <v>1285928</v>
      </c>
      <c r="J286" s="5" t="n">
        <v>0.8417</v>
      </c>
    </row>
    <row r="287">
      <c r="A287" s="4" t="inlineStr">
        <is>
          <t>2025-07</t>
        </is>
      </c>
      <c r="B287" s="4" t="inlineStr">
        <is>
          <t>循環器領域</t>
        </is>
      </c>
      <c r="C287" s="4" t="inlineStr">
        <is>
          <t>アトルバスタチン</t>
        </is>
      </c>
      <c r="D287" s="4" t="inlineStr">
        <is>
          <t>自社</t>
        </is>
      </c>
      <c r="E287" s="4" t="inlineStr">
        <is>
          <t>アトルバスタチンOD錠「サンド」（自社合計）</t>
        </is>
      </c>
      <c r="F287" s="4" t="inlineStr">
        <is>
          <t>錠</t>
        </is>
      </c>
      <c r="G287" s="4" t="n">
        <v>46389</v>
      </c>
      <c r="H287" s="4" t="n">
        <v>16.5</v>
      </c>
      <c r="I287" s="4" t="n">
        <v>765410</v>
      </c>
      <c r="J287" s="4" t="n">
        <v>0.8417</v>
      </c>
    </row>
    <row r="288">
      <c r="A288" s="5" t="inlineStr">
        <is>
          <t>2025-07</t>
        </is>
      </c>
      <c r="B288" s="5" t="inlineStr">
        <is>
          <t>循環器領域</t>
        </is>
      </c>
      <c r="C288" s="5" t="inlineStr">
        <is>
          <t>アトルバスタチン</t>
        </is>
      </c>
      <c r="D288" s="5" t="inlineStr">
        <is>
          <t>競合A</t>
        </is>
      </c>
      <c r="E288" s="5" t="inlineStr">
        <is>
          <t>競合A社製品</t>
        </is>
      </c>
      <c r="F288" s="5" t="inlineStr">
        <is>
          <t>錠</t>
        </is>
      </c>
      <c r="G288" s="5" t="n">
        <v>146324</v>
      </c>
      <c r="H288" s="5" t="n">
        <v>16.2</v>
      </c>
      <c r="I288" s="5" t="n">
        <v>2364057</v>
      </c>
      <c r="J288" s="5" t="n">
        <v>0.8417</v>
      </c>
    </row>
    <row r="289">
      <c r="A289" s="4" t="inlineStr">
        <is>
          <t>2025-07</t>
        </is>
      </c>
      <c r="B289" s="4" t="inlineStr">
        <is>
          <t>循環器領域</t>
        </is>
      </c>
      <c r="C289" s="4" t="inlineStr">
        <is>
          <t>アトルバスタチン</t>
        </is>
      </c>
      <c r="D289" s="4" t="inlineStr">
        <is>
          <t>競合B</t>
        </is>
      </c>
      <c r="E289" s="4" t="inlineStr">
        <is>
          <t>競合B社製品</t>
        </is>
      </c>
      <c r="F289" s="4" t="inlineStr">
        <is>
          <t>錠</t>
        </is>
      </c>
      <c r="G289" s="4" t="n">
        <v>114139</v>
      </c>
      <c r="H289" s="4" t="n">
        <v>16.7</v>
      </c>
      <c r="I289" s="4" t="n">
        <v>1901133</v>
      </c>
      <c r="J289" s="4" t="n">
        <v>0.8417</v>
      </c>
    </row>
    <row r="290">
      <c r="A290" s="5" t="inlineStr">
        <is>
          <t>2025-08</t>
        </is>
      </c>
      <c r="B290" s="5" t="inlineStr">
        <is>
          <t>循環器領域</t>
        </is>
      </c>
      <c r="C290" s="5" t="inlineStr">
        <is>
          <t>アトルバスタチン</t>
        </is>
      </c>
      <c r="D290" s="5" t="inlineStr">
        <is>
          <t>オリジナル</t>
        </is>
      </c>
      <c r="E290" s="5" t="inlineStr">
        <is>
          <t>リピトール（オリジナル）</t>
        </is>
      </c>
      <c r="F290" s="5" t="inlineStr">
        <is>
          <t>錠</t>
        </is>
      </c>
      <c r="G290" s="5" t="n">
        <v>69248</v>
      </c>
      <c r="H290" s="5" t="n">
        <v>22.3</v>
      </c>
      <c r="I290" s="5" t="n">
        <v>1542482</v>
      </c>
      <c r="J290" s="5" t="n">
        <v>0.8067</v>
      </c>
    </row>
    <row r="291">
      <c r="A291" s="4" t="inlineStr">
        <is>
          <t>2025-08</t>
        </is>
      </c>
      <c r="B291" s="4" t="inlineStr">
        <is>
          <t>循環器領域</t>
        </is>
      </c>
      <c r="C291" s="4" t="inlineStr">
        <is>
          <t>アトルバスタチン</t>
        </is>
      </c>
      <c r="D291" s="4" t="inlineStr">
        <is>
          <t>自社</t>
        </is>
      </c>
      <c r="E291" s="4" t="inlineStr">
        <is>
          <t>アトルバスタチンOD錠「サンド」（自社合計）</t>
        </is>
      </c>
      <c r="F291" s="4" t="inlineStr">
        <is>
          <t>錠</t>
        </is>
      </c>
      <c r="G291" s="4" t="n">
        <v>50499</v>
      </c>
      <c r="H291" s="4" t="n">
        <v>16.5</v>
      </c>
      <c r="I291" s="4" t="n">
        <v>833217</v>
      </c>
      <c r="J291" s="4" t="n">
        <v>0.8067</v>
      </c>
    </row>
    <row r="292">
      <c r="A292" s="5" t="inlineStr">
        <is>
          <t>2025-08</t>
        </is>
      </c>
      <c r="B292" s="5" t="inlineStr">
        <is>
          <t>循環器領域</t>
        </is>
      </c>
      <c r="C292" s="5" t="inlineStr">
        <is>
          <t>アトルバスタチン</t>
        </is>
      </c>
      <c r="D292" s="5" t="inlineStr">
        <is>
          <t>競合A</t>
        </is>
      </c>
      <c r="E292" s="5" t="inlineStr">
        <is>
          <t>競合A社製品</t>
        </is>
      </c>
      <c r="F292" s="5" t="inlineStr">
        <is>
          <t>錠</t>
        </is>
      </c>
      <c r="G292" s="5" t="n">
        <v>126806</v>
      </c>
      <c r="H292" s="5" t="n">
        <v>16.3</v>
      </c>
      <c r="I292" s="5" t="n">
        <v>2069921</v>
      </c>
      <c r="J292" s="5" t="n">
        <v>0.8067</v>
      </c>
    </row>
    <row r="293">
      <c r="A293" s="4" t="inlineStr">
        <is>
          <t>2025-08</t>
        </is>
      </c>
      <c r="B293" s="4" t="inlineStr">
        <is>
          <t>循環器領域</t>
        </is>
      </c>
      <c r="C293" s="4" t="inlineStr">
        <is>
          <t>アトルバスタチン</t>
        </is>
      </c>
      <c r="D293" s="4" t="inlineStr">
        <is>
          <t>競合B</t>
        </is>
      </c>
      <c r="E293" s="4" t="inlineStr">
        <is>
          <t>競合B社製品</t>
        </is>
      </c>
      <c r="F293" s="4" t="inlineStr">
        <is>
          <t>錠</t>
        </is>
      </c>
      <c r="G293" s="4" t="n">
        <v>111618</v>
      </c>
      <c r="H293" s="4" t="n">
        <v>16.1</v>
      </c>
      <c r="I293" s="4" t="n">
        <v>1802268</v>
      </c>
      <c r="J293" s="4" t="n">
        <v>0.8067</v>
      </c>
    </row>
    <row r="294">
      <c r="A294" s="5" t="inlineStr">
        <is>
          <t>2025-09</t>
        </is>
      </c>
      <c r="B294" s="5" t="inlineStr">
        <is>
          <t>循環器領域</t>
        </is>
      </c>
      <c r="C294" s="5" t="inlineStr">
        <is>
          <t>アトルバスタチン</t>
        </is>
      </c>
      <c r="D294" s="5" t="inlineStr">
        <is>
          <t>オリジナル</t>
        </is>
      </c>
      <c r="E294" s="5" t="inlineStr">
        <is>
          <t>リピトール（オリジナル）</t>
        </is>
      </c>
      <c r="F294" s="5" t="inlineStr">
        <is>
          <t>錠</t>
        </is>
      </c>
      <c r="G294" s="5" t="n">
        <v>60398</v>
      </c>
      <c r="H294" s="5" t="n">
        <v>22.3</v>
      </c>
      <c r="I294" s="5" t="n">
        <v>1345337</v>
      </c>
      <c r="J294" s="5" t="n">
        <v>0.8297</v>
      </c>
    </row>
    <row r="295">
      <c r="A295" s="4" t="inlineStr">
        <is>
          <t>2025-09</t>
        </is>
      </c>
      <c r="B295" s="4" t="inlineStr">
        <is>
          <t>循環器領域</t>
        </is>
      </c>
      <c r="C295" s="4" t="inlineStr">
        <is>
          <t>アトルバスタチン</t>
        </is>
      </c>
      <c r="D295" s="4" t="inlineStr">
        <is>
          <t>自社</t>
        </is>
      </c>
      <c r="E295" s="4" t="inlineStr">
        <is>
          <t>アトルバスタチンOD錠「サンド」（自社合計）</t>
        </is>
      </c>
      <c r="F295" s="4" t="inlineStr">
        <is>
          <t>錠</t>
        </is>
      </c>
      <c r="G295" s="4" t="n">
        <v>48299</v>
      </c>
      <c r="H295" s="4" t="n">
        <v>16.5</v>
      </c>
      <c r="I295" s="4" t="n">
        <v>796912</v>
      </c>
      <c r="J295" s="4" t="n">
        <v>0.8297</v>
      </c>
    </row>
    <row r="296">
      <c r="A296" s="5" t="inlineStr">
        <is>
          <t>2025-09</t>
        </is>
      </c>
      <c r="B296" s="5" t="inlineStr">
        <is>
          <t>循環器領域</t>
        </is>
      </c>
      <c r="C296" s="5" t="inlineStr">
        <is>
          <t>アトルバスタチン</t>
        </is>
      </c>
      <c r="D296" s="5" t="inlineStr">
        <is>
          <t>競合A</t>
        </is>
      </c>
      <c r="E296" s="5" t="inlineStr">
        <is>
          <t>競合A社製品</t>
        </is>
      </c>
      <c r="F296" s="5" t="inlineStr">
        <is>
          <t>錠</t>
        </is>
      </c>
      <c r="G296" s="5" t="n">
        <v>137732</v>
      </c>
      <c r="H296" s="5" t="n">
        <v>16.6</v>
      </c>
      <c r="I296" s="5" t="n">
        <v>2288988</v>
      </c>
      <c r="J296" s="5" t="n">
        <v>0.8297</v>
      </c>
    </row>
    <row r="297">
      <c r="A297" s="4" t="inlineStr">
        <is>
          <t>2025-09</t>
        </is>
      </c>
      <c r="B297" s="4" t="inlineStr">
        <is>
          <t>循環器領域</t>
        </is>
      </c>
      <c r="C297" s="4" t="inlineStr">
        <is>
          <t>アトルバスタチン</t>
        </is>
      </c>
      <c r="D297" s="4" t="inlineStr">
        <is>
          <t>競合B</t>
        </is>
      </c>
      <c r="E297" s="4" t="inlineStr">
        <is>
          <t>競合B社製品</t>
        </is>
      </c>
      <c r="F297" s="4" t="inlineStr">
        <is>
          <t>錠</t>
        </is>
      </c>
      <c r="G297" s="4" t="n">
        <v>108280</v>
      </c>
      <c r="H297" s="4" t="n">
        <v>16.9</v>
      </c>
      <c r="I297" s="4" t="n">
        <v>1833771</v>
      </c>
      <c r="J297" s="4" t="n">
        <v>0.8297</v>
      </c>
    </row>
    <row r="298">
      <c r="A298" s="5" t="inlineStr">
        <is>
          <t>2025-10</t>
        </is>
      </c>
      <c r="B298" s="5" t="inlineStr">
        <is>
          <t>循環器領域</t>
        </is>
      </c>
      <c r="C298" s="5" t="inlineStr">
        <is>
          <t>アトルバスタチン</t>
        </is>
      </c>
      <c r="D298" s="5" t="inlineStr">
        <is>
          <t>オリジナル</t>
        </is>
      </c>
      <c r="E298" s="5" t="inlineStr">
        <is>
          <t>リピトール（オリジナル）</t>
        </is>
      </c>
      <c r="F298" s="5" t="inlineStr">
        <is>
          <t>錠</t>
        </is>
      </c>
      <c r="G298" s="5" t="n">
        <v>67480</v>
      </c>
      <c r="H298" s="5" t="n">
        <v>22.3</v>
      </c>
      <c r="I298" s="5" t="n">
        <v>1503091</v>
      </c>
      <c r="J298" s="5" t="n">
        <v>0.8111</v>
      </c>
    </row>
    <row r="299">
      <c r="A299" s="4" t="inlineStr">
        <is>
          <t>2025-10</t>
        </is>
      </c>
      <c r="B299" s="4" t="inlineStr">
        <is>
          <t>循環器領域</t>
        </is>
      </c>
      <c r="C299" s="4" t="inlineStr">
        <is>
          <t>アトルバスタチン</t>
        </is>
      </c>
      <c r="D299" s="4" t="inlineStr">
        <is>
          <t>自社</t>
        </is>
      </c>
      <c r="E299" s="4" t="inlineStr">
        <is>
          <t>アトルバスタチンOD錠「サンド」（自社合計）</t>
        </is>
      </c>
      <c r="F299" s="4" t="inlineStr">
        <is>
          <t>錠</t>
        </is>
      </c>
      <c r="G299" s="4" t="n">
        <v>51338</v>
      </c>
      <c r="H299" s="4" t="n">
        <v>16.5</v>
      </c>
      <c r="I299" s="4" t="n">
        <v>847062</v>
      </c>
      <c r="J299" s="4" t="n">
        <v>0.8111</v>
      </c>
    </row>
    <row r="300">
      <c r="A300" s="5" t="inlineStr">
        <is>
          <t>2025-10</t>
        </is>
      </c>
      <c r="B300" s="5" t="inlineStr">
        <is>
          <t>循環器領域</t>
        </is>
      </c>
      <c r="C300" s="5" t="inlineStr">
        <is>
          <t>アトルバスタチン</t>
        </is>
      </c>
      <c r="D300" s="5" t="inlineStr">
        <is>
          <t>競合A</t>
        </is>
      </c>
      <c r="E300" s="5" t="inlineStr">
        <is>
          <t>競合A社製品</t>
        </is>
      </c>
      <c r="F300" s="5" t="inlineStr">
        <is>
          <t>錠</t>
        </is>
      </c>
      <c r="G300" s="5" t="n">
        <v>128763</v>
      </c>
      <c r="H300" s="5" t="n">
        <v>16.9</v>
      </c>
      <c r="I300" s="5" t="n">
        <v>2171909</v>
      </c>
      <c r="J300" s="5" t="n">
        <v>0.8111</v>
      </c>
    </row>
    <row r="301">
      <c r="A301" s="4" t="inlineStr">
        <is>
          <t>2025-10</t>
        </is>
      </c>
      <c r="B301" s="4" t="inlineStr">
        <is>
          <t>循環器領域</t>
        </is>
      </c>
      <c r="C301" s="4" t="inlineStr">
        <is>
          <t>アトルバスタチン</t>
        </is>
      </c>
      <c r="D301" s="4" t="inlineStr">
        <is>
          <t>競合B</t>
        </is>
      </c>
      <c r="E301" s="4" t="inlineStr">
        <is>
          <t>競合B社製品</t>
        </is>
      </c>
      <c r="F301" s="4" t="inlineStr">
        <is>
          <t>錠</t>
        </is>
      </c>
      <c r="G301" s="4" t="n">
        <v>109662</v>
      </c>
      <c r="H301" s="4" t="n">
        <v>16.6</v>
      </c>
      <c r="I301" s="4" t="n">
        <v>1823271</v>
      </c>
      <c r="J301" s="4" t="n">
        <v>0.8111</v>
      </c>
    </row>
    <row r="302">
      <c r="A302" s="5" t="inlineStr">
        <is>
          <t>2025-11</t>
        </is>
      </c>
      <c r="B302" s="5" t="inlineStr">
        <is>
          <t>循環器領域</t>
        </is>
      </c>
      <c r="C302" s="5" t="inlineStr">
        <is>
          <t>アトルバスタチン</t>
        </is>
      </c>
      <c r="D302" s="5" t="inlineStr">
        <is>
          <t>オリジナル</t>
        </is>
      </c>
      <c r="E302" s="5" t="inlineStr">
        <is>
          <t>リピトール（オリジナル）</t>
        </is>
      </c>
      <c r="F302" s="5" t="inlineStr">
        <is>
          <t>錠</t>
        </is>
      </c>
      <c r="G302" s="5" t="n">
        <v>61128</v>
      </c>
      <c r="H302" s="5" t="n">
        <v>22.3</v>
      </c>
      <c r="I302" s="5" t="n">
        <v>1361612</v>
      </c>
      <c r="J302" s="5" t="n">
        <v>0.8298</v>
      </c>
    </row>
    <row r="303">
      <c r="A303" s="4" t="inlineStr">
        <is>
          <t>2025-11</t>
        </is>
      </c>
      <c r="B303" s="4" t="inlineStr">
        <is>
          <t>循環器領域</t>
        </is>
      </c>
      <c r="C303" s="4" t="inlineStr">
        <is>
          <t>アトルバスタチン</t>
        </is>
      </c>
      <c r="D303" s="4" t="inlineStr">
        <is>
          <t>自社</t>
        </is>
      </c>
      <c r="E303" s="4" t="inlineStr">
        <is>
          <t>アトルバスタチンOD錠「サンド」（自社合計）</t>
        </is>
      </c>
      <c r="F303" s="4" t="inlineStr">
        <is>
          <t>錠</t>
        </is>
      </c>
      <c r="G303" s="4" t="n">
        <v>55568</v>
      </c>
      <c r="H303" s="4" t="n">
        <v>16.5</v>
      </c>
      <c r="I303" s="4" t="n">
        <v>916854</v>
      </c>
      <c r="J303" s="4" t="n">
        <v>0.8298</v>
      </c>
    </row>
    <row r="304">
      <c r="A304" s="5" t="inlineStr">
        <is>
          <t>2025-11</t>
        </is>
      </c>
      <c r="B304" s="5" t="inlineStr">
        <is>
          <t>循環器領域</t>
        </is>
      </c>
      <c r="C304" s="5" t="inlineStr">
        <is>
          <t>アトルバスタチン</t>
        </is>
      </c>
      <c r="D304" s="5" t="inlineStr">
        <is>
          <t>競合A</t>
        </is>
      </c>
      <c r="E304" s="5" t="inlineStr">
        <is>
          <t>競合A社製品</t>
        </is>
      </c>
      <c r="F304" s="5" t="inlineStr">
        <is>
          <t>錠</t>
        </is>
      </c>
      <c r="G304" s="5" t="n">
        <v>148404</v>
      </c>
      <c r="H304" s="5" t="n">
        <v>16.5</v>
      </c>
      <c r="I304" s="5" t="n">
        <v>2452015</v>
      </c>
      <c r="J304" s="5" t="n">
        <v>0.8298</v>
      </c>
    </row>
    <row r="305">
      <c r="A305" s="4" t="inlineStr">
        <is>
          <t>2025-11</t>
        </is>
      </c>
      <c r="B305" s="4" t="inlineStr">
        <is>
          <t>循環器領域</t>
        </is>
      </c>
      <c r="C305" s="4" t="inlineStr">
        <is>
          <t>アトルバスタチン</t>
        </is>
      </c>
      <c r="D305" s="4" t="inlineStr">
        <is>
          <t>競合B</t>
        </is>
      </c>
      <c r="E305" s="4" t="inlineStr">
        <is>
          <t>競合B社製品</t>
        </is>
      </c>
      <c r="F305" s="4" t="inlineStr">
        <is>
          <t>錠</t>
        </is>
      </c>
      <c r="G305" s="4" t="n">
        <v>93963</v>
      </c>
      <c r="H305" s="4" t="n">
        <v>16.6</v>
      </c>
      <c r="I305" s="4" t="n">
        <v>1555336</v>
      </c>
      <c r="J305" s="4" t="n">
        <v>0.8298</v>
      </c>
    </row>
    <row r="306">
      <c r="A306" s="5" t="inlineStr">
        <is>
          <t>2025-12</t>
        </is>
      </c>
      <c r="B306" s="5" t="inlineStr">
        <is>
          <t>循環器領域</t>
        </is>
      </c>
      <c r="C306" s="5" t="inlineStr">
        <is>
          <t>アトルバスタチン</t>
        </is>
      </c>
      <c r="D306" s="5" t="inlineStr">
        <is>
          <t>オリジナル</t>
        </is>
      </c>
      <c r="E306" s="5" t="inlineStr">
        <is>
          <t>リピトール（オリジナル）</t>
        </is>
      </c>
      <c r="F306" s="5" t="inlineStr">
        <is>
          <t>錠</t>
        </is>
      </c>
      <c r="G306" s="5" t="n">
        <v>66926</v>
      </c>
      <c r="H306" s="5" t="n">
        <v>22.3</v>
      </c>
      <c r="I306" s="5" t="n">
        <v>1490760</v>
      </c>
      <c r="J306" s="5" t="n">
        <v>0.8182</v>
      </c>
    </row>
    <row r="307">
      <c r="A307" s="4" t="inlineStr">
        <is>
          <t>2025-12</t>
        </is>
      </c>
      <c r="B307" s="4" t="inlineStr">
        <is>
          <t>循環器領域</t>
        </is>
      </c>
      <c r="C307" s="4" t="inlineStr">
        <is>
          <t>アトルバスタチン</t>
        </is>
      </c>
      <c r="D307" s="4" t="inlineStr">
        <is>
          <t>自社</t>
        </is>
      </c>
      <c r="E307" s="4" t="inlineStr">
        <is>
          <t>アトルバスタチンOD錠「サンド」（自社合計）</t>
        </is>
      </c>
      <c r="F307" s="4" t="inlineStr">
        <is>
          <t>錠</t>
        </is>
      </c>
      <c r="G307" s="4" t="n">
        <v>51443</v>
      </c>
      <c r="H307" s="4" t="n">
        <v>16.5</v>
      </c>
      <c r="I307" s="4" t="n">
        <v>848797</v>
      </c>
      <c r="J307" s="4" t="n">
        <v>0.8182</v>
      </c>
    </row>
    <row r="308">
      <c r="A308" s="5" t="inlineStr">
        <is>
          <t>2025-12</t>
        </is>
      </c>
      <c r="B308" s="5" t="inlineStr">
        <is>
          <t>循環器領域</t>
        </is>
      </c>
      <c r="C308" s="5" t="inlineStr">
        <is>
          <t>アトルバスタチン</t>
        </is>
      </c>
      <c r="D308" s="5" t="inlineStr">
        <is>
          <t>競合A</t>
        </is>
      </c>
      <c r="E308" s="5" t="inlineStr">
        <is>
          <t>競合A社製品</t>
        </is>
      </c>
      <c r="F308" s="5" t="inlineStr">
        <is>
          <t>錠</t>
        </is>
      </c>
      <c r="G308" s="5" t="n">
        <v>137137</v>
      </c>
      <c r="H308" s="5" t="n">
        <v>16.6</v>
      </c>
      <c r="I308" s="5" t="n">
        <v>2276926</v>
      </c>
      <c r="J308" s="5" t="n">
        <v>0.8182</v>
      </c>
    </row>
    <row r="309">
      <c r="A309" s="4" t="inlineStr">
        <is>
          <t>2025-12</t>
        </is>
      </c>
      <c r="B309" s="4" t="inlineStr">
        <is>
          <t>循環器領域</t>
        </is>
      </c>
      <c r="C309" s="4" t="inlineStr">
        <is>
          <t>アトルバスタチン</t>
        </is>
      </c>
      <c r="D309" s="4" t="inlineStr">
        <is>
          <t>競合B</t>
        </is>
      </c>
      <c r="E309" s="4" t="inlineStr">
        <is>
          <t>競合B社製品</t>
        </is>
      </c>
      <c r="F309" s="4" t="inlineStr">
        <is>
          <t>錠</t>
        </is>
      </c>
      <c r="G309" s="4" t="n">
        <v>112555</v>
      </c>
      <c r="H309" s="4" t="n">
        <v>16.2</v>
      </c>
      <c r="I309" s="4" t="n">
        <v>1826175</v>
      </c>
      <c r="J309" s="4" t="n">
        <v>0.8182</v>
      </c>
    </row>
    <row r="310">
      <c r="A310" s="5" t="inlineStr">
        <is>
          <t>2026-01</t>
        </is>
      </c>
      <c r="B310" s="5" t="inlineStr">
        <is>
          <t>循環器領域</t>
        </is>
      </c>
      <c r="C310" s="5" t="inlineStr">
        <is>
          <t>アトルバスタチン</t>
        </is>
      </c>
      <c r="D310" s="5" t="inlineStr">
        <is>
          <t>オリジナル</t>
        </is>
      </c>
      <c r="E310" s="5" t="inlineStr">
        <is>
          <t>リピトール（オリジナル）</t>
        </is>
      </c>
      <c r="F310" s="5" t="inlineStr">
        <is>
          <t>錠</t>
        </is>
      </c>
      <c r="G310" s="5" t="n">
        <v>67659</v>
      </c>
      <c r="H310" s="5" t="n">
        <v>22.3</v>
      </c>
      <c r="I310" s="5" t="n">
        <v>1507083</v>
      </c>
      <c r="J310" s="5" t="n">
        <v>0.8062</v>
      </c>
    </row>
    <row r="311">
      <c r="A311" s="4" t="inlineStr">
        <is>
          <t>2026-01</t>
        </is>
      </c>
      <c r="B311" s="4" t="inlineStr">
        <is>
          <t>循環器領域</t>
        </is>
      </c>
      <c r="C311" s="4" t="inlineStr">
        <is>
          <t>アトルバスタチン</t>
        </is>
      </c>
      <c r="D311" s="4" t="inlineStr">
        <is>
          <t>自社</t>
        </is>
      </c>
      <c r="E311" s="4" t="inlineStr">
        <is>
          <t>アトルバスタチンOD錠「サンド」（自社合計）</t>
        </is>
      </c>
      <c r="F311" s="4" t="inlineStr">
        <is>
          <t>錠</t>
        </is>
      </c>
      <c r="G311" s="4" t="n">
        <v>44144</v>
      </c>
      <c r="H311" s="4" t="n">
        <v>16.5</v>
      </c>
      <c r="I311" s="4" t="n">
        <v>728358</v>
      </c>
      <c r="J311" s="4" t="n">
        <v>0.8062</v>
      </c>
    </row>
    <row r="312">
      <c r="A312" s="5" t="inlineStr">
        <is>
          <t>2026-01</t>
        </is>
      </c>
      <c r="B312" s="5" t="inlineStr">
        <is>
          <t>循環器領域</t>
        </is>
      </c>
      <c r="C312" s="5" t="inlineStr">
        <is>
          <t>アトルバスタチン</t>
        </is>
      </c>
      <c r="D312" s="5" t="inlineStr">
        <is>
          <t>競合A</t>
        </is>
      </c>
      <c r="E312" s="5" t="inlineStr">
        <is>
          <t>競合A社製品</t>
        </is>
      </c>
      <c r="F312" s="5" t="inlineStr">
        <is>
          <t>錠</t>
        </is>
      </c>
      <c r="G312" s="5" t="n">
        <v>127270</v>
      </c>
      <c r="H312" s="5" t="n">
        <v>16.4</v>
      </c>
      <c r="I312" s="5" t="n">
        <v>2087606</v>
      </c>
      <c r="J312" s="5" t="n">
        <v>0.8062</v>
      </c>
    </row>
    <row r="313">
      <c r="A313" s="4" t="inlineStr">
        <is>
          <t>2026-01</t>
        </is>
      </c>
      <c r="B313" s="4" t="inlineStr">
        <is>
          <t>循環器領域</t>
        </is>
      </c>
      <c r="C313" s="4" t="inlineStr">
        <is>
          <t>アトルバスタチン</t>
        </is>
      </c>
      <c r="D313" s="4" t="inlineStr">
        <is>
          <t>競合B</t>
        </is>
      </c>
      <c r="E313" s="4" t="inlineStr">
        <is>
          <t>競合B社製品</t>
        </is>
      </c>
      <c r="F313" s="4" t="inlineStr">
        <is>
          <t>錠</t>
        </is>
      </c>
      <c r="G313" s="4" t="n">
        <v>110068</v>
      </c>
      <c r="H313" s="4" t="n">
        <v>17.1</v>
      </c>
      <c r="I313" s="4" t="n">
        <v>1886453</v>
      </c>
      <c r="J313" s="4" t="n">
        <v>0.8062</v>
      </c>
    </row>
    <row r="314">
      <c r="A314" s="5" t="inlineStr">
        <is>
          <t>2026-02</t>
        </is>
      </c>
      <c r="B314" s="5" t="inlineStr">
        <is>
          <t>循環器領域</t>
        </is>
      </c>
      <c r="C314" s="5" t="inlineStr">
        <is>
          <t>アトルバスタチン</t>
        </is>
      </c>
      <c r="D314" s="5" t="inlineStr">
        <is>
          <t>オリジナル</t>
        </is>
      </c>
      <c r="E314" s="5" t="inlineStr">
        <is>
          <t>リピトール（オリジナル）</t>
        </is>
      </c>
      <c r="F314" s="5" t="inlineStr">
        <is>
          <t>錠</t>
        </is>
      </c>
      <c r="G314" s="5" t="n">
        <v>67281</v>
      </c>
      <c r="H314" s="5" t="n">
        <v>22.3</v>
      </c>
      <c r="I314" s="5" t="n">
        <v>1498656</v>
      </c>
      <c r="J314" s="5" t="n">
        <v>0.8176</v>
      </c>
    </row>
    <row r="315">
      <c r="A315" s="4" t="inlineStr">
        <is>
          <t>2026-02</t>
        </is>
      </c>
      <c r="B315" s="4" t="inlineStr">
        <is>
          <t>循環器領域</t>
        </is>
      </c>
      <c r="C315" s="4" t="inlineStr">
        <is>
          <t>アトルバスタチン</t>
        </is>
      </c>
      <c r="D315" s="4" t="inlineStr">
        <is>
          <t>自社</t>
        </is>
      </c>
      <c r="E315" s="4" t="inlineStr">
        <is>
          <t>アトルバスタチンOD錠「サンド」（自社合計）</t>
        </is>
      </c>
      <c r="F315" s="4" t="inlineStr">
        <is>
          <t>錠</t>
        </is>
      </c>
      <c r="G315" s="4" t="n">
        <v>51869</v>
      </c>
      <c r="H315" s="4" t="n">
        <v>16.5</v>
      </c>
      <c r="I315" s="4" t="n">
        <v>855830</v>
      </c>
      <c r="J315" s="4" t="n">
        <v>0.8176</v>
      </c>
    </row>
    <row r="316">
      <c r="A316" s="5" t="inlineStr">
        <is>
          <t>2026-02</t>
        </is>
      </c>
      <c r="B316" s="5" t="inlineStr">
        <is>
          <t>循環器領域</t>
        </is>
      </c>
      <c r="C316" s="5" t="inlineStr">
        <is>
          <t>アトルバスタチン</t>
        </is>
      </c>
      <c r="D316" s="5" t="inlineStr">
        <is>
          <t>競合A</t>
        </is>
      </c>
      <c r="E316" s="5" t="inlineStr">
        <is>
          <t>競合A社製品</t>
        </is>
      </c>
      <c r="F316" s="5" t="inlineStr">
        <is>
          <t>錠</t>
        </is>
      </c>
      <c r="G316" s="5" t="n">
        <v>134306</v>
      </c>
      <c r="H316" s="5" t="n">
        <v>16.4</v>
      </c>
      <c r="I316" s="5" t="n">
        <v>2203399</v>
      </c>
      <c r="J316" s="5" t="n">
        <v>0.8176</v>
      </c>
    </row>
    <row r="317">
      <c r="A317" s="4" t="inlineStr">
        <is>
          <t>2026-02</t>
        </is>
      </c>
      <c r="B317" s="4" t="inlineStr">
        <is>
          <t>循環器領域</t>
        </is>
      </c>
      <c r="C317" s="4" t="inlineStr">
        <is>
          <t>アトルバスタチン</t>
        </is>
      </c>
      <c r="D317" s="4" t="inlineStr">
        <is>
          <t>競合B</t>
        </is>
      </c>
      <c r="E317" s="4" t="inlineStr">
        <is>
          <t>競合B社製品</t>
        </is>
      </c>
      <c r="F317" s="4" t="inlineStr">
        <is>
          <t>錠</t>
        </is>
      </c>
      <c r="G317" s="4" t="n">
        <v>115432</v>
      </c>
      <c r="H317" s="4" t="n">
        <v>16.6</v>
      </c>
      <c r="I317" s="4" t="n">
        <v>1911647</v>
      </c>
      <c r="J317" s="4" t="n">
        <v>0.8176</v>
      </c>
    </row>
    <row r="318">
      <c r="A318" s="5" t="inlineStr">
        <is>
          <t>2026-03</t>
        </is>
      </c>
      <c r="B318" s="5" t="inlineStr">
        <is>
          <t>循環器領域</t>
        </is>
      </c>
      <c r="C318" s="5" t="inlineStr">
        <is>
          <t>アトルバスタチン</t>
        </is>
      </c>
      <c r="D318" s="5" t="inlineStr">
        <is>
          <t>オリジナル</t>
        </is>
      </c>
      <c r="E318" s="5" t="inlineStr">
        <is>
          <t>リピトール（オリジナル）</t>
        </is>
      </c>
      <c r="F318" s="5" t="inlineStr">
        <is>
          <t>錠</t>
        </is>
      </c>
      <c r="G318" s="5" t="n">
        <v>69468</v>
      </c>
      <c r="H318" s="5" t="n">
        <v>22.3</v>
      </c>
      <c r="I318" s="5" t="n">
        <v>1547361</v>
      </c>
      <c r="J318" s="5" t="n">
        <v>0.8241000000000001</v>
      </c>
    </row>
    <row r="319">
      <c r="A319" s="4" t="inlineStr">
        <is>
          <t>2026-03</t>
        </is>
      </c>
      <c r="B319" s="4" t="inlineStr">
        <is>
          <t>循環器領域</t>
        </is>
      </c>
      <c r="C319" s="4" t="inlineStr">
        <is>
          <t>アトルバスタチン</t>
        </is>
      </c>
      <c r="D319" s="4" t="inlineStr">
        <is>
          <t>自社</t>
        </is>
      </c>
      <c r="E319" s="4" t="inlineStr">
        <is>
          <t>アトルバスタチンOD錠「サンド」（自社合計）</t>
        </is>
      </c>
      <c r="F319" s="4" t="inlineStr">
        <is>
          <t>錠</t>
        </is>
      </c>
      <c r="G319" s="4" t="n">
        <v>58466</v>
      </c>
      <c r="H319" s="4" t="n">
        <v>16.5</v>
      </c>
      <c r="I319" s="4" t="n">
        <v>964668</v>
      </c>
      <c r="J319" s="4" t="n">
        <v>0.8241000000000001</v>
      </c>
    </row>
    <row r="320">
      <c r="A320" s="5" t="inlineStr">
        <is>
          <t>2026-03</t>
        </is>
      </c>
      <c r="B320" s="5" t="inlineStr">
        <is>
          <t>循環器領域</t>
        </is>
      </c>
      <c r="C320" s="5" t="inlineStr">
        <is>
          <t>アトルバスタチン</t>
        </is>
      </c>
      <c r="D320" s="5" t="inlineStr">
        <is>
          <t>競合A</t>
        </is>
      </c>
      <c r="E320" s="5" t="inlineStr">
        <is>
          <t>競合A社製品</t>
        </is>
      </c>
      <c r="F320" s="5" t="inlineStr">
        <is>
          <t>錠</t>
        </is>
      </c>
      <c r="G320" s="5" t="n">
        <v>137702</v>
      </c>
      <c r="H320" s="5" t="n">
        <v>16.5</v>
      </c>
      <c r="I320" s="5" t="n">
        <v>2272328</v>
      </c>
      <c r="J320" s="5" t="n">
        <v>0.8241000000000001</v>
      </c>
    </row>
    <row r="321">
      <c r="A321" s="4" t="inlineStr">
        <is>
          <t>2026-03</t>
        </is>
      </c>
      <c r="B321" s="4" t="inlineStr">
        <is>
          <t>循環器領域</t>
        </is>
      </c>
      <c r="C321" s="4" t="inlineStr">
        <is>
          <t>アトルバスタチン</t>
        </is>
      </c>
      <c r="D321" s="4" t="inlineStr">
        <is>
          <t>競合B</t>
        </is>
      </c>
      <c r="E321" s="4" t="inlineStr">
        <is>
          <t>競合B社製品</t>
        </is>
      </c>
      <c r="F321" s="4" t="inlineStr">
        <is>
          <t>錠</t>
        </is>
      </c>
      <c r="G321" s="4" t="n">
        <v>129296</v>
      </c>
      <c r="H321" s="4" t="n">
        <v>17.4</v>
      </c>
      <c r="I321" s="4" t="n">
        <v>2244176</v>
      </c>
      <c r="J321" s="4" t="n">
        <v>0.8241000000000001</v>
      </c>
    </row>
    <row r="322">
      <c r="A322" s="5" t="inlineStr">
        <is>
          <t>2026-04</t>
        </is>
      </c>
      <c r="B322" s="5" t="inlineStr">
        <is>
          <t>循環器領域</t>
        </is>
      </c>
      <c r="C322" s="5" t="inlineStr">
        <is>
          <t>アトルバスタチン</t>
        </is>
      </c>
      <c r="D322" s="5" t="inlineStr">
        <is>
          <t>オリジナル</t>
        </is>
      </c>
      <c r="E322" s="5" t="inlineStr">
        <is>
          <t>リピトール（オリジナル）</t>
        </is>
      </c>
      <c r="F322" s="5" t="inlineStr">
        <is>
          <t>錠</t>
        </is>
      </c>
      <c r="G322" s="5" t="n">
        <v>54481</v>
      </c>
      <c r="H322" s="5" t="n">
        <v>20.9</v>
      </c>
      <c r="I322" s="5" t="n">
        <v>1140740</v>
      </c>
      <c r="J322" s="5" t="n">
        <v>0.8421</v>
      </c>
    </row>
    <row r="323">
      <c r="A323" s="4" t="inlineStr">
        <is>
          <t>2026-04</t>
        </is>
      </c>
      <c r="B323" s="4" t="inlineStr">
        <is>
          <t>循環器領域</t>
        </is>
      </c>
      <c r="C323" s="4" t="inlineStr">
        <is>
          <t>アトルバスタチン</t>
        </is>
      </c>
      <c r="D323" s="4" t="inlineStr">
        <is>
          <t>自社</t>
        </is>
      </c>
      <c r="E323" s="4" t="inlineStr">
        <is>
          <t>アトルバスタチンOD錠「サンド」（自社合計）</t>
        </is>
      </c>
      <c r="F323" s="4" t="inlineStr">
        <is>
          <t>錠</t>
        </is>
      </c>
      <c r="G323" s="4" t="n">
        <v>49502</v>
      </c>
      <c r="H323" s="4" t="n">
        <v>15.5</v>
      </c>
      <c r="I323" s="4" t="n">
        <v>767763</v>
      </c>
      <c r="J323" s="4" t="n">
        <v>0.8421</v>
      </c>
    </row>
    <row r="324">
      <c r="A324" s="5" t="inlineStr">
        <is>
          <t>2026-04</t>
        </is>
      </c>
      <c r="B324" s="5" t="inlineStr">
        <is>
          <t>循環器領域</t>
        </is>
      </c>
      <c r="C324" s="5" t="inlineStr">
        <is>
          <t>アトルバスタチン</t>
        </is>
      </c>
      <c r="D324" s="5" t="inlineStr">
        <is>
          <t>競合A</t>
        </is>
      </c>
      <c r="E324" s="5" t="inlineStr">
        <is>
          <t>競合A社製品</t>
        </is>
      </c>
      <c r="F324" s="5" t="inlineStr">
        <is>
          <t>錠</t>
        </is>
      </c>
      <c r="G324" s="5" t="n">
        <v>136736</v>
      </c>
      <c r="H324" s="5" t="n">
        <v>15.5</v>
      </c>
      <c r="I324" s="5" t="n">
        <v>2118328</v>
      </c>
      <c r="J324" s="5" t="n">
        <v>0.8421</v>
      </c>
    </row>
    <row r="325">
      <c r="A325" s="4" t="inlineStr">
        <is>
          <t>2026-04</t>
        </is>
      </c>
      <c r="B325" s="4" t="inlineStr">
        <is>
          <t>循環器領域</t>
        </is>
      </c>
      <c r="C325" s="4" t="inlineStr">
        <is>
          <t>アトルバスタチン</t>
        </is>
      </c>
      <c r="D325" s="4" t="inlineStr">
        <is>
          <t>競合B</t>
        </is>
      </c>
      <c r="E325" s="4" t="inlineStr">
        <is>
          <t>競合B社製品</t>
        </is>
      </c>
      <c r="F325" s="4" t="inlineStr">
        <is>
          <t>錠</t>
        </is>
      </c>
      <c r="G325" s="4" t="n">
        <v>104241</v>
      </c>
      <c r="H325" s="4" t="n">
        <v>15.5</v>
      </c>
      <c r="I325" s="4" t="n">
        <v>1611239</v>
      </c>
      <c r="J325" s="4" t="n">
        <v>0.8421</v>
      </c>
    </row>
    <row r="326">
      <c r="A326" s="5" t="inlineStr">
        <is>
          <t>2026-05</t>
        </is>
      </c>
      <c r="B326" s="5" t="inlineStr">
        <is>
          <t>循環器領域</t>
        </is>
      </c>
      <c r="C326" s="5" t="inlineStr">
        <is>
          <t>アトルバスタチン</t>
        </is>
      </c>
      <c r="D326" s="5" t="inlineStr">
        <is>
          <t>オリジナル</t>
        </is>
      </c>
      <c r="E326" s="5" t="inlineStr">
        <is>
          <t>リピトール（オリジナル）</t>
        </is>
      </c>
      <c r="F326" s="5" t="inlineStr">
        <is>
          <t>錠</t>
        </is>
      </c>
      <c r="G326" s="5" t="n">
        <v>59746</v>
      </c>
      <c r="H326" s="5" t="n">
        <v>20.9</v>
      </c>
      <c r="I326" s="5" t="n">
        <v>1250971</v>
      </c>
      <c r="J326" s="5" t="n">
        <v>0.8323</v>
      </c>
    </row>
    <row r="327">
      <c r="A327" s="4" t="inlineStr">
        <is>
          <t>2026-05</t>
        </is>
      </c>
      <c r="B327" s="4" t="inlineStr">
        <is>
          <t>循環器領域</t>
        </is>
      </c>
      <c r="C327" s="4" t="inlineStr">
        <is>
          <t>アトルバスタチン</t>
        </is>
      </c>
      <c r="D327" s="4" t="inlineStr">
        <is>
          <t>自社</t>
        </is>
      </c>
      <c r="E327" s="4" t="inlineStr">
        <is>
          <t>アトルバスタチンOD錠「サンド」（自社合計）</t>
        </is>
      </c>
      <c r="F327" s="4" t="inlineStr">
        <is>
          <t>錠</t>
        </is>
      </c>
      <c r="G327" s="4" t="n">
        <v>47867</v>
      </c>
      <c r="H327" s="4" t="n">
        <v>15.5</v>
      </c>
      <c r="I327" s="4" t="n">
        <v>742400</v>
      </c>
      <c r="J327" s="4" t="n">
        <v>0.8323</v>
      </c>
    </row>
    <row r="328">
      <c r="A328" s="5" t="inlineStr">
        <is>
          <t>2026-05</t>
        </is>
      </c>
      <c r="B328" s="5" t="inlineStr">
        <is>
          <t>循環器領域</t>
        </is>
      </c>
      <c r="C328" s="5" t="inlineStr">
        <is>
          <t>アトルバスタチン</t>
        </is>
      </c>
      <c r="D328" s="5" t="inlineStr">
        <is>
          <t>競合A</t>
        </is>
      </c>
      <c r="E328" s="5" t="inlineStr">
        <is>
          <t>競合A社製品</t>
        </is>
      </c>
      <c r="F328" s="5" t="inlineStr">
        <is>
          <t>錠</t>
        </is>
      </c>
      <c r="G328" s="5" t="n">
        <v>141666</v>
      </c>
      <c r="H328" s="5" t="n">
        <v>15.8</v>
      </c>
      <c r="I328" s="5" t="n">
        <v>2244884</v>
      </c>
      <c r="J328" s="5" t="n">
        <v>0.8323</v>
      </c>
    </row>
    <row r="329">
      <c r="A329" s="4" t="inlineStr">
        <is>
          <t>2026-05</t>
        </is>
      </c>
      <c r="B329" s="4" t="inlineStr">
        <is>
          <t>循環器領域</t>
        </is>
      </c>
      <c r="C329" s="4" t="inlineStr">
        <is>
          <t>アトルバスタチン</t>
        </is>
      </c>
      <c r="D329" s="4" t="inlineStr">
        <is>
          <t>競合B</t>
        </is>
      </c>
      <c r="E329" s="4" t="inlineStr">
        <is>
          <t>競合B社製品</t>
        </is>
      </c>
      <c r="F329" s="4" t="inlineStr">
        <is>
          <t>錠</t>
        </is>
      </c>
      <c r="G329" s="4" t="n">
        <v>106885</v>
      </c>
      <c r="H329" s="4" t="n">
        <v>15.6</v>
      </c>
      <c r="I329" s="4" t="n">
        <v>1669903</v>
      </c>
      <c r="J329" s="4" t="n">
        <v>0.8323</v>
      </c>
    </row>
    <row r="330">
      <c r="A330" s="5" t="inlineStr">
        <is>
          <t>2023-01</t>
        </is>
      </c>
      <c r="B330" s="5" t="inlineStr">
        <is>
          <t>腫瘍支持療法領域</t>
        </is>
      </c>
      <c r="C330" s="5" t="inlineStr">
        <is>
          <t>フィルグラスチム</t>
        </is>
      </c>
      <c r="D330" s="5" t="inlineStr">
        <is>
          <t>オリジナル</t>
        </is>
      </c>
      <c r="E330" s="5" t="inlineStr">
        <is>
          <t>グラン（オリジナル）</t>
        </is>
      </c>
      <c r="F330" s="5" t="inlineStr">
        <is>
          <t>注射剤</t>
        </is>
      </c>
      <c r="G330" s="5" t="n">
        <v>7406</v>
      </c>
      <c r="H330" s="5" t="n">
        <v>10125</v>
      </c>
      <c r="I330" s="5" t="n">
        <v>74983130</v>
      </c>
      <c r="J330" s="5" t="n">
        <v>0.06900000000000001</v>
      </c>
    </row>
    <row r="331">
      <c r="A331" s="4" t="inlineStr">
        <is>
          <t>2023-01</t>
        </is>
      </c>
      <c r="B331" s="4" t="inlineStr">
        <is>
          <t>腫瘍支持療法領域</t>
        </is>
      </c>
      <c r="C331" s="4" t="inlineStr">
        <is>
          <t>フィルグラスチム</t>
        </is>
      </c>
      <c r="D331" s="4" t="inlineStr">
        <is>
          <t>自社</t>
        </is>
      </c>
      <c r="E331" s="4" t="inlineStr">
        <is>
          <t>フィルグラスチムBS注「サンド」（自社合計）</t>
        </is>
      </c>
      <c r="F331" s="4" t="inlineStr">
        <is>
          <t>注射剤</t>
        </is>
      </c>
      <c r="G331" s="4" t="n">
        <v>108</v>
      </c>
      <c r="H331" s="4" t="n">
        <v>7500</v>
      </c>
      <c r="I331" s="4" t="n">
        <v>809991</v>
      </c>
      <c r="J331" s="4" t="n">
        <v>0.06900000000000001</v>
      </c>
    </row>
    <row r="332">
      <c r="A332" s="5" t="inlineStr">
        <is>
          <t>2023-01</t>
        </is>
      </c>
      <c r="B332" s="5" t="inlineStr">
        <is>
          <t>腫瘍支持療法領域</t>
        </is>
      </c>
      <c r="C332" s="5" t="inlineStr">
        <is>
          <t>フィルグラスチム</t>
        </is>
      </c>
      <c r="D332" s="5" t="inlineStr">
        <is>
          <t>競合A</t>
        </is>
      </c>
      <c r="E332" s="5" t="inlineStr">
        <is>
          <t>競合A社製品</t>
        </is>
      </c>
      <c r="F332" s="5" t="inlineStr">
        <is>
          <t>注射剤</t>
        </is>
      </c>
      <c r="G332" s="5" t="n">
        <v>255</v>
      </c>
      <c r="H332" s="5" t="n">
        <v>7225.3</v>
      </c>
      <c r="I332" s="5" t="n">
        <v>1839668</v>
      </c>
      <c r="J332" s="5" t="n">
        <v>0.06900000000000001</v>
      </c>
    </row>
    <row r="333">
      <c r="A333" s="4" t="inlineStr">
        <is>
          <t>2023-01</t>
        </is>
      </c>
      <c r="B333" s="4" t="inlineStr">
        <is>
          <t>腫瘍支持療法領域</t>
        </is>
      </c>
      <c r="C333" s="4" t="inlineStr">
        <is>
          <t>フィルグラスチム</t>
        </is>
      </c>
      <c r="D333" s="4" t="inlineStr">
        <is>
          <t>競合B</t>
        </is>
      </c>
      <c r="E333" s="4" t="inlineStr">
        <is>
          <t>競合B社製品</t>
        </is>
      </c>
      <c r="F333" s="4" t="inlineStr">
        <is>
          <t>注射剤</t>
        </is>
      </c>
      <c r="G333" s="4" t="n">
        <v>186</v>
      </c>
      <c r="H333" s="4" t="n">
        <v>7449.7</v>
      </c>
      <c r="I333" s="4" t="n">
        <v>1384481</v>
      </c>
      <c r="J333" s="4" t="n">
        <v>0.06900000000000001</v>
      </c>
    </row>
    <row r="334">
      <c r="A334" s="5" t="inlineStr">
        <is>
          <t>2023-02</t>
        </is>
      </c>
      <c r="B334" s="5" t="inlineStr">
        <is>
          <t>腫瘍支持療法領域</t>
        </is>
      </c>
      <c r="C334" s="5" t="inlineStr">
        <is>
          <t>フィルグラスチム</t>
        </is>
      </c>
      <c r="D334" s="5" t="inlineStr">
        <is>
          <t>オリジナル</t>
        </is>
      </c>
      <c r="E334" s="5" t="inlineStr">
        <is>
          <t>グラン（オリジナル）</t>
        </is>
      </c>
      <c r="F334" s="5" t="inlineStr">
        <is>
          <t>注射剤</t>
        </is>
      </c>
      <c r="G334" s="5" t="n">
        <v>7252</v>
      </c>
      <c r="H334" s="5" t="n">
        <v>10125</v>
      </c>
      <c r="I334" s="5" t="n">
        <v>73428217</v>
      </c>
      <c r="J334" s="5" t="n">
        <v>0.0573</v>
      </c>
    </row>
    <row r="335">
      <c r="A335" s="4" t="inlineStr">
        <is>
          <t>2023-02</t>
        </is>
      </c>
      <c r="B335" s="4" t="inlineStr">
        <is>
          <t>腫瘍支持療法領域</t>
        </is>
      </c>
      <c r="C335" s="4" t="inlineStr">
        <is>
          <t>フィルグラスチム</t>
        </is>
      </c>
      <c r="D335" s="4" t="inlineStr">
        <is>
          <t>自社</t>
        </is>
      </c>
      <c r="E335" s="4" t="inlineStr">
        <is>
          <t>フィルグラスチムBS注「サンド」（自社合計）</t>
        </is>
      </c>
      <c r="F335" s="4" t="inlineStr">
        <is>
          <t>注射剤</t>
        </is>
      </c>
      <c r="G335" s="4" t="n">
        <v>95</v>
      </c>
      <c r="H335" s="4" t="n">
        <v>7500</v>
      </c>
      <c r="I335" s="4" t="n">
        <v>710142</v>
      </c>
      <c r="J335" s="4" t="n">
        <v>0.0573</v>
      </c>
    </row>
    <row r="336">
      <c r="A336" s="5" t="inlineStr">
        <is>
          <t>2023-02</t>
        </is>
      </c>
      <c r="B336" s="5" t="inlineStr">
        <is>
          <t>腫瘍支持療法領域</t>
        </is>
      </c>
      <c r="C336" s="5" t="inlineStr">
        <is>
          <t>フィルグラスチム</t>
        </is>
      </c>
      <c r="D336" s="5" t="inlineStr">
        <is>
          <t>競合A</t>
        </is>
      </c>
      <c r="E336" s="5" t="inlineStr">
        <is>
          <t>競合A社製品</t>
        </is>
      </c>
      <c r="F336" s="5" t="inlineStr">
        <is>
          <t>注射剤</t>
        </is>
      </c>
      <c r="G336" s="5" t="n">
        <v>200</v>
      </c>
      <c r="H336" s="5" t="n">
        <v>7392.1</v>
      </c>
      <c r="I336" s="5" t="n">
        <v>1475584</v>
      </c>
      <c r="J336" s="5" t="n">
        <v>0.0573</v>
      </c>
    </row>
    <row r="337">
      <c r="A337" s="4" t="inlineStr">
        <is>
          <t>2023-02</t>
        </is>
      </c>
      <c r="B337" s="4" t="inlineStr">
        <is>
          <t>腫瘍支持療法領域</t>
        </is>
      </c>
      <c r="C337" s="4" t="inlineStr">
        <is>
          <t>フィルグラスチム</t>
        </is>
      </c>
      <c r="D337" s="4" t="inlineStr">
        <is>
          <t>競合B</t>
        </is>
      </c>
      <c r="E337" s="4" t="inlineStr">
        <is>
          <t>競合B社製品</t>
        </is>
      </c>
      <c r="F337" s="4" t="inlineStr">
        <is>
          <t>注射剤</t>
        </is>
      </c>
      <c r="G337" s="4" t="n">
        <v>146</v>
      </c>
      <c r="H337" s="4" t="n">
        <v>7274.6</v>
      </c>
      <c r="I337" s="4" t="n">
        <v>1065196</v>
      </c>
      <c r="J337" s="4" t="n">
        <v>0.0573</v>
      </c>
    </row>
    <row r="338">
      <c r="A338" s="5" t="inlineStr">
        <is>
          <t>2023-03</t>
        </is>
      </c>
      <c r="B338" s="5" t="inlineStr">
        <is>
          <t>腫瘍支持療法領域</t>
        </is>
      </c>
      <c r="C338" s="5" t="inlineStr">
        <is>
          <t>フィルグラスチム</t>
        </is>
      </c>
      <c r="D338" s="5" t="inlineStr">
        <is>
          <t>オリジナル</t>
        </is>
      </c>
      <c r="E338" s="5" t="inlineStr">
        <is>
          <t>グラン（オリジナル）</t>
        </is>
      </c>
      <c r="F338" s="5" t="inlineStr">
        <is>
          <t>注射剤</t>
        </is>
      </c>
      <c r="G338" s="5" t="n">
        <v>7537</v>
      </c>
      <c r="H338" s="5" t="n">
        <v>10125</v>
      </c>
      <c r="I338" s="5" t="n">
        <v>76311892</v>
      </c>
      <c r="J338" s="5" t="n">
        <v>0.07539999999999999</v>
      </c>
    </row>
    <row r="339">
      <c r="A339" s="4" t="inlineStr">
        <is>
          <t>2023-03</t>
        </is>
      </c>
      <c r="B339" s="4" t="inlineStr">
        <is>
          <t>腫瘍支持療法領域</t>
        </is>
      </c>
      <c r="C339" s="4" t="inlineStr">
        <is>
          <t>フィルグラスチム</t>
        </is>
      </c>
      <c r="D339" s="4" t="inlineStr">
        <is>
          <t>自社</t>
        </is>
      </c>
      <c r="E339" s="4" t="inlineStr">
        <is>
          <t>フィルグラスチムBS注「サンド」（自社合計）</t>
        </is>
      </c>
      <c r="F339" s="4" t="inlineStr">
        <is>
          <t>注射剤</t>
        </is>
      </c>
      <c r="G339" s="4" t="n">
        <v>139</v>
      </c>
      <c r="H339" s="4" t="n">
        <v>7500</v>
      </c>
      <c r="I339" s="4" t="n">
        <v>1045135</v>
      </c>
      <c r="J339" s="4" t="n">
        <v>0.07539999999999999</v>
      </c>
    </row>
    <row r="340">
      <c r="A340" s="5" t="inlineStr">
        <is>
          <t>2023-03</t>
        </is>
      </c>
      <c r="B340" s="5" t="inlineStr">
        <is>
          <t>腫瘍支持療法領域</t>
        </is>
      </c>
      <c r="C340" s="5" t="inlineStr">
        <is>
          <t>フィルグラスチム</t>
        </is>
      </c>
      <c r="D340" s="5" t="inlineStr">
        <is>
          <t>競合A</t>
        </is>
      </c>
      <c r="E340" s="5" t="inlineStr">
        <is>
          <t>競合A社製品</t>
        </is>
      </c>
      <c r="F340" s="5" t="inlineStr">
        <is>
          <t>注射剤</t>
        </is>
      </c>
      <c r="G340" s="5" t="n">
        <v>268</v>
      </c>
      <c r="H340" s="5" t="n">
        <v>7416.1</v>
      </c>
      <c r="I340" s="5" t="n">
        <v>1985925</v>
      </c>
      <c r="J340" s="5" t="n">
        <v>0.07539999999999999</v>
      </c>
    </row>
    <row r="341">
      <c r="A341" s="4" t="inlineStr">
        <is>
          <t>2023-03</t>
        </is>
      </c>
      <c r="B341" s="4" t="inlineStr">
        <is>
          <t>腫瘍支持療法領域</t>
        </is>
      </c>
      <c r="C341" s="4" t="inlineStr">
        <is>
          <t>フィルグラスチム</t>
        </is>
      </c>
      <c r="D341" s="4" t="inlineStr">
        <is>
          <t>競合B</t>
        </is>
      </c>
      <c r="E341" s="4" t="inlineStr">
        <is>
          <t>競合B社製品</t>
        </is>
      </c>
      <c r="F341" s="4" t="inlineStr">
        <is>
          <t>注射剤</t>
        </is>
      </c>
      <c r="G341" s="4" t="n">
        <v>208</v>
      </c>
      <c r="H341" s="4" t="n">
        <v>7569.8</v>
      </c>
      <c r="I341" s="4" t="n">
        <v>1573122</v>
      </c>
      <c r="J341" s="4" t="n">
        <v>0.07539999999999999</v>
      </c>
    </row>
    <row r="342">
      <c r="A342" s="5" t="inlineStr">
        <is>
          <t>2023-04</t>
        </is>
      </c>
      <c r="B342" s="5" t="inlineStr">
        <is>
          <t>腫瘍支持療法領域</t>
        </is>
      </c>
      <c r="C342" s="5" t="inlineStr">
        <is>
          <t>フィルグラスチム</t>
        </is>
      </c>
      <c r="D342" s="5" t="inlineStr">
        <is>
          <t>オリジナル</t>
        </is>
      </c>
      <c r="E342" s="5" t="inlineStr">
        <is>
          <t>グラン（オリジナル）</t>
        </is>
      </c>
      <c r="F342" s="5" t="inlineStr">
        <is>
          <t>注射剤</t>
        </is>
      </c>
      <c r="G342" s="5" t="n">
        <v>6749</v>
      </c>
      <c r="H342" s="5" t="n">
        <v>10125</v>
      </c>
      <c r="I342" s="5" t="n">
        <v>68338058</v>
      </c>
      <c r="J342" s="5" t="n">
        <v>0.08740000000000001</v>
      </c>
    </row>
    <row r="343">
      <c r="A343" s="4" t="inlineStr">
        <is>
          <t>2023-04</t>
        </is>
      </c>
      <c r="B343" s="4" t="inlineStr">
        <is>
          <t>腫瘍支持療法領域</t>
        </is>
      </c>
      <c r="C343" s="4" t="inlineStr">
        <is>
          <t>フィルグラスチム</t>
        </is>
      </c>
      <c r="D343" s="4" t="inlineStr">
        <is>
          <t>自社</t>
        </is>
      </c>
      <c r="E343" s="4" t="inlineStr">
        <is>
          <t>フィルグラスチムBS注「サンド」（自社合計）</t>
        </is>
      </c>
      <c r="F343" s="4" t="inlineStr">
        <is>
          <t>注射剤</t>
        </is>
      </c>
      <c r="G343" s="4" t="n">
        <v>132</v>
      </c>
      <c r="H343" s="4" t="n">
        <v>7500</v>
      </c>
      <c r="I343" s="4" t="n">
        <v>991580</v>
      </c>
      <c r="J343" s="4" t="n">
        <v>0.08740000000000001</v>
      </c>
    </row>
    <row r="344">
      <c r="A344" s="5" t="inlineStr">
        <is>
          <t>2023-04</t>
        </is>
      </c>
      <c r="B344" s="5" t="inlineStr">
        <is>
          <t>腫瘍支持療法領域</t>
        </is>
      </c>
      <c r="C344" s="5" t="inlineStr">
        <is>
          <t>フィルグラスチム</t>
        </is>
      </c>
      <c r="D344" s="5" t="inlineStr">
        <is>
          <t>競合A</t>
        </is>
      </c>
      <c r="E344" s="5" t="inlineStr">
        <is>
          <t>競合A社製品</t>
        </is>
      </c>
      <c r="F344" s="5" t="inlineStr">
        <is>
          <t>注射剤</t>
        </is>
      </c>
      <c r="G344" s="5" t="n">
        <v>281</v>
      </c>
      <c r="H344" s="5" t="n">
        <v>7618.6</v>
      </c>
      <c r="I344" s="5" t="n">
        <v>2143656</v>
      </c>
      <c r="J344" s="5" t="n">
        <v>0.08740000000000001</v>
      </c>
    </row>
    <row r="345">
      <c r="A345" s="4" t="inlineStr">
        <is>
          <t>2023-04</t>
        </is>
      </c>
      <c r="B345" s="4" t="inlineStr">
        <is>
          <t>腫瘍支持療法領域</t>
        </is>
      </c>
      <c r="C345" s="4" t="inlineStr">
        <is>
          <t>フィルグラスチム</t>
        </is>
      </c>
      <c r="D345" s="4" t="inlineStr">
        <is>
          <t>競合B</t>
        </is>
      </c>
      <c r="E345" s="4" t="inlineStr">
        <is>
          <t>競合B社製品</t>
        </is>
      </c>
      <c r="F345" s="4" t="inlineStr">
        <is>
          <t>注射剤</t>
        </is>
      </c>
      <c r="G345" s="4" t="n">
        <v>233</v>
      </c>
      <c r="H345" s="4" t="n">
        <v>7551.7</v>
      </c>
      <c r="I345" s="4" t="n">
        <v>1756723</v>
      </c>
      <c r="J345" s="4" t="n">
        <v>0.08740000000000001</v>
      </c>
    </row>
    <row r="346">
      <c r="A346" s="5" t="inlineStr">
        <is>
          <t>2023-05</t>
        </is>
      </c>
      <c r="B346" s="5" t="inlineStr">
        <is>
          <t>腫瘍支持療法領域</t>
        </is>
      </c>
      <c r="C346" s="5" t="inlineStr">
        <is>
          <t>フィルグラスチム</t>
        </is>
      </c>
      <c r="D346" s="5" t="inlineStr">
        <is>
          <t>オリジナル</t>
        </is>
      </c>
      <c r="E346" s="5" t="inlineStr">
        <is>
          <t>グラン（オリジナル）</t>
        </is>
      </c>
      <c r="F346" s="5" t="inlineStr">
        <is>
          <t>注射剤</t>
        </is>
      </c>
      <c r="G346" s="5" t="n">
        <v>7390</v>
      </c>
      <c r="H346" s="5" t="n">
        <v>10125</v>
      </c>
      <c r="I346" s="5" t="n">
        <v>74824393</v>
      </c>
      <c r="J346" s="5" t="n">
        <v>0.09379999999999999</v>
      </c>
    </row>
    <row r="347">
      <c r="A347" s="4" t="inlineStr">
        <is>
          <t>2023-05</t>
        </is>
      </c>
      <c r="B347" s="4" t="inlineStr">
        <is>
          <t>腫瘍支持療法領域</t>
        </is>
      </c>
      <c r="C347" s="4" t="inlineStr">
        <is>
          <t>フィルグラスチム</t>
        </is>
      </c>
      <c r="D347" s="4" t="inlineStr">
        <is>
          <t>自社</t>
        </is>
      </c>
      <c r="E347" s="4" t="inlineStr">
        <is>
          <t>フィルグラスチムBS注「サンド」（自社合計）</t>
        </is>
      </c>
      <c r="F347" s="4" t="inlineStr">
        <is>
          <t>注射剤</t>
        </is>
      </c>
      <c r="G347" s="4" t="n">
        <v>164</v>
      </c>
      <c r="H347" s="4" t="n">
        <v>7500</v>
      </c>
      <c r="I347" s="4" t="n">
        <v>1226907</v>
      </c>
      <c r="J347" s="4" t="n">
        <v>0.09379999999999999</v>
      </c>
    </row>
    <row r="348">
      <c r="A348" s="5" t="inlineStr">
        <is>
          <t>2023-05</t>
        </is>
      </c>
      <c r="B348" s="5" t="inlineStr">
        <is>
          <t>腫瘍支持療法領域</t>
        </is>
      </c>
      <c r="C348" s="5" t="inlineStr">
        <is>
          <t>フィルグラスチム</t>
        </is>
      </c>
      <c r="D348" s="5" t="inlineStr">
        <is>
          <t>競合A</t>
        </is>
      </c>
      <c r="E348" s="5" t="inlineStr">
        <is>
          <t>競合A社製品</t>
        </is>
      </c>
      <c r="F348" s="5" t="inlineStr">
        <is>
          <t>注射剤</t>
        </is>
      </c>
      <c r="G348" s="5" t="n">
        <v>360</v>
      </c>
      <c r="H348" s="5" t="n">
        <v>7354.5</v>
      </c>
      <c r="I348" s="5" t="n">
        <v>2649812</v>
      </c>
      <c r="J348" s="5" t="n">
        <v>0.09379999999999999</v>
      </c>
    </row>
    <row r="349">
      <c r="A349" s="4" t="inlineStr">
        <is>
          <t>2023-05</t>
        </is>
      </c>
      <c r="B349" s="4" t="inlineStr">
        <is>
          <t>腫瘍支持療法領域</t>
        </is>
      </c>
      <c r="C349" s="4" t="inlineStr">
        <is>
          <t>フィルグラスチム</t>
        </is>
      </c>
      <c r="D349" s="4" t="inlineStr">
        <is>
          <t>競合B</t>
        </is>
      </c>
      <c r="E349" s="4" t="inlineStr">
        <is>
          <t>競合B社製品</t>
        </is>
      </c>
      <c r="F349" s="4" t="inlineStr">
        <is>
          <t>注射剤</t>
        </is>
      </c>
      <c r="G349" s="4" t="n">
        <v>241</v>
      </c>
      <c r="H349" s="4" t="n">
        <v>7366.8</v>
      </c>
      <c r="I349" s="4" t="n">
        <v>1777874</v>
      </c>
      <c r="J349" s="4" t="n">
        <v>0.09379999999999999</v>
      </c>
    </row>
    <row r="350">
      <c r="A350" s="5" t="inlineStr">
        <is>
          <t>2023-06</t>
        </is>
      </c>
      <c r="B350" s="5" t="inlineStr">
        <is>
          <t>腫瘍支持療法領域</t>
        </is>
      </c>
      <c r="C350" s="5" t="inlineStr">
        <is>
          <t>フィルグラスチム</t>
        </is>
      </c>
      <c r="D350" s="5" t="inlineStr">
        <is>
          <t>オリジナル</t>
        </is>
      </c>
      <c r="E350" s="5" t="inlineStr">
        <is>
          <t>グラン（オリジナル）</t>
        </is>
      </c>
      <c r="F350" s="5" t="inlineStr">
        <is>
          <t>注射剤</t>
        </is>
      </c>
      <c r="G350" s="5" t="n">
        <v>7364</v>
      </c>
      <c r="H350" s="5" t="n">
        <v>10125</v>
      </c>
      <c r="I350" s="5" t="n">
        <v>74561145</v>
      </c>
      <c r="J350" s="5" t="n">
        <v>0.1101</v>
      </c>
    </row>
    <row r="351">
      <c r="A351" s="4" t="inlineStr">
        <is>
          <t>2023-06</t>
        </is>
      </c>
      <c r="B351" s="4" t="inlineStr">
        <is>
          <t>腫瘍支持療法領域</t>
        </is>
      </c>
      <c r="C351" s="4" t="inlineStr">
        <is>
          <t>フィルグラスチム</t>
        </is>
      </c>
      <c r="D351" s="4" t="inlineStr">
        <is>
          <t>自社</t>
        </is>
      </c>
      <c r="E351" s="4" t="inlineStr">
        <is>
          <t>フィルグラスチムBS注「サンド」（自社合計）</t>
        </is>
      </c>
      <c r="F351" s="4" t="inlineStr">
        <is>
          <t>注射剤</t>
        </is>
      </c>
      <c r="G351" s="4" t="n">
        <v>200</v>
      </c>
      <c r="H351" s="4" t="n">
        <v>7500</v>
      </c>
      <c r="I351" s="4" t="n">
        <v>1503319</v>
      </c>
      <c r="J351" s="4" t="n">
        <v>0.1101</v>
      </c>
    </row>
    <row r="352">
      <c r="A352" s="5" t="inlineStr">
        <is>
          <t>2023-06</t>
        </is>
      </c>
      <c r="B352" s="5" t="inlineStr">
        <is>
          <t>腫瘍支持療法領域</t>
        </is>
      </c>
      <c r="C352" s="5" t="inlineStr">
        <is>
          <t>フィルグラスチム</t>
        </is>
      </c>
      <c r="D352" s="5" t="inlineStr">
        <is>
          <t>競合A</t>
        </is>
      </c>
      <c r="E352" s="5" t="inlineStr">
        <is>
          <t>競合A社製品</t>
        </is>
      </c>
      <c r="F352" s="5" t="inlineStr">
        <is>
          <t>注射剤</t>
        </is>
      </c>
      <c r="G352" s="5" t="n">
        <v>381</v>
      </c>
      <c r="H352" s="5" t="n">
        <v>7718.3</v>
      </c>
      <c r="I352" s="5" t="n">
        <v>2943305</v>
      </c>
      <c r="J352" s="5" t="n">
        <v>0.1101</v>
      </c>
    </row>
    <row r="353">
      <c r="A353" s="4" t="inlineStr">
        <is>
          <t>2023-06</t>
        </is>
      </c>
      <c r="B353" s="4" t="inlineStr">
        <is>
          <t>腫瘍支持療法領域</t>
        </is>
      </c>
      <c r="C353" s="4" t="inlineStr">
        <is>
          <t>フィルグラスチム</t>
        </is>
      </c>
      <c r="D353" s="4" t="inlineStr">
        <is>
          <t>競合B</t>
        </is>
      </c>
      <c r="E353" s="4" t="inlineStr">
        <is>
          <t>競合B社製品</t>
        </is>
      </c>
      <c r="F353" s="4" t="inlineStr">
        <is>
          <t>注射剤</t>
        </is>
      </c>
      <c r="G353" s="4" t="n">
        <v>329</v>
      </c>
      <c r="H353" s="4" t="n">
        <v>7519.7</v>
      </c>
      <c r="I353" s="4" t="n">
        <v>2475180</v>
      </c>
      <c r="J353" s="4" t="n">
        <v>0.1101</v>
      </c>
    </row>
    <row r="354">
      <c r="A354" s="5" t="inlineStr">
        <is>
          <t>2023-07</t>
        </is>
      </c>
      <c r="B354" s="5" t="inlineStr">
        <is>
          <t>腫瘍支持療法領域</t>
        </is>
      </c>
      <c r="C354" s="5" t="inlineStr">
        <is>
          <t>フィルグラスチム</t>
        </is>
      </c>
      <c r="D354" s="5" t="inlineStr">
        <is>
          <t>オリジナル</t>
        </is>
      </c>
      <c r="E354" s="5" t="inlineStr">
        <is>
          <t>グラン（オリジナル）</t>
        </is>
      </c>
      <c r="F354" s="5" t="inlineStr">
        <is>
          <t>注射剤</t>
        </is>
      </c>
      <c r="G354" s="5" t="n">
        <v>6979</v>
      </c>
      <c r="H354" s="5" t="n">
        <v>10125</v>
      </c>
      <c r="I354" s="5" t="n">
        <v>70658395</v>
      </c>
      <c r="J354" s="5" t="n">
        <v>0.1399</v>
      </c>
    </row>
    <row r="355">
      <c r="A355" s="4" t="inlineStr">
        <is>
          <t>2023-07</t>
        </is>
      </c>
      <c r="B355" s="4" t="inlineStr">
        <is>
          <t>腫瘍支持療法領域</t>
        </is>
      </c>
      <c r="C355" s="4" t="inlineStr">
        <is>
          <t>フィルグラスチム</t>
        </is>
      </c>
      <c r="D355" s="4" t="inlineStr">
        <is>
          <t>自社</t>
        </is>
      </c>
      <c r="E355" s="4" t="inlineStr">
        <is>
          <t>フィルグラスチムBS注「サンド」（自社合計）</t>
        </is>
      </c>
      <c r="F355" s="4" t="inlineStr">
        <is>
          <t>注射剤</t>
        </is>
      </c>
      <c r="G355" s="4" t="n">
        <v>231</v>
      </c>
      <c r="H355" s="4" t="n">
        <v>7500</v>
      </c>
      <c r="I355" s="4" t="n">
        <v>1732626</v>
      </c>
      <c r="J355" s="4" t="n">
        <v>0.1399</v>
      </c>
    </row>
    <row r="356">
      <c r="A356" s="5" t="inlineStr">
        <is>
          <t>2023-07</t>
        </is>
      </c>
      <c r="B356" s="5" t="inlineStr">
        <is>
          <t>腫瘍支持療法領域</t>
        </is>
      </c>
      <c r="C356" s="5" t="inlineStr">
        <is>
          <t>フィルグラスチム</t>
        </is>
      </c>
      <c r="D356" s="5" t="inlineStr">
        <is>
          <t>競合A</t>
        </is>
      </c>
      <c r="E356" s="5" t="inlineStr">
        <is>
          <t>競合A社製品</t>
        </is>
      </c>
      <c r="F356" s="5" t="inlineStr">
        <is>
          <t>注射剤</t>
        </is>
      </c>
      <c r="G356" s="5" t="n">
        <v>472</v>
      </c>
      <c r="H356" s="5" t="n">
        <v>7432.7</v>
      </c>
      <c r="I356" s="5" t="n">
        <v>3504839</v>
      </c>
      <c r="J356" s="5" t="n">
        <v>0.1399</v>
      </c>
    </row>
    <row r="357">
      <c r="A357" s="4" t="inlineStr">
        <is>
          <t>2023-07</t>
        </is>
      </c>
      <c r="B357" s="4" t="inlineStr">
        <is>
          <t>腫瘍支持療法領域</t>
        </is>
      </c>
      <c r="C357" s="4" t="inlineStr">
        <is>
          <t>フィルグラスチム</t>
        </is>
      </c>
      <c r="D357" s="4" t="inlineStr">
        <is>
          <t>競合B</t>
        </is>
      </c>
      <c r="E357" s="4" t="inlineStr">
        <is>
          <t>競合B社製品</t>
        </is>
      </c>
      <c r="F357" s="4" t="inlineStr">
        <is>
          <t>注射剤</t>
        </is>
      </c>
      <c r="G357" s="4" t="n">
        <v>432</v>
      </c>
      <c r="H357" s="4" t="n">
        <v>7567.9</v>
      </c>
      <c r="I357" s="4" t="n">
        <v>3270824</v>
      </c>
      <c r="J357" s="4" t="n">
        <v>0.1399</v>
      </c>
    </row>
    <row r="358">
      <c r="A358" s="5" t="inlineStr">
        <is>
          <t>2023-08</t>
        </is>
      </c>
      <c r="B358" s="5" t="inlineStr">
        <is>
          <t>腫瘍支持療法領域</t>
        </is>
      </c>
      <c r="C358" s="5" t="inlineStr">
        <is>
          <t>フィルグラスチム</t>
        </is>
      </c>
      <c r="D358" s="5" t="inlineStr">
        <is>
          <t>オリジナル</t>
        </is>
      </c>
      <c r="E358" s="5" t="inlineStr">
        <is>
          <t>グラン（オリジナル）</t>
        </is>
      </c>
      <c r="F358" s="5" t="inlineStr">
        <is>
          <t>注射剤</t>
        </is>
      </c>
      <c r="G358" s="5" t="n">
        <v>6705</v>
      </c>
      <c r="H358" s="5" t="n">
        <v>10125</v>
      </c>
      <c r="I358" s="5" t="n">
        <v>67887111</v>
      </c>
      <c r="J358" s="5" t="n">
        <v>0.1438</v>
      </c>
    </row>
    <row r="359">
      <c r="A359" s="4" t="inlineStr">
        <is>
          <t>2023-08</t>
        </is>
      </c>
      <c r="B359" s="4" t="inlineStr">
        <is>
          <t>腫瘍支持療法領域</t>
        </is>
      </c>
      <c r="C359" s="4" t="inlineStr">
        <is>
          <t>フィルグラスチム</t>
        </is>
      </c>
      <c r="D359" s="4" t="inlineStr">
        <is>
          <t>自社</t>
        </is>
      </c>
      <c r="E359" s="4" t="inlineStr">
        <is>
          <t>フィルグラスチムBS注「サンド」（自社合計）</t>
        </is>
      </c>
      <c r="F359" s="4" t="inlineStr">
        <is>
          <t>注射剤</t>
        </is>
      </c>
      <c r="G359" s="4" t="n">
        <v>229</v>
      </c>
      <c r="H359" s="4" t="n">
        <v>7500</v>
      </c>
      <c r="I359" s="4" t="n">
        <v>1713899</v>
      </c>
      <c r="J359" s="4" t="n">
        <v>0.1438</v>
      </c>
    </row>
    <row r="360">
      <c r="A360" s="5" t="inlineStr">
        <is>
          <t>2023-08</t>
        </is>
      </c>
      <c r="B360" s="5" t="inlineStr">
        <is>
          <t>腫瘍支持療法領域</t>
        </is>
      </c>
      <c r="C360" s="5" t="inlineStr">
        <is>
          <t>フィルグラスチム</t>
        </is>
      </c>
      <c r="D360" s="5" t="inlineStr">
        <is>
          <t>競合A</t>
        </is>
      </c>
      <c r="E360" s="5" t="inlineStr">
        <is>
          <t>競合A社製品</t>
        </is>
      </c>
      <c r="F360" s="5" t="inlineStr">
        <is>
          <t>注射剤</t>
        </is>
      </c>
      <c r="G360" s="5" t="n">
        <v>524</v>
      </c>
      <c r="H360" s="5" t="n">
        <v>7140.9</v>
      </c>
      <c r="I360" s="5" t="n">
        <v>3744033</v>
      </c>
      <c r="J360" s="5" t="n">
        <v>0.1438</v>
      </c>
    </row>
    <row r="361">
      <c r="A361" s="4" t="inlineStr">
        <is>
          <t>2023-08</t>
        </is>
      </c>
      <c r="B361" s="4" t="inlineStr">
        <is>
          <t>腫瘍支持療法領域</t>
        </is>
      </c>
      <c r="C361" s="4" t="inlineStr">
        <is>
          <t>フィルグラスチム</t>
        </is>
      </c>
      <c r="D361" s="4" t="inlineStr">
        <is>
          <t>競合B</t>
        </is>
      </c>
      <c r="E361" s="4" t="inlineStr">
        <is>
          <t>競合B社製品</t>
        </is>
      </c>
      <c r="F361" s="4" t="inlineStr">
        <is>
          <t>注射剤</t>
        </is>
      </c>
      <c r="G361" s="4" t="n">
        <v>373</v>
      </c>
      <c r="H361" s="4" t="n">
        <v>7382</v>
      </c>
      <c r="I361" s="4" t="n">
        <v>2752123</v>
      </c>
      <c r="J361" s="4" t="n">
        <v>0.1438</v>
      </c>
    </row>
    <row r="362">
      <c r="A362" s="5" t="inlineStr">
        <is>
          <t>2023-09</t>
        </is>
      </c>
      <c r="B362" s="5" t="inlineStr">
        <is>
          <t>腫瘍支持療法領域</t>
        </is>
      </c>
      <c r="C362" s="5" t="inlineStr">
        <is>
          <t>フィルグラスチム</t>
        </is>
      </c>
      <c r="D362" s="5" t="inlineStr">
        <is>
          <t>オリジナル</t>
        </is>
      </c>
      <c r="E362" s="5" t="inlineStr">
        <is>
          <t>グラン（オリジナル）</t>
        </is>
      </c>
      <c r="F362" s="5" t="inlineStr">
        <is>
          <t>注射剤</t>
        </is>
      </c>
      <c r="G362" s="5" t="n">
        <v>6702</v>
      </c>
      <c r="H362" s="5" t="n">
        <v>10125</v>
      </c>
      <c r="I362" s="5" t="n">
        <v>67861907</v>
      </c>
      <c r="J362" s="5" t="n">
        <v>0.1432</v>
      </c>
    </row>
    <row r="363">
      <c r="A363" s="4" t="inlineStr">
        <is>
          <t>2023-09</t>
        </is>
      </c>
      <c r="B363" s="4" t="inlineStr">
        <is>
          <t>腫瘍支持療法領域</t>
        </is>
      </c>
      <c r="C363" s="4" t="inlineStr">
        <is>
          <t>フィルグラスチム</t>
        </is>
      </c>
      <c r="D363" s="4" t="inlineStr">
        <is>
          <t>自社</t>
        </is>
      </c>
      <c r="E363" s="4" t="inlineStr">
        <is>
          <t>フィルグラスチムBS注「サンド」（自社合計）</t>
        </is>
      </c>
      <c r="F363" s="4" t="inlineStr">
        <is>
          <t>注射剤</t>
        </is>
      </c>
      <c r="G363" s="4" t="n">
        <v>238</v>
      </c>
      <c r="H363" s="4" t="n">
        <v>7500</v>
      </c>
      <c r="I363" s="4" t="n">
        <v>1781826</v>
      </c>
      <c r="J363" s="4" t="n">
        <v>0.1432</v>
      </c>
    </row>
    <row r="364">
      <c r="A364" s="5" t="inlineStr">
        <is>
          <t>2023-09</t>
        </is>
      </c>
      <c r="B364" s="5" t="inlineStr">
        <is>
          <t>腫瘍支持療法領域</t>
        </is>
      </c>
      <c r="C364" s="5" t="inlineStr">
        <is>
          <t>フィルグラスチム</t>
        </is>
      </c>
      <c r="D364" s="5" t="inlineStr">
        <is>
          <t>競合A</t>
        </is>
      </c>
      <c r="E364" s="5" t="inlineStr">
        <is>
          <t>競合A社製品</t>
        </is>
      </c>
      <c r="F364" s="5" t="inlineStr">
        <is>
          <t>注射剤</t>
        </is>
      </c>
      <c r="G364" s="5" t="n">
        <v>481</v>
      </c>
      <c r="H364" s="5" t="n">
        <v>7462</v>
      </c>
      <c r="I364" s="5" t="n">
        <v>3587122</v>
      </c>
      <c r="J364" s="5" t="n">
        <v>0.1432</v>
      </c>
    </row>
    <row r="365">
      <c r="A365" s="4" t="inlineStr">
        <is>
          <t>2023-09</t>
        </is>
      </c>
      <c r="B365" s="4" t="inlineStr">
        <is>
          <t>腫瘍支持療法領域</t>
        </is>
      </c>
      <c r="C365" s="4" t="inlineStr">
        <is>
          <t>フィルグラスチム</t>
        </is>
      </c>
      <c r="D365" s="4" t="inlineStr">
        <is>
          <t>競合B</t>
        </is>
      </c>
      <c r="E365" s="4" t="inlineStr">
        <is>
          <t>競合B社製品</t>
        </is>
      </c>
      <c r="F365" s="4" t="inlineStr">
        <is>
          <t>注射剤</t>
        </is>
      </c>
      <c r="G365" s="4" t="n">
        <v>402</v>
      </c>
      <c r="H365" s="4" t="n">
        <v>7476.1</v>
      </c>
      <c r="I365" s="4" t="n">
        <v>3004986</v>
      </c>
      <c r="J365" s="4" t="n">
        <v>0.1432</v>
      </c>
    </row>
    <row r="366">
      <c r="A366" s="5" t="inlineStr">
        <is>
          <t>2023-10</t>
        </is>
      </c>
      <c r="B366" s="5" t="inlineStr">
        <is>
          <t>腫瘍支持療法領域</t>
        </is>
      </c>
      <c r="C366" s="5" t="inlineStr">
        <is>
          <t>フィルグラスチム</t>
        </is>
      </c>
      <c r="D366" s="5" t="inlineStr">
        <is>
          <t>オリジナル</t>
        </is>
      </c>
      <c r="E366" s="5" t="inlineStr">
        <is>
          <t>グラン（オリジナル）</t>
        </is>
      </c>
      <c r="F366" s="5" t="inlineStr">
        <is>
          <t>注射剤</t>
        </is>
      </c>
      <c r="G366" s="5" t="n">
        <v>6868</v>
      </c>
      <c r="H366" s="5" t="n">
        <v>10125</v>
      </c>
      <c r="I366" s="5" t="n">
        <v>69535815</v>
      </c>
      <c r="J366" s="5" t="n">
        <v>0.1564</v>
      </c>
    </row>
    <row r="367">
      <c r="A367" s="4" t="inlineStr">
        <is>
          <t>2023-10</t>
        </is>
      </c>
      <c r="B367" s="4" t="inlineStr">
        <is>
          <t>腫瘍支持療法領域</t>
        </is>
      </c>
      <c r="C367" s="4" t="inlineStr">
        <is>
          <t>フィルグラスチム</t>
        </is>
      </c>
      <c r="D367" s="4" t="inlineStr">
        <is>
          <t>自社</t>
        </is>
      </c>
      <c r="E367" s="4" t="inlineStr">
        <is>
          <t>フィルグラスチムBS注「サンド」（自社合計）</t>
        </is>
      </c>
      <c r="F367" s="4" t="inlineStr">
        <is>
          <t>注射剤</t>
        </is>
      </c>
      <c r="G367" s="4" t="n">
        <v>277</v>
      </c>
      <c r="H367" s="4" t="n">
        <v>7500</v>
      </c>
      <c r="I367" s="4" t="n">
        <v>2080107</v>
      </c>
      <c r="J367" s="4" t="n">
        <v>0.1564</v>
      </c>
    </row>
    <row r="368">
      <c r="A368" s="5" t="inlineStr">
        <is>
          <t>2023-10</t>
        </is>
      </c>
      <c r="B368" s="5" t="inlineStr">
        <is>
          <t>腫瘍支持療法領域</t>
        </is>
      </c>
      <c r="C368" s="5" t="inlineStr">
        <is>
          <t>フィルグラスチム</t>
        </is>
      </c>
      <c r="D368" s="5" t="inlineStr">
        <is>
          <t>競合A</t>
        </is>
      </c>
      <c r="E368" s="5" t="inlineStr">
        <is>
          <t>競合A社製品</t>
        </is>
      </c>
      <c r="F368" s="5" t="inlineStr">
        <is>
          <t>注射剤</t>
        </is>
      </c>
      <c r="G368" s="5" t="n">
        <v>567</v>
      </c>
      <c r="H368" s="5" t="n">
        <v>7557.8</v>
      </c>
      <c r="I368" s="5" t="n">
        <v>4288308</v>
      </c>
      <c r="J368" s="5" t="n">
        <v>0.1564</v>
      </c>
    </row>
    <row r="369">
      <c r="A369" s="4" t="inlineStr">
        <is>
          <t>2023-10</t>
        </is>
      </c>
      <c r="B369" s="4" t="inlineStr">
        <is>
          <t>腫瘍支持療法領域</t>
        </is>
      </c>
      <c r="C369" s="4" t="inlineStr">
        <is>
          <t>フィルグラスチム</t>
        </is>
      </c>
      <c r="D369" s="4" t="inlineStr">
        <is>
          <t>競合B</t>
        </is>
      </c>
      <c r="E369" s="4" t="inlineStr">
        <is>
          <t>競合B社製品</t>
        </is>
      </c>
      <c r="F369" s="4" t="inlineStr">
        <is>
          <t>注射剤</t>
        </is>
      </c>
      <c r="G369" s="4" t="n">
        <v>428</v>
      </c>
      <c r="H369" s="4" t="n">
        <v>7583.5</v>
      </c>
      <c r="I369" s="4" t="n">
        <v>3247640</v>
      </c>
      <c r="J369" s="4" t="n">
        <v>0.1564</v>
      </c>
    </row>
    <row r="370">
      <c r="A370" s="5" t="inlineStr">
        <is>
          <t>2023-11</t>
        </is>
      </c>
      <c r="B370" s="5" t="inlineStr">
        <is>
          <t>腫瘍支持療法領域</t>
        </is>
      </c>
      <c r="C370" s="5" t="inlineStr">
        <is>
          <t>フィルグラスチム</t>
        </is>
      </c>
      <c r="D370" s="5" t="inlineStr">
        <is>
          <t>オリジナル</t>
        </is>
      </c>
      <c r="E370" s="5" t="inlineStr">
        <is>
          <t>グラン（オリジナル）</t>
        </is>
      </c>
      <c r="F370" s="5" t="inlineStr">
        <is>
          <t>注射剤</t>
        </is>
      </c>
      <c r="G370" s="5" t="n">
        <v>6513</v>
      </c>
      <c r="H370" s="5" t="n">
        <v>10125</v>
      </c>
      <c r="I370" s="5" t="n">
        <v>65940789</v>
      </c>
      <c r="J370" s="5" t="n">
        <v>0.2027</v>
      </c>
    </row>
    <row r="371">
      <c r="A371" s="4" t="inlineStr">
        <is>
          <t>2023-11</t>
        </is>
      </c>
      <c r="B371" s="4" t="inlineStr">
        <is>
          <t>腫瘍支持療法領域</t>
        </is>
      </c>
      <c r="C371" s="4" t="inlineStr">
        <is>
          <t>フィルグラスチム</t>
        </is>
      </c>
      <c r="D371" s="4" t="inlineStr">
        <is>
          <t>自社</t>
        </is>
      </c>
      <c r="E371" s="4" t="inlineStr">
        <is>
          <t>フィルグラスチムBS注「サンド」（自社合計）</t>
        </is>
      </c>
      <c r="F371" s="4" t="inlineStr">
        <is>
          <t>注射剤</t>
        </is>
      </c>
      <c r="G371" s="4" t="n">
        <v>349</v>
      </c>
      <c r="H371" s="4" t="n">
        <v>7500</v>
      </c>
      <c r="I371" s="4" t="n">
        <v>2621095</v>
      </c>
      <c r="J371" s="4" t="n">
        <v>0.2027</v>
      </c>
    </row>
    <row r="372">
      <c r="A372" s="5" t="inlineStr">
        <is>
          <t>2023-11</t>
        </is>
      </c>
      <c r="B372" s="5" t="inlineStr">
        <is>
          <t>腫瘍支持療法領域</t>
        </is>
      </c>
      <c r="C372" s="5" t="inlineStr">
        <is>
          <t>フィルグラスチム</t>
        </is>
      </c>
      <c r="D372" s="5" t="inlineStr">
        <is>
          <t>競合A</t>
        </is>
      </c>
      <c r="E372" s="5" t="inlineStr">
        <is>
          <t>競合A社製品</t>
        </is>
      </c>
      <c r="F372" s="5" t="inlineStr">
        <is>
          <t>注射剤</t>
        </is>
      </c>
      <c r="G372" s="5" t="n">
        <v>706</v>
      </c>
      <c r="H372" s="5" t="n">
        <v>7387</v>
      </c>
      <c r="I372" s="5" t="n">
        <v>5216420</v>
      </c>
      <c r="J372" s="5" t="n">
        <v>0.2027</v>
      </c>
    </row>
    <row r="373">
      <c r="A373" s="4" t="inlineStr">
        <is>
          <t>2023-11</t>
        </is>
      </c>
      <c r="B373" s="4" t="inlineStr">
        <is>
          <t>腫瘍支持療法領域</t>
        </is>
      </c>
      <c r="C373" s="4" t="inlineStr">
        <is>
          <t>フィルグラスチム</t>
        </is>
      </c>
      <c r="D373" s="4" t="inlineStr">
        <is>
          <t>競合B</t>
        </is>
      </c>
      <c r="E373" s="4" t="inlineStr">
        <is>
          <t>競合B社製品</t>
        </is>
      </c>
      <c r="F373" s="4" t="inlineStr">
        <is>
          <t>注射剤</t>
        </is>
      </c>
      <c r="G373" s="4" t="n">
        <v>600</v>
      </c>
      <c r="H373" s="4" t="n">
        <v>7345.2</v>
      </c>
      <c r="I373" s="4" t="n">
        <v>4404479</v>
      </c>
      <c r="J373" s="4" t="n">
        <v>0.2027</v>
      </c>
    </row>
    <row r="374">
      <c r="A374" s="5" t="inlineStr">
        <is>
          <t>2023-12</t>
        </is>
      </c>
      <c r="B374" s="5" t="inlineStr">
        <is>
          <t>腫瘍支持療法領域</t>
        </is>
      </c>
      <c r="C374" s="5" t="inlineStr">
        <is>
          <t>フィルグラスチム</t>
        </is>
      </c>
      <c r="D374" s="5" t="inlineStr">
        <is>
          <t>オリジナル</t>
        </is>
      </c>
      <c r="E374" s="5" t="inlineStr">
        <is>
          <t>グラン（オリジナル）</t>
        </is>
      </c>
      <c r="F374" s="5" t="inlineStr">
        <is>
          <t>注射剤</t>
        </is>
      </c>
      <c r="G374" s="5" t="n">
        <v>6423</v>
      </c>
      <c r="H374" s="5" t="n">
        <v>10125</v>
      </c>
      <c r="I374" s="5" t="n">
        <v>65028148</v>
      </c>
      <c r="J374" s="5" t="n">
        <v>0.19</v>
      </c>
    </row>
    <row r="375">
      <c r="A375" s="4" t="inlineStr">
        <is>
          <t>2023-12</t>
        </is>
      </c>
      <c r="B375" s="4" t="inlineStr">
        <is>
          <t>腫瘍支持療法領域</t>
        </is>
      </c>
      <c r="C375" s="4" t="inlineStr">
        <is>
          <t>フィルグラスチム</t>
        </is>
      </c>
      <c r="D375" s="4" t="inlineStr">
        <is>
          <t>自社</t>
        </is>
      </c>
      <c r="E375" s="4" t="inlineStr">
        <is>
          <t>フィルグラスチムBS注「サンド」（自社合計）</t>
        </is>
      </c>
      <c r="F375" s="4" t="inlineStr">
        <is>
          <t>注射剤</t>
        </is>
      </c>
      <c r="G375" s="4" t="n">
        <v>320</v>
      </c>
      <c r="H375" s="4" t="n">
        <v>7500</v>
      </c>
      <c r="I375" s="4" t="n">
        <v>2401657</v>
      </c>
      <c r="J375" s="4" t="n">
        <v>0.19</v>
      </c>
    </row>
    <row r="376">
      <c r="A376" s="5" t="inlineStr">
        <is>
          <t>2023-12</t>
        </is>
      </c>
      <c r="B376" s="5" t="inlineStr">
        <is>
          <t>腫瘍支持療法領域</t>
        </is>
      </c>
      <c r="C376" s="5" t="inlineStr">
        <is>
          <t>フィルグラスチム</t>
        </is>
      </c>
      <c r="D376" s="5" t="inlineStr">
        <is>
          <t>競合A</t>
        </is>
      </c>
      <c r="E376" s="5" t="inlineStr">
        <is>
          <t>競合A社製品</t>
        </is>
      </c>
      <c r="F376" s="5" t="inlineStr">
        <is>
          <t>注射剤</t>
        </is>
      </c>
      <c r="G376" s="5" t="n">
        <v>665</v>
      </c>
      <c r="H376" s="5" t="n">
        <v>7507.7</v>
      </c>
      <c r="I376" s="5" t="n">
        <v>4989702</v>
      </c>
      <c r="J376" s="5" t="n">
        <v>0.19</v>
      </c>
    </row>
    <row r="377">
      <c r="A377" s="4" t="inlineStr">
        <is>
          <t>2023-12</t>
        </is>
      </c>
      <c r="B377" s="4" t="inlineStr">
        <is>
          <t>腫瘍支持療法領域</t>
        </is>
      </c>
      <c r="C377" s="4" t="inlineStr">
        <is>
          <t>フィルグラスチム</t>
        </is>
      </c>
      <c r="D377" s="4" t="inlineStr">
        <is>
          <t>競合B</t>
        </is>
      </c>
      <c r="E377" s="4" t="inlineStr">
        <is>
          <t>競合B社製品</t>
        </is>
      </c>
      <c r="F377" s="4" t="inlineStr">
        <is>
          <t>注射剤</t>
        </is>
      </c>
      <c r="G377" s="4" t="n">
        <v>522</v>
      </c>
      <c r="H377" s="4" t="n">
        <v>7385.2</v>
      </c>
      <c r="I377" s="4" t="n">
        <v>3856058</v>
      </c>
      <c r="J377" s="4" t="n">
        <v>0.19</v>
      </c>
    </row>
    <row r="378">
      <c r="A378" s="5" t="inlineStr">
        <is>
          <t>2024-01</t>
        </is>
      </c>
      <c r="B378" s="5" t="inlineStr">
        <is>
          <t>腫瘍支持療法領域</t>
        </is>
      </c>
      <c r="C378" s="5" t="inlineStr">
        <is>
          <t>フィルグラスチム</t>
        </is>
      </c>
      <c r="D378" s="5" t="inlineStr">
        <is>
          <t>オリジナル</t>
        </is>
      </c>
      <c r="E378" s="5" t="inlineStr">
        <is>
          <t>グラン（オリジナル）</t>
        </is>
      </c>
      <c r="F378" s="5" t="inlineStr">
        <is>
          <t>注射剤</t>
        </is>
      </c>
      <c r="G378" s="5" t="n">
        <v>6436</v>
      </c>
      <c r="H378" s="5" t="n">
        <v>10125</v>
      </c>
      <c r="I378" s="5" t="n">
        <v>65168930</v>
      </c>
      <c r="J378" s="5" t="n">
        <v>0.2236</v>
      </c>
    </row>
    <row r="379">
      <c r="A379" s="4" t="inlineStr">
        <is>
          <t>2024-01</t>
        </is>
      </c>
      <c r="B379" s="4" t="inlineStr">
        <is>
          <t>腫瘍支持療法領域</t>
        </is>
      </c>
      <c r="C379" s="4" t="inlineStr">
        <is>
          <t>フィルグラスチム</t>
        </is>
      </c>
      <c r="D379" s="4" t="inlineStr">
        <is>
          <t>自社</t>
        </is>
      </c>
      <c r="E379" s="4" t="inlineStr">
        <is>
          <t>フィルグラスチムBS注「サンド」（自社合計）</t>
        </is>
      </c>
      <c r="F379" s="4" t="inlineStr">
        <is>
          <t>注射剤</t>
        </is>
      </c>
      <c r="G379" s="4" t="n">
        <v>395</v>
      </c>
      <c r="H379" s="4" t="n">
        <v>7500</v>
      </c>
      <c r="I379" s="4" t="n">
        <v>2959327</v>
      </c>
      <c r="J379" s="4" t="n">
        <v>0.2236</v>
      </c>
    </row>
    <row r="380">
      <c r="A380" s="5" t="inlineStr">
        <is>
          <t>2024-01</t>
        </is>
      </c>
      <c r="B380" s="5" t="inlineStr">
        <is>
          <t>腫瘍支持療法領域</t>
        </is>
      </c>
      <c r="C380" s="5" t="inlineStr">
        <is>
          <t>フィルグラスチム</t>
        </is>
      </c>
      <c r="D380" s="5" t="inlineStr">
        <is>
          <t>競合A</t>
        </is>
      </c>
      <c r="E380" s="5" t="inlineStr">
        <is>
          <t>競合A社製品</t>
        </is>
      </c>
      <c r="F380" s="5" t="inlineStr">
        <is>
          <t>注射剤</t>
        </is>
      </c>
      <c r="G380" s="5" t="n">
        <v>774</v>
      </c>
      <c r="H380" s="5" t="n">
        <v>7582.3</v>
      </c>
      <c r="I380" s="5" t="n">
        <v>5870144</v>
      </c>
      <c r="J380" s="5" t="n">
        <v>0.2236</v>
      </c>
    </row>
    <row r="381">
      <c r="A381" s="4" t="inlineStr">
        <is>
          <t>2024-01</t>
        </is>
      </c>
      <c r="B381" s="4" t="inlineStr">
        <is>
          <t>腫瘍支持療法領域</t>
        </is>
      </c>
      <c r="C381" s="4" t="inlineStr">
        <is>
          <t>フィルグラスチム</t>
        </is>
      </c>
      <c r="D381" s="4" t="inlineStr">
        <is>
          <t>競合B</t>
        </is>
      </c>
      <c r="E381" s="4" t="inlineStr">
        <is>
          <t>競合B社製品</t>
        </is>
      </c>
      <c r="F381" s="4" t="inlineStr">
        <is>
          <t>注射剤</t>
        </is>
      </c>
      <c r="G381" s="4" t="n">
        <v>685</v>
      </c>
      <c r="H381" s="4" t="n">
        <v>7528.2</v>
      </c>
      <c r="I381" s="4" t="n">
        <v>5159927</v>
      </c>
      <c r="J381" s="4" t="n">
        <v>0.2236</v>
      </c>
    </row>
    <row r="382">
      <c r="A382" s="5" t="inlineStr">
        <is>
          <t>2024-02</t>
        </is>
      </c>
      <c r="B382" s="5" t="inlineStr">
        <is>
          <t>腫瘍支持療法領域</t>
        </is>
      </c>
      <c r="C382" s="5" t="inlineStr">
        <is>
          <t>フィルグラスチム</t>
        </is>
      </c>
      <c r="D382" s="5" t="inlineStr">
        <is>
          <t>オリジナル</t>
        </is>
      </c>
      <c r="E382" s="5" t="inlineStr">
        <is>
          <t>グラン（オリジナル）</t>
        </is>
      </c>
      <c r="F382" s="5" t="inlineStr">
        <is>
          <t>注射剤</t>
        </is>
      </c>
      <c r="G382" s="5" t="n">
        <v>6071</v>
      </c>
      <c r="H382" s="5" t="n">
        <v>10125</v>
      </c>
      <c r="I382" s="5" t="n">
        <v>61466722</v>
      </c>
      <c r="J382" s="5" t="n">
        <v>0.2335</v>
      </c>
    </row>
    <row r="383">
      <c r="A383" s="4" t="inlineStr">
        <is>
          <t>2024-02</t>
        </is>
      </c>
      <c r="B383" s="4" t="inlineStr">
        <is>
          <t>腫瘍支持療法領域</t>
        </is>
      </c>
      <c r="C383" s="4" t="inlineStr">
        <is>
          <t>フィルグラスチム</t>
        </is>
      </c>
      <c r="D383" s="4" t="inlineStr">
        <is>
          <t>自社</t>
        </is>
      </c>
      <c r="E383" s="4" t="inlineStr">
        <is>
          <t>フィルグラスチムBS注「サンド」（自社合計）</t>
        </is>
      </c>
      <c r="F383" s="4" t="inlineStr">
        <is>
          <t>注射剤</t>
        </is>
      </c>
      <c r="G383" s="4" t="n">
        <v>404</v>
      </c>
      <c r="H383" s="4" t="n">
        <v>7500</v>
      </c>
      <c r="I383" s="4" t="n">
        <v>3026346</v>
      </c>
      <c r="J383" s="4" t="n">
        <v>0.2335</v>
      </c>
    </row>
    <row r="384">
      <c r="A384" s="5" t="inlineStr">
        <is>
          <t>2024-02</t>
        </is>
      </c>
      <c r="B384" s="5" t="inlineStr">
        <is>
          <t>腫瘍支持療法領域</t>
        </is>
      </c>
      <c r="C384" s="5" t="inlineStr">
        <is>
          <t>フィルグラスチム</t>
        </is>
      </c>
      <c r="D384" s="5" t="inlineStr">
        <is>
          <t>競合A</t>
        </is>
      </c>
      <c r="E384" s="5" t="inlineStr">
        <is>
          <t>競合A社製品</t>
        </is>
      </c>
      <c r="F384" s="5" t="inlineStr">
        <is>
          <t>注射剤</t>
        </is>
      </c>
      <c r="G384" s="5" t="n">
        <v>756</v>
      </c>
      <c r="H384" s="5" t="n">
        <v>7528.5</v>
      </c>
      <c r="I384" s="5" t="n">
        <v>5691973</v>
      </c>
      <c r="J384" s="5" t="n">
        <v>0.2335</v>
      </c>
    </row>
    <row r="385">
      <c r="A385" s="4" t="inlineStr">
        <is>
          <t>2024-02</t>
        </is>
      </c>
      <c r="B385" s="4" t="inlineStr">
        <is>
          <t>腫瘍支持療法領域</t>
        </is>
      </c>
      <c r="C385" s="4" t="inlineStr">
        <is>
          <t>フィルグラスチム</t>
        </is>
      </c>
      <c r="D385" s="4" t="inlineStr">
        <is>
          <t>競合B</t>
        </is>
      </c>
      <c r="E385" s="4" t="inlineStr">
        <is>
          <t>競合B社製品</t>
        </is>
      </c>
      <c r="F385" s="4" t="inlineStr">
        <is>
          <t>注射剤</t>
        </is>
      </c>
      <c r="G385" s="4" t="n">
        <v>690</v>
      </c>
      <c r="H385" s="4" t="n">
        <v>7281.8</v>
      </c>
      <c r="I385" s="4" t="n">
        <v>5021042</v>
      </c>
      <c r="J385" s="4" t="n">
        <v>0.2335</v>
      </c>
    </row>
    <row r="386">
      <c r="A386" s="5" t="inlineStr">
        <is>
          <t>2024-03</t>
        </is>
      </c>
      <c r="B386" s="5" t="inlineStr">
        <is>
          <t>腫瘍支持療法領域</t>
        </is>
      </c>
      <c r="C386" s="5" t="inlineStr">
        <is>
          <t>フィルグラスチム</t>
        </is>
      </c>
      <c r="D386" s="5" t="inlineStr">
        <is>
          <t>オリジナル</t>
        </is>
      </c>
      <c r="E386" s="5" t="inlineStr">
        <is>
          <t>グラン（オリジナル）</t>
        </is>
      </c>
      <c r="F386" s="5" t="inlineStr">
        <is>
          <t>注射剤</t>
        </is>
      </c>
      <c r="G386" s="5" t="n">
        <v>6657</v>
      </c>
      <c r="H386" s="5" t="n">
        <v>10125</v>
      </c>
      <c r="I386" s="5" t="n">
        <v>67405359</v>
      </c>
      <c r="J386" s="5" t="n">
        <v>0.265</v>
      </c>
    </row>
    <row r="387">
      <c r="A387" s="4" t="inlineStr">
        <is>
          <t>2024-03</t>
        </is>
      </c>
      <c r="B387" s="4" t="inlineStr">
        <is>
          <t>腫瘍支持療法領域</t>
        </is>
      </c>
      <c r="C387" s="4" t="inlineStr">
        <is>
          <t>フィルグラスチム</t>
        </is>
      </c>
      <c r="D387" s="4" t="inlineStr">
        <is>
          <t>自社</t>
        </is>
      </c>
      <c r="E387" s="4" t="inlineStr">
        <is>
          <t>フィルグラスチムBS注「サンド」（自社合計）</t>
        </is>
      </c>
      <c r="F387" s="4" t="inlineStr">
        <is>
          <t>注射剤</t>
        </is>
      </c>
      <c r="G387" s="4" t="n">
        <v>514</v>
      </c>
      <c r="H387" s="4" t="n">
        <v>7500</v>
      </c>
      <c r="I387" s="4" t="n">
        <v>3857172</v>
      </c>
      <c r="J387" s="4" t="n">
        <v>0.265</v>
      </c>
    </row>
    <row r="388">
      <c r="A388" s="5" t="inlineStr">
        <is>
          <t>2024-03</t>
        </is>
      </c>
      <c r="B388" s="5" t="inlineStr">
        <is>
          <t>腫瘍支持療法領域</t>
        </is>
      </c>
      <c r="C388" s="5" t="inlineStr">
        <is>
          <t>フィルグラスチム</t>
        </is>
      </c>
      <c r="D388" s="5" t="inlineStr">
        <is>
          <t>競合A</t>
        </is>
      </c>
      <c r="E388" s="5" t="inlineStr">
        <is>
          <t>競合A社製品</t>
        </is>
      </c>
      <c r="F388" s="5" t="inlineStr">
        <is>
          <t>注射剤</t>
        </is>
      </c>
      <c r="G388" s="5" t="n">
        <v>1058</v>
      </c>
      <c r="H388" s="5" t="n">
        <v>7138.5</v>
      </c>
      <c r="I388" s="5" t="n">
        <v>7550978</v>
      </c>
      <c r="J388" s="5" t="n">
        <v>0.265</v>
      </c>
    </row>
    <row r="389">
      <c r="A389" s="4" t="inlineStr">
        <is>
          <t>2024-03</t>
        </is>
      </c>
      <c r="B389" s="4" t="inlineStr">
        <is>
          <t>腫瘍支持療法領域</t>
        </is>
      </c>
      <c r="C389" s="4" t="inlineStr">
        <is>
          <t>フィルグラスチム</t>
        </is>
      </c>
      <c r="D389" s="4" t="inlineStr">
        <is>
          <t>競合B</t>
        </is>
      </c>
      <c r="E389" s="4" t="inlineStr">
        <is>
          <t>競合B社製品</t>
        </is>
      </c>
      <c r="F389" s="4" t="inlineStr">
        <is>
          <t>注射剤</t>
        </is>
      </c>
      <c r="G389" s="4" t="n">
        <v>828</v>
      </c>
      <c r="H389" s="4" t="n">
        <v>7326.5</v>
      </c>
      <c r="I389" s="4" t="n">
        <v>6066896</v>
      </c>
      <c r="J389" s="4" t="n">
        <v>0.265</v>
      </c>
    </row>
    <row r="390">
      <c r="A390" s="5" t="inlineStr">
        <is>
          <t>2024-04</t>
        </is>
      </c>
      <c r="B390" s="5" t="inlineStr">
        <is>
          <t>腫瘍支持療法領域</t>
        </is>
      </c>
      <c r="C390" s="5" t="inlineStr">
        <is>
          <t>フィルグラスチム</t>
        </is>
      </c>
      <c r="D390" s="5" t="inlineStr">
        <is>
          <t>オリジナル</t>
        </is>
      </c>
      <c r="E390" s="5" t="inlineStr">
        <is>
          <t>グラン（オリジナル）</t>
        </is>
      </c>
      <c r="F390" s="5" t="inlineStr">
        <is>
          <t>注射剤</t>
        </is>
      </c>
      <c r="G390" s="5" t="n">
        <v>5714</v>
      </c>
      <c r="H390" s="5" t="n">
        <v>9568.1</v>
      </c>
      <c r="I390" s="5" t="n">
        <v>54667650</v>
      </c>
      <c r="J390" s="5" t="n">
        <v>0.2605</v>
      </c>
    </row>
    <row r="391">
      <c r="A391" s="4" t="inlineStr">
        <is>
          <t>2024-04</t>
        </is>
      </c>
      <c r="B391" s="4" t="inlineStr">
        <is>
          <t>腫瘍支持療法領域</t>
        </is>
      </c>
      <c r="C391" s="4" t="inlineStr">
        <is>
          <t>フィルグラスチム</t>
        </is>
      </c>
      <c r="D391" s="4" t="inlineStr">
        <is>
          <t>自社</t>
        </is>
      </c>
      <c r="E391" s="4" t="inlineStr">
        <is>
          <t>フィルグラスチムBS注「サンド」（自社合計）</t>
        </is>
      </c>
      <c r="F391" s="4" t="inlineStr">
        <is>
          <t>注射剤</t>
        </is>
      </c>
      <c r="G391" s="4" t="n">
        <v>453</v>
      </c>
      <c r="H391" s="4" t="n">
        <v>7087.5</v>
      </c>
      <c r="I391" s="4" t="n">
        <v>3210890</v>
      </c>
      <c r="J391" s="4" t="n">
        <v>0.2605</v>
      </c>
    </row>
    <row r="392">
      <c r="A392" s="5" t="inlineStr">
        <is>
          <t>2024-04</t>
        </is>
      </c>
      <c r="B392" s="5" t="inlineStr">
        <is>
          <t>腫瘍支持療法領域</t>
        </is>
      </c>
      <c r="C392" s="5" t="inlineStr">
        <is>
          <t>フィルグラスチム</t>
        </is>
      </c>
      <c r="D392" s="5" t="inlineStr">
        <is>
          <t>競合A</t>
        </is>
      </c>
      <c r="E392" s="5" t="inlineStr">
        <is>
          <t>競合A社製品</t>
        </is>
      </c>
      <c r="F392" s="5" t="inlineStr">
        <is>
          <t>注射剤</t>
        </is>
      </c>
      <c r="G392" s="5" t="n">
        <v>951</v>
      </c>
      <c r="H392" s="5" t="n">
        <v>6920.7</v>
      </c>
      <c r="I392" s="5" t="n">
        <v>6581367</v>
      </c>
      <c r="J392" s="5" t="n">
        <v>0.2605</v>
      </c>
    </row>
    <row r="393">
      <c r="A393" s="4" t="inlineStr">
        <is>
          <t>2024-04</t>
        </is>
      </c>
      <c r="B393" s="4" t="inlineStr">
        <is>
          <t>腫瘍支持療法領域</t>
        </is>
      </c>
      <c r="C393" s="4" t="inlineStr">
        <is>
          <t>フィルグラスチム</t>
        </is>
      </c>
      <c r="D393" s="4" t="inlineStr">
        <is>
          <t>競合B</t>
        </is>
      </c>
      <c r="E393" s="4" t="inlineStr">
        <is>
          <t>競合B社製品</t>
        </is>
      </c>
      <c r="F393" s="4" t="inlineStr">
        <is>
          <t>注射剤</t>
        </is>
      </c>
      <c r="G393" s="4" t="n">
        <v>608</v>
      </c>
      <c r="H393" s="4" t="n">
        <v>6968.8</v>
      </c>
      <c r="I393" s="4" t="n">
        <v>4238433</v>
      </c>
      <c r="J393" s="4" t="n">
        <v>0.2605</v>
      </c>
    </row>
    <row r="394">
      <c r="A394" s="5" t="inlineStr">
        <is>
          <t>2024-05</t>
        </is>
      </c>
      <c r="B394" s="5" t="inlineStr">
        <is>
          <t>腫瘍支持療法領域</t>
        </is>
      </c>
      <c r="C394" s="5" t="inlineStr">
        <is>
          <t>フィルグラスチム</t>
        </is>
      </c>
      <c r="D394" s="5" t="inlineStr">
        <is>
          <t>オリジナル</t>
        </is>
      </c>
      <c r="E394" s="5" t="inlineStr">
        <is>
          <t>グラン（オリジナル）</t>
        </is>
      </c>
      <c r="F394" s="5" t="inlineStr">
        <is>
          <t>注射剤</t>
        </is>
      </c>
      <c r="G394" s="5" t="n">
        <v>5712</v>
      </c>
      <c r="H394" s="5" t="n">
        <v>9568.1</v>
      </c>
      <c r="I394" s="5" t="n">
        <v>54648391</v>
      </c>
      <c r="J394" s="5" t="n">
        <v>0.3061</v>
      </c>
    </row>
    <row r="395">
      <c r="A395" s="4" t="inlineStr">
        <is>
          <t>2024-05</t>
        </is>
      </c>
      <c r="B395" s="4" t="inlineStr">
        <is>
          <t>腫瘍支持療法領域</t>
        </is>
      </c>
      <c r="C395" s="4" t="inlineStr">
        <is>
          <t>フィルグラスチム</t>
        </is>
      </c>
      <c r="D395" s="4" t="inlineStr">
        <is>
          <t>自社</t>
        </is>
      </c>
      <c r="E395" s="4" t="inlineStr">
        <is>
          <t>フィルグラスチムBS注「サンド」（自社合計）</t>
        </is>
      </c>
      <c r="F395" s="4" t="inlineStr">
        <is>
          <t>注射剤</t>
        </is>
      </c>
      <c r="G395" s="4" t="n">
        <v>522</v>
      </c>
      <c r="H395" s="4" t="n">
        <v>7087.5</v>
      </c>
      <c r="I395" s="4" t="n">
        <v>3696182</v>
      </c>
      <c r="J395" s="4" t="n">
        <v>0.3061</v>
      </c>
    </row>
    <row r="396">
      <c r="A396" s="5" t="inlineStr">
        <is>
          <t>2024-05</t>
        </is>
      </c>
      <c r="B396" s="5" t="inlineStr">
        <is>
          <t>腫瘍支持療法領域</t>
        </is>
      </c>
      <c r="C396" s="5" t="inlineStr">
        <is>
          <t>フィルグラスチム</t>
        </is>
      </c>
      <c r="D396" s="5" t="inlineStr">
        <is>
          <t>競合A</t>
        </is>
      </c>
      <c r="E396" s="5" t="inlineStr">
        <is>
          <t>競合A社製品</t>
        </is>
      </c>
      <c r="F396" s="5" t="inlineStr">
        <is>
          <t>注射剤</t>
        </is>
      </c>
      <c r="G396" s="5" t="n">
        <v>1114</v>
      </c>
      <c r="H396" s="5" t="n">
        <v>7345.7</v>
      </c>
      <c r="I396" s="5" t="n">
        <v>8182381</v>
      </c>
      <c r="J396" s="5" t="n">
        <v>0.3061</v>
      </c>
    </row>
    <row r="397">
      <c r="A397" s="4" t="inlineStr">
        <is>
          <t>2024-05</t>
        </is>
      </c>
      <c r="B397" s="4" t="inlineStr">
        <is>
          <t>腫瘍支持療法領域</t>
        </is>
      </c>
      <c r="C397" s="4" t="inlineStr">
        <is>
          <t>フィルグラスチム</t>
        </is>
      </c>
      <c r="D397" s="4" t="inlineStr">
        <is>
          <t>競合B</t>
        </is>
      </c>
      <c r="E397" s="4" t="inlineStr">
        <is>
          <t>競合B社製品</t>
        </is>
      </c>
      <c r="F397" s="4" t="inlineStr">
        <is>
          <t>注射剤</t>
        </is>
      </c>
      <c r="G397" s="4" t="n">
        <v>884</v>
      </c>
      <c r="H397" s="4" t="n">
        <v>6853.4</v>
      </c>
      <c r="I397" s="4" t="n">
        <v>6059983</v>
      </c>
      <c r="J397" s="4" t="n">
        <v>0.3061</v>
      </c>
    </row>
    <row r="398">
      <c r="A398" s="5" t="inlineStr">
        <is>
          <t>2024-06</t>
        </is>
      </c>
      <c r="B398" s="5" t="inlineStr">
        <is>
          <t>腫瘍支持療法領域</t>
        </is>
      </c>
      <c r="C398" s="5" t="inlineStr">
        <is>
          <t>フィルグラスチム</t>
        </is>
      </c>
      <c r="D398" s="5" t="inlineStr">
        <is>
          <t>オリジナル</t>
        </is>
      </c>
      <c r="E398" s="5" t="inlineStr">
        <is>
          <t>グラン（オリジナル）</t>
        </is>
      </c>
      <c r="F398" s="5" t="inlineStr">
        <is>
          <t>注射剤</t>
        </is>
      </c>
      <c r="G398" s="5" t="n">
        <v>5560</v>
      </c>
      <c r="H398" s="5" t="n">
        <v>9568.1</v>
      </c>
      <c r="I398" s="5" t="n">
        <v>53194058</v>
      </c>
      <c r="J398" s="5" t="n">
        <v>0.3046</v>
      </c>
    </row>
    <row r="399">
      <c r="A399" s="4" t="inlineStr">
        <is>
          <t>2024-06</t>
        </is>
      </c>
      <c r="B399" s="4" t="inlineStr">
        <is>
          <t>腫瘍支持療法領域</t>
        </is>
      </c>
      <c r="C399" s="4" t="inlineStr">
        <is>
          <t>フィルグラスチム</t>
        </is>
      </c>
      <c r="D399" s="4" t="inlineStr">
        <is>
          <t>自社</t>
        </is>
      </c>
      <c r="E399" s="4" t="inlineStr">
        <is>
          <t>フィルグラスチムBS注「サンド」（自社合計）</t>
        </is>
      </c>
      <c r="F399" s="4" t="inlineStr">
        <is>
          <t>注射剤</t>
        </is>
      </c>
      <c r="G399" s="4" t="n">
        <v>524</v>
      </c>
      <c r="H399" s="4" t="n">
        <v>7087.5</v>
      </c>
      <c r="I399" s="4" t="n">
        <v>3713891</v>
      </c>
      <c r="J399" s="4" t="n">
        <v>0.3046</v>
      </c>
    </row>
    <row r="400">
      <c r="A400" s="5" t="inlineStr">
        <is>
          <t>2024-06</t>
        </is>
      </c>
      <c r="B400" s="5" t="inlineStr">
        <is>
          <t>腫瘍支持療法領域</t>
        </is>
      </c>
      <c r="C400" s="5" t="inlineStr">
        <is>
          <t>フィルグラスチム</t>
        </is>
      </c>
      <c r="D400" s="5" t="inlineStr">
        <is>
          <t>競合A</t>
        </is>
      </c>
      <c r="E400" s="5" t="inlineStr">
        <is>
          <t>競合A社製品</t>
        </is>
      </c>
      <c r="F400" s="5" t="inlineStr">
        <is>
          <t>注射剤</t>
        </is>
      </c>
      <c r="G400" s="5" t="n">
        <v>1098</v>
      </c>
      <c r="H400" s="5" t="n">
        <v>7121.8</v>
      </c>
      <c r="I400" s="5" t="n">
        <v>7817229</v>
      </c>
      <c r="J400" s="5" t="n">
        <v>0.3046</v>
      </c>
    </row>
    <row r="401">
      <c r="A401" s="4" t="inlineStr">
        <is>
          <t>2024-06</t>
        </is>
      </c>
      <c r="B401" s="4" t="inlineStr">
        <is>
          <t>腫瘍支持療法領域</t>
        </is>
      </c>
      <c r="C401" s="4" t="inlineStr">
        <is>
          <t>フィルグラスチム</t>
        </is>
      </c>
      <c r="D401" s="4" t="inlineStr">
        <is>
          <t>競合B</t>
        </is>
      </c>
      <c r="E401" s="4" t="inlineStr">
        <is>
          <t>競合B社製品</t>
        </is>
      </c>
      <c r="F401" s="4" t="inlineStr">
        <is>
          <t>注射剤</t>
        </is>
      </c>
      <c r="G401" s="4" t="n">
        <v>813</v>
      </c>
      <c r="H401" s="4" t="n">
        <v>6835.9</v>
      </c>
      <c r="I401" s="4" t="n">
        <v>5560165</v>
      </c>
      <c r="J401" s="4" t="n">
        <v>0.3046</v>
      </c>
    </row>
    <row r="402">
      <c r="A402" s="5" t="inlineStr">
        <is>
          <t>2024-07</t>
        </is>
      </c>
      <c r="B402" s="5" t="inlineStr">
        <is>
          <t>腫瘍支持療法領域</t>
        </is>
      </c>
      <c r="C402" s="5" t="inlineStr">
        <is>
          <t>フィルグラスチム</t>
        </is>
      </c>
      <c r="D402" s="5" t="inlineStr">
        <is>
          <t>オリジナル</t>
        </is>
      </c>
      <c r="E402" s="5" t="inlineStr">
        <is>
          <t>グラン（オリジナル）</t>
        </is>
      </c>
      <c r="F402" s="5" t="inlineStr">
        <is>
          <t>注射剤</t>
        </is>
      </c>
      <c r="G402" s="5" t="n">
        <v>5631</v>
      </c>
      <c r="H402" s="5" t="n">
        <v>9568.1</v>
      </c>
      <c r="I402" s="5" t="n">
        <v>53877253</v>
      </c>
      <c r="J402" s="5" t="n">
        <v>0.3217</v>
      </c>
    </row>
    <row r="403">
      <c r="A403" s="4" t="inlineStr">
        <is>
          <t>2024-07</t>
        </is>
      </c>
      <c r="B403" s="4" t="inlineStr">
        <is>
          <t>腫瘍支持療法領域</t>
        </is>
      </c>
      <c r="C403" s="4" t="inlineStr">
        <is>
          <t>フィルグラスチム</t>
        </is>
      </c>
      <c r="D403" s="4" t="inlineStr">
        <is>
          <t>自社</t>
        </is>
      </c>
      <c r="E403" s="4" t="inlineStr">
        <is>
          <t>フィルグラスチムBS注「サンド」（自社合計）</t>
        </is>
      </c>
      <c r="F403" s="4" t="inlineStr">
        <is>
          <t>注射剤</t>
        </is>
      </c>
      <c r="G403" s="4" t="n">
        <v>626</v>
      </c>
      <c r="H403" s="4" t="n">
        <v>7087.5</v>
      </c>
      <c r="I403" s="4" t="n">
        <v>4435911</v>
      </c>
      <c r="J403" s="4" t="n">
        <v>0.3217</v>
      </c>
    </row>
    <row r="404">
      <c r="A404" s="5" t="inlineStr">
        <is>
          <t>2024-07</t>
        </is>
      </c>
      <c r="B404" s="5" t="inlineStr">
        <is>
          <t>腫瘍支持療法領域</t>
        </is>
      </c>
      <c r="C404" s="5" t="inlineStr">
        <is>
          <t>フィルグラスチム</t>
        </is>
      </c>
      <c r="D404" s="5" t="inlineStr">
        <is>
          <t>競合A</t>
        </is>
      </c>
      <c r="E404" s="5" t="inlineStr">
        <is>
          <t>競合A社製品</t>
        </is>
      </c>
      <c r="F404" s="5" t="inlineStr">
        <is>
          <t>注射剤</t>
        </is>
      </c>
      <c r="G404" s="5" t="n">
        <v>1086</v>
      </c>
      <c r="H404" s="5" t="n">
        <v>6997.3</v>
      </c>
      <c r="I404" s="5" t="n">
        <v>7600321</v>
      </c>
      <c r="J404" s="5" t="n">
        <v>0.3217</v>
      </c>
    </row>
    <row r="405">
      <c r="A405" s="4" t="inlineStr">
        <is>
          <t>2024-07</t>
        </is>
      </c>
      <c r="B405" s="4" t="inlineStr">
        <is>
          <t>腫瘍支持療法領域</t>
        </is>
      </c>
      <c r="C405" s="4" t="inlineStr">
        <is>
          <t>フィルグラスチム</t>
        </is>
      </c>
      <c r="D405" s="4" t="inlineStr">
        <is>
          <t>競合B</t>
        </is>
      </c>
      <c r="E405" s="4" t="inlineStr">
        <is>
          <t>競合B社製品</t>
        </is>
      </c>
      <c r="F405" s="4" t="inlineStr">
        <is>
          <t>注射剤</t>
        </is>
      </c>
      <c r="G405" s="4" t="n">
        <v>959</v>
      </c>
      <c r="H405" s="4" t="n">
        <v>7164.2</v>
      </c>
      <c r="I405" s="4" t="n">
        <v>6868307</v>
      </c>
      <c r="J405" s="4" t="n">
        <v>0.3217</v>
      </c>
    </row>
    <row r="406">
      <c r="A406" s="5" t="inlineStr">
        <is>
          <t>2024-08</t>
        </is>
      </c>
      <c r="B406" s="5" t="inlineStr">
        <is>
          <t>腫瘍支持療法領域</t>
        </is>
      </c>
      <c r="C406" s="5" t="inlineStr">
        <is>
          <t>フィルグラスチム</t>
        </is>
      </c>
      <c r="D406" s="5" t="inlineStr">
        <is>
          <t>オリジナル</t>
        </is>
      </c>
      <c r="E406" s="5" t="inlineStr">
        <is>
          <t>グラン（オリジナル）</t>
        </is>
      </c>
      <c r="F406" s="5" t="inlineStr">
        <is>
          <t>注射剤</t>
        </is>
      </c>
      <c r="G406" s="5" t="n">
        <v>5428</v>
      </c>
      <c r="H406" s="5" t="n">
        <v>9568.1</v>
      </c>
      <c r="I406" s="5" t="n">
        <v>51934622</v>
      </c>
      <c r="J406" s="5" t="n">
        <v>0.3503</v>
      </c>
    </row>
    <row r="407">
      <c r="A407" s="4" t="inlineStr">
        <is>
          <t>2024-08</t>
        </is>
      </c>
      <c r="B407" s="4" t="inlineStr">
        <is>
          <t>腫瘍支持療法領域</t>
        </is>
      </c>
      <c r="C407" s="4" t="inlineStr">
        <is>
          <t>フィルグラスチム</t>
        </is>
      </c>
      <c r="D407" s="4" t="inlineStr">
        <is>
          <t>自社</t>
        </is>
      </c>
      <c r="E407" s="4" t="inlineStr">
        <is>
          <t>フィルグラスチムBS注「サンド」（自社合計）</t>
        </is>
      </c>
      <c r="F407" s="4" t="inlineStr">
        <is>
          <t>注射剤</t>
        </is>
      </c>
      <c r="G407" s="4" t="n">
        <v>603</v>
      </c>
      <c r="H407" s="4" t="n">
        <v>7087.5</v>
      </c>
      <c r="I407" s="4" t="n">
        <v>4272158</v>
      </c>
      <c r="J407" s="4" t="n">
        <v>0.3503</v>
      </c>
    </row>
    <row r="408">
      <c r="A408" s="5" t="inlineStr">
        <is>
          <t>2024-08</t>
        </is>
      </c>
      <c r="B408" s="5" t="inlineStr">
        <is>
          <t>腫瘍支持療法領域</t>
        </is>
      </c>
      <c r="C408" s="5" t="inlineStr">
        <is>
          <t>フィルグラスチム</t>
        </is>
      </c>
      <c r="D408" s="5" t="inlineStr">
        <is>
          <t>競合A</t>
        </is>
      </c>
      <c r="E408" s="5" t="inlineStr">
        <is>
          <t>競合A社製品</t>
        </is>
      </c>
      <c r="F408" s="5" t="inlineStr">
        <is>
          <t>注射剤</t>
        </is>
      </c>
      <c r="G408" s="5" t="n">
        <v>1316</v>
      </c>
      <c r="H408" s="5" t="n">
        <v>6940.9</v>
      </c>
      <c r="I408" s="5" t="n">
        <v>9132627</v>
      </c>
      <c r="J408" s="5" t="n">
        <v>0.3503</v>
      </c>
    </row>
    <row r="409">
      <c r="A409" s="4" t="inlineStr">
        <is>
          <t>2024-08</t>
        </is>
      </c>
      <c r="B409" s="4" t="inlineStr">
        <is>
          <t>腫瘍支持療法領域</t>
        </is>
      </c>
      <c r="C409" s="4" t="inlineStr">
        <is>
          <t>フィルグラスチム</t>
        </is>
      </c>
      <c r="D409" s="4" t="inlineStr">
        <is>
          <t>競合B</t>
        </is>
      </c>
      <c r="E409" s="4" t="inlineStr">
        <is>
          <t>競合B社製品</t>
        </is>
      </c>
      <c r="F409" s="4" t="inlineStr">
        <is>
          <t>注射剤</t>
        </is>
      </c>
      <c r="G409" s="4" t="n">
        <v>1008</v>
      </c>
      <c r="H409" s="4" t="n">
        <v>7120.9</v>
      </c>
      <c r="I409" s="4" t="n">
        <v>7180201</v>
      </c>
      <c r="J409" s="4" t="n">
        <v>0.3503</v>
      </c>
    </row>
    <row r="410">
      <c r="A410" s="5" t="inlineStr">
        <is>
          <t>2024-09</t>
        </is>
      </c>
      <c r="B410" s="5" t="inlineStr">
        <is>
          <t>腫瘍支持療法領域</t>
        </is>
      </c>
      <c r="C410" s="5" t="inlineStr">
        <is>
          <t>フィルグラスチム</t>
        </is>
      </c>
      <c r="D410" s="5" t="inlineStr">
        <is>
          <t>オリジナル</t>
        </is>
      </c>
      <c r="E410" s="5" t="inlineStr">
        <is>
          <t>グラン（オリジナル）</t>
        </is>
      </c>
      <c r="F410" s="5" t="inlineStr">
        <is>
          <t>注射剤</t>
        </is>
      </c>
      <c r="G410" s="5" t="n">
        <v>5059</v>
      </c>
      <c r="H410" s="5" t="n">
        <v>9568.1</v>
      </c>
      <c r="I410" s="5" t="n">
        <v>48401341</v>
      </c>
      <c r="J410" s="5" t="n">
        <v>0.3682</v>
      </c>
    </row>
    <row r="411">
      <c r="A411" s="4" t="inlineStr">
        <is>
          <t>2024-09</t>
        </is>
      </c>
      <c r="B411" s="4" t="inlineStr">
        <is>
          <t>腫瘍支持療法領域</t>
        </is>
      </c>
      <c r="C411" s="4" t="inlineStr">
        <is>
          <t>フィルグラスチム</t>
        </is>
      </c>
      <c r="D411" s="4" t="inlineStr">
        <is>
          <t>自社</t>
        </is>
      </c>
      <c r="E411" s="4" t="inlineStr">
        <is>
          <t>フィルグラスチムBS注「サンド」（自社合計）</t>
        </is>
      </c>
      <c r="F411" s="4" t="inlineStr">
        <is>
          <t>注射剤</t>
        </is>
      </c>
      <c r="G411" s="4" t="n">
        <v>637</v>
      </c>
      <c r="H411" s="4" t="n">
        <v>7087.5</v>
      </c>
      <c r="I411" s="4" t="n">
        <v>4511963</v>
      </c>
      <c r="J411" s="4" t="n">
        <v>0.3682</v>
      </c>
    </row>
    <row r="412">
      <c r="A412" s="5" t="inlineStr">
        <is>
          <t>2024-09</t>
        </is>
      </c>
      <c r="B412" s="5" t="inlineStr">
        <is>
          <t>腫瘍支持療法領域</t>
        </is>
      </c>
      <c r="C412" s="5" t="inlineStr">
        <is>
          <t>フィルグラスチム</t>
        </is>
      </c>
      <c r="D412" s="5" t="inlineStr">
        <is>
          <t>競合A</t>
        </is>
      </c>
      <c r="E412" s="5" t="inlineStr">
        <is>
          <t>競合A社製品</t>
        </is>
      </c>
      <c r="F412" s="5" t="inlineStr">
        <is>
          <t>注射剤</t>
        </is>
      </c>
      <c r="G412" s="5" t="n">
        <v>1182</v>
      </c>
      <c r="H412" s="5" t="n">
        <v>7188.7</v>
      </c>
      <c r="I412" s="5" t="n">
        <v>8499959</v>
      </c>
      <c r="J412" s="5" t="n">
        <v>0.3682</v>
      </c>
    </row>
    <row r="413">
      <c r="A413" s="4" t="inlineStr">
        <is>
          <t>2024-09</t>
        </is>
      </c>
      <c r="B413" s="4" t="inlineStr">
        <is>
          <t>腫瘍支持療法領域</t>
        </is>
      </c>
      <c r="C413" s="4" t="inlineStr">
        <is>
          <t>フィルグラスチム</t>
        </is>
      </c>
      <c r="D413" s="4" t="inlineStr">
        <is>
          <t>競合B</t>
        </is>
      </c>
      <c r="E413" s="4" t="inlineStr">
        <is>
          <t>競合B社製品</t>
        </is>
      </c>
      <c r="F413" s="4" t="inlineStr">
        <is>
          <t>注射剤</t>
        </is>
      </c>
      <c r="G413" s="4" t="n">
        <v>1129</v>
      </c>
      <c r="H413" s="4" t="n">
        <v>7121.8</v>
      </c>
      <c r="I413" s="4" t="n">
        <v>8041496</v>
      </c>
      <c r="J413" s="4" t="n">
        <v>0.3682</v>
      </c>
    </row>
    <row r="414">
      <c r="A414" s="5" t="inlineStr">
        <is>
          <t>2024-10</t>
        </is>
      </c>
      <c r="B414" s="5" t="inlineStr">
        <is>
          <t>腫瘍支持療法領域</t>
        </is>
      </c>
      <c r="C414" s="5" t="inlineStr">
        <is>
          <t>フィルグラスチム</t>
        </is>
      </c>
      <c r="D414" s="5" t="inlineStr">
        <is>
          <t>オリジナル</t>
        </is>
      </c>
      <c r="E414" s="5" t="inlineStr">
        <is>
          <t>グラン（オリジナル）</t>
        </is>
      </c>
      <c r="F414" s="5" t="inlineStr">
        <is>
          <t>注射剤</t>
        </is>
      </c>
      <c r="G414" s="5" t="n">
        <v>4927</v>
      </c>
      <c r="H414" s="5" t="n">
        <v>9568.1</v>
      </c>
      <c r="I414" s="5" t="n">
        <v>47146543</v>
      </c>
      <c r="J414" s="5" t="n">
        <v>0.3956</v>
      </c>
    </row>
    <row r="415">
      <c r="A415" s="4" t="inlineStr">
        <is>
          <t>2024-10</t>
        </is>
      </c>
      <c r="B415" s="4" t="inlineStr">
        <is>
          <t>腫瘍支持療法領域</t>
        </is>
      </c>
      <c r="C415" s="4" t="inlineStr">
        <is>
          <t>フィルグラスチム</t>
        </is>
      </c>
      <c r="D415" s="4" t="inlineStr">
        <is>
          <t>自社</t>
        </is>
      </c>
      <c r="E415" s="4" t="inlineStr">
        <is>
          <t>フィルグラスチムBS注「サンド」（自社合計）</t>
        </is>
      </c>
      <c r="F415" s="4" t="inlineStr">
        <is>
          <t>注射剤</t>
        </is>
      </c>
      <c r="G415" s="4" t="n">
        <v>712</v>
      </c>
      <c r="H415" s="4" t="n">
        <v>7087.5</v>
      </c>
      <c r="I415" s="4" t="n">
        <v>5046542</v>
      </c>
      <c r="J415" s="4" t="n">
        <v>0.3956</v>
      </c>
    </row>
    <row r="416">
      <c r="A416" s="5" t="inlineStr">
        <is>
          <t>2024-10</t>
        </is>
      </c>
      <c r="B416" s="5" t="inlineStr">
        <is>
          <t>腫瘍支持療法領域</t>
        </is>
      </c>
      <c r="C416" s="5" t="inlineStr">
        <is>
          <t>フィルグラスチム</t>
        </is>
      </c>
      <c r="D416" s="5" t="inlineStr">
        <is>
          <t>競合A</t>
        </is>
      </c>
      <c r="E416" s="5" t="inlineStr">
        <is>
          <t>競合A社製品</t>
        </is>
      </c>
      <c r="F416" s="5" t="inlineStr">
        <is>
          <t>注射剤</t>
        </is>
      </c>
      <c r="G416" s="5" t="n">
        <v>1384</v>
      </c>
      <c r="H416" s="5" t="n">
        <v>7125.6</v>
      </c>
      <c r="I416" s="5" t="n">
        <v>9865347</v>
      </c>
      <c r="J416" s="5" t="n">
        <v>0.3956</v>
      </c>
    </row>
    <row r="417">
      <c r="A417" s="4" t="inlineStr">
        <is>
          <t>2024-10</t>
        </is>
      </c>
      <c r="B417" s="4" t="inlineStr">
        <is>
          <t>腫瘍支持療法領域</t>
        </is>
      </c>
      <c r="C417" s="4" t="inlineStr">
        <is>
          <t>フィルグラスチム</t>
        </is>
      </c>
      <c r="D417" s="4" t="inlineStr">
        <is>
          <t>競合B</t>
        </is>
      </c>
      <c r="E417" s="4" t="inlineStr">
        <is>
          <t>競合B社製品</t>
        </is>
      </c>
      <c r="F417" s="4" t="inlineStr">
        <is>
          <t>注射剤</t>
        </is>
      </c>
      <c r="G417" s="4" t="n">
        <v>1128</v>
      </c>
      <c r="H417" s="4" t="n">
        <v>6999.7</v>
      </c>
      <c r="I417" s="4" t="n">
        <v>7898165</v>
      </c>
      <c r="J417" s="4" t="n">
        <v>0.3956</v>
      </c>
    </row>
    <row r="418">
      <c r="A418" s="5" t="inlineStr">
        <is>
          <t>2024-11</t>
        </is>
      </c>
      <c r="B418" s="5" t="inlineStr">
        <is>
          <t>腫瘍支持療法領域</t>
        </is>
      </c>
      <c r="C418" s="5" t="inlineStr">
        <is>
          <t>フィルグラスチム</t>
        </is>
      </c>
      <c r="D418" s="5" t="inlineStr">
        <is>
          <t>オリジナル</t>
        </is>
      </c>
      <c r="E418" s="5" t="inlineStr">
        <is>
          <t>グラン（オリジナル）</t>
        </is>
      </c>
      <c r="F418" s="5" t="inlineStr">
        <is>
          <t>注射剤</t>
        </is>
      </c>
      <c r="G418" s="5" t="n">
        <v>5070</v>
      </c>
      <c r="H418" s="5" t="n">
        <v>9568.1</v>
      </c>
      <c r="I418" s="5" t="n">
        <v>48511037</v>
      </c>
      <c r="J418" s="5" t="n">
        <v>0.3924</v>
      </c>
    </row>
    <row r="419">
      <c r="A419" s="4" t="inlineStr">
        <is>
          <t>2024-11</t>
        </is>
      </c>
      <c r="B419" s="4" t="inlineStr">
        <is>
          <t>腫瘍支持療法領域</t>
        </is>
      </c>
      <c r="C419" s="4" t="inlineStr">
        <is>
          <t>フィルグラスチム</t>
        </is>
      </c>
      <c r="D419" s="4" t="inlineStr">
        <is>
          <t>自社</t>
        </is>
      </c>
      <c r="E419" s="4" t="inlineStr">
        <is>
          <t>フィルグラスチムBS注「サンド」（自社合計）</t>
        </is>
      </c>
      <c r="F419" s="4" t="inlineStr">
        <is>
          <t>注射剤</t>
        </is>
      </c>
      <c r="G419" s="4" t="n">
        <v>728</v>
      </c>
      <c r="H419" s="4" t="n">
        <v>7087.5</v>
      </c>
      <c r="I419" s="4" t="n">
        <v>5157658</v>
      </c>
      <c r="J419" s="4" t="n">
        <v>0.3924</v>
      </c>
    </row>
    <row r="420">
      <c r="A420" s="5" t="inlineStr">
        <is>
          <t>2024-11</t>
        </is>
      </c>
      <c r="B420" s="5" t="inlineStr">
        <is>
          <t>腫瘍支持療法領域</t>
        </is>
      </c>
      <c r="C420" s="5" t="inlineStr">
        <is>
          <t>フィルグラスチム</t>
        </is>
      </c>
      <c r="D420" s="5" t="inlineStr">
        <is>
          <t>競合A</t>
        </is>
      </c>
      <c r="E420" s="5" t="inlineStr">
        <is>
          <t>競合A社製品</t>
        </is>
      </c>
      <c r="F420" s="5" t="inlineStr">
        <is>
          <t>注射剤</t>
        </is>
      </c>
      <c r="G420" s="5" t="n">
        <v>1504</v>
      </c>
      <c r="H420" s="5" t="n">
        <v>6940</v>
      </c>
      <c r="I420" s="5" t="n">
        <v>10440740</v>
      </c>
      <c r="J420" s="5" t="n">
        <v>0.3924</v>
      </c>
    </row>
    <row r="421">
      <c r="A421" s="4" t="inlineStr">
        <is>
          <t>2024-11</t>
        </is>
      </c>
      <c r="B421" s="4" t="inlineStr">
        <is>
          <t>腫瘍支持療法領域</t>
        </is>
      </c>
      <c r="C421" s="4" t="inlineStr">
        <is>
          <t>フィルグラスチム</t>
        </is>
      </c>
      <c r="D421" s="4" t="inlineStr">
        <is>
          <t>競合B</t>
        </is>
      </c>
      <c r="E421" s="4" t="inlineStr">
        <is>
          <t>競合B社製品</t>
        </is>
      </c>
      <c r="F421" s="4" t="inlineStr">
        <is>
          <t>注射剤</t>
        </is>
      </c>
      <c r="G421" s="4" t="n">
        <v>1042</v>
      </c>
      <c r="H421" s="4" t="n">
        <v>6745.5</v>
      </c>
      <c r="I421" s="4" t="n">
        <v>7026485</v>
      </c>
      <c r="J421" s="4" t="n">
        <v>0.3924</v>
      </c>
    </row>
    <row r="422">
      <c r="A422" s="5" t="inlineStr">
        <is>
          <t>2024-12</t>
        </is>
      </c>
      <c r="B422" s="5" t="inlineStr">
        <is>
          <t>腫瘍支持療法領域</t>
        </is>
      </c>
      <c r="C422" s="5" t="inlineStr">
        <is>
          <t>フィルグラスチム</t>
        </is>
      </c>
      <c r="D422" s="5" t="inlineStr">
        <is>
          <t>オリジナル</t>
        </is>
      </c>
      <c r="E422" s="5" t="inlineStr">
        <is>
          <t>グラン（オリジナル）</t>
        </is>
      </c>
      <c r="F422" s="5" t="inlineStr">
        <is>
          <t>注射剤</t>
        </is>
      </c>
      <c r="G422" s="5" t="n">
        <v>4793</v>
      </c>
      <c r="H422" s="5" t="n">
        <v>9568.1</v>
      </c>
      <c r="I422" s="5" t="n">
        <v>45864377</v>
      </c>
      <c r="J422" s="5" t="n">
        <v>0.439</v>
      </c>
    </row>
    <row r="423">
      <c r="A423" s="4" t="inlineStr">
        <is>
          <t>2024-12</t>
        </is>
      </c>
      <c r="B423" s="4" t="inlineStr">
        <is>
          <t>腫瘍支持療法領域</t>
        </is>
      </c>
      <c r="C423" s="4" t="inlineStr">
        <is>
          <t>フィルグラスチム</t>
        </is>
      </c>
      <c r="D423" s="4" t="inlineStr">
        <is>
          <t>自社</t>
        </is>
      </c>
      <c r="E423" s="4" t="inlineStr">
        <is>
          <t>フィルグラスチムBS注「サンド」（自社合計）</t>
        </is>
      </c>
      <c r="F423" s="4" t="inlineStr">
        <is>
          <t>注射剤</t>
        </is>
      </c>
      <c r="G423" s="4" t="n">
        <v>839</v>
      </c>
      <c r="H423" s="4" t="n">
        <v>7087.5</v>
      </c>
      <c r="I423" s="4" t="n">
        <v>5943903</v>
      </c>
      <c r="J423" s="4" t="n">
        <v>0.439</v>
      </c>
    </row>
    <row r="424">
      <c r="A424" s="5" t="inlineStr">
        <is>
          <t>2024-12</t>
        </is>
      </c>
      <c r="B424" s="5" t="inlineStr">
        <is>
          <t>腫瘍支持療法領域</t>
        </is>
      </c>
      <c r="C424" s="5" t="inlineStr">
        <is>
          <t>フィルグラスチム</t>
        </is>
      </c>
      <c r="D424" s="5" t="inlineStr">
        <is>
          <t>競合A</t>
        </is>
      </c>
      <c r="E424" s="5" t="inlineStr">
        <is>
          <t>競合A社製品</t>
        </is>
      </c>
      <c r="F424" s="5" t="inlineStr">
        <is>
          <t>注射剤</t>
        </is>
      </c>
      <c r="G424" s="5" t="n">
        <v>1433</v>
      </c>
      <c r="H424" s="5" t="n">
        <v>7043.5</v>
      </c>
      <c r="I424" s="5" t="n">
        <v>10092164</v>
      </c>
      <c r="J424" s="5" t="n">
        <v>0.439</v>
      </c>
    </row>
    <row r="425">
      <c r="A425" s="4" t="inlineStr">
        <is>
          <t>2024-12</t>
        </is>
      </c>
      <c r="B425" s="4" t="inlineStr">
        <is>
          <t>腫瘍支持療法領域</t>
        </is>
      </c>
      <c r="C425" s="4" t="inlineStr">
        <is>
          <t>フィルグラスチム</t>
        </is>
      </c>
      <c r="D425" s="4" t="inlineStr">
        <is>
          <t>競合B</t>
        </is>
      </c>
      <c r="E425" s="4" t="inlineStr">
        <is>
          <t>競合B社製品</t>
        </is>
      </c>
      <c r="F425" s="4" t="inlineStr">
        <is>
          <t>注射剤</t>
        </is>
      </c>
      <c r="G425" s="4" t="n">
        <v>1480</v>
      </c>
      <c r="H425" s="4" t="n">
        <v>7046.9</v>
      </c>
      <c r="I425" s="4" t="n">
        <v>10429839</v>
      </c>
      <c r="J425" s="4" t="n">
        <v>0.439</v>
      </c>
    </row>
    <row r="426">
      <c r="A426" s="5" t="inlineStr">
        <is>
          <t>2025-01</t>
        </is>
      </c>
      <c r="B426" s="5" t="inlineStr">
        <is>
          <t>腫瘍支持療法領域</t>
        </is>
      </c>
      <c r="C426" s="5" t="inlineStr">
        <is>
          <t>フィルグラスチム</t>
        </is>
      </c>
      <c r="D426" s="5" t="inlineStr">
        <is>
          <t>オリジナル</t>
        </is>
      </c>
      <c r="E426" s="5" t="inlineStr">
        <is>
          <t>グラン（オリジナル）</t>
        </is>
      </c>
      <c r="F426" s="5" t="inlineStr">
        <is>
          <t>注射剤</t>
        </is>
      </c>
      <c r="G426" s="5" t="n">
        <v>4812</v>
      </c>
      <c r="H426" s="5" t="n">
        <v>9568.1</v>
      </c>
      <c r="I426" s="5" t="n">
        <v>46039513</v>
      </c>
      <c r="J426" s="5" t="n">
        <v>0.4174</v>
      </c>
    </row>
    <row r="427">
      <c r="A427" s="4" t="inlineStr">
        <is>
          <t>2025-01</t>
        </is>
      </c>
      <c r="B427" s="4" t="inlineStr">
        <is>
          <t>腫瘍支持療法領域</t>
        </is>
      </c>
      <c r="C427" s="4" t="inlineStr">
        <is>
          <t>フィルグラスチム</t>
        </is>
      </c>
      <c r="D427" s="4" t="inlineStr">
        <is>
          <t>自社</t>
        </is>
      </c>
      <c r="E427" s="4" t="inlineStr">
        <is>
          <t>フィルグラスチムBS注「サンド」（自社合計）</t>
        </is>
      </c>
      <c r="F427" s="4" t="inlineStr">
        <is>
          <t>注射剤</t>
        </is>
      </c>
      <c r="G427" s="4" t="n">
        <v>809</v>
      </c>
      <c r="H427" s="4" t="n">
        <v>7087.5</v>
      </c>
      <c r="I427" s="4" t="n">
        <v>5731882</v>
      </c>
      <c r="J427" s="4" t="n">
        <v>0.4174</v>
      </c>
    </row>
    <row r="428">
      <c r="A428" s="5" t="inlineStr">
        <is>
          <t>2025-01</t>
        </is>
      </c>
      <c r="B428" s="5" t="inlineStr">
        <is>
          <t>腫瘍支持療法領域</t>
        </is>
      </c>
      <c r="C428" s="5" t="inlineStr">
        <is>
          <t>フィルグラスチム</t>
        </is>
      </c>
      <c r="D428" s="5" t="inlineStr">
        <is>
          <t>競合A</t>
        </is>
      </c>
      <c r="E428" s="5" t="inlineStr">
        <is>
          <t>競合A社製品</t>
        </is>
      </c>
      <c r="F428" s="5" t="inlineStr">
        <is>
          <t>注射剤</t>
        </is>
      </c>
      <c r="G428" s="5" t="n">
        <v>1493</v>
      </c>
      <c r="H428" s="5" t="n">
        <v>6875.7</v>
      </c>
      <c r="I428" s="5" t="n">
        <v>10263686</v>
      </c>
      <c r="J428" s="5" t="n">
        <v>0.4174</v>
      </c>
    </row>
    <row r="429">
      <c r="A429" s="4" t="inlineStr">
        <is>
          <t>2025-01</t>
        </is>
      </c>
      <c r="B429" s="4" t="inlineStr">
        <is>
          <t>腫瘍支持療法領域</t>
        </is>
      </c>
      <c r="C429" s="4" t="inlineStr">
        <is>
          <t>フィルグラスチム</t>
        </is>
      </c>
      <c r="D429" s="4" t="inlineStr">
        <is>
          <t>競合B</t>
        </is>
      </c>
      <c r="E429" s="4" t="inlineStr">
        <is>
          <t>競合B社製品</t>
        </is>
      </c>
      <c r="F429" s="4" t="inlineStr">
        <is>
          <t>注射剤</t>
        </is>
      </c>
      <c r="G429" s="4" t="n">
        <v>1146</v>
      </c>
      <c r="H429" s="4" t="n">
        <v>7186.6</v>
      </c>
      <c r="I429" s="4" t="n">
        <v>8234817</v>
      </c>
      <c r="J429" s="4" t="n">
        <v>0.4174</v>
      </c>
    </row>
    <row r="430">
      <c r="A430" s="5" t="inlineStr">
        <is>
          <t>2025-02</t>
        </is>
      </c>
      <c r="B430" s="5" t="inlineStr">
        <is>
          <t>腫瘍支持療法領域</t>
        </is>
      </c>
      <c r="C430" s="5" t="inlineStr">
        <is>
          <t>フィルグラスチム</t>
        </is>
      </c>
      <c r="D430" s="5" t="inlineStr">
        <is>
          <t>オリジナル</t>
        </is>
      </c>
      <c r="E430" s="5" t="inlineStr">
        <is>
          <t>グラン（オリジナル）</t>
        </is>
      </c>
      <c r="F430" s="5" t="inlineStr">
        <is>
          <t>注射剤</t>
        </is>
      </c>
      <c r="G430" s="5" t="n">
        <v>4803</v>
      </c>
      <c r="H430" s="5" t="n">
        <v>9568.1</v>
      </c>
      <c r="I430" s="5" t="n">
        <v>45955490</v>
      </c>
      <c r="J430" s="5" t="n">
        <v>0.4443</v>
      </c>
    </row>
    <row r="431">
      <c r="A431" s="4" t="inlineStr">
        <is>
          <t>2025-02</t>
        </is>
      </c>
      <c r="B431" s="4" t="inlineStr">
        <is>
          <t>腫瘍支持療法領域</t>
        </is>
      </c>
      <c r="C431" s="4" t="inlineStr">
        <is>
          <t>フィルグラスチム</t>
        </is>
      </c>
      <c r="D431" s="4" t="inlineStr">
        <is>
          <t>自社</t>
        </is>
      </c>
      <c r="E431" s="4" t="inlineStr">
        <is>
          <t>フィルグラスチムBS注「サンド」（自社合計）</t>
        </is>
      </c>
      <c r="F431" s="4" t="inlineStr">
        <is>
          <t>注射剤</t>
        </is>
      </c>
      <c r="G431" s="4" t="n">
        <v>870</v>
      </c>
      <c r="H431" s="4" t="n">
        <v>7087.5</v>
      </c>
      <c r="I431" s="4" t="n">
        <v>6169182</v>
      </c>
      <c r="J431" s="4" t="n">
        <v>0.4443</v>
      </c>
    </row>
    <row r="432">
      <c r="A432" s="5" t="inlineStr">
        <is>
          <t>2025-02</t>
        </is>
      </c>
      <c r="B432" s="5" t="inlineStr">
        <is>
          <t>腫瘍支持療法領域</t>
        </is>
      </c>
      <c r="C432" s="5" t="inlineStr">
        <is>
          <t>フィルグラスチム</t>
        </is>
      </c>
      <c r="D432" s="5" t="inlineStr">
        <is>
          <t>競合A</t>
        </is>
      </c>
      <c r="E432" s="5" t="inlineStr">
        <is>
          <t>競合A社製品</t>
        </is>
      </c>
      <c r="F432" s="5" t="inlineStr">
        <is>
          <t>注射剤</t>
        </is>
      </c>
      <c r="G432" s="5" t="n">
        <v>1621</v>
      </c>
      <c r="H432" s="5" t="n">
        <v>7174.7</v>
      </c>
      <c r="I432" s="5" t="n">
        <v>11630616</v>
      </c>
      <c r="J432" s="5" t="n">
        <v>0.4443</v>
      </c>
    </row>
    <row r="433">
      <c r="A433" s="4" t="inlineStr">
        <is>
          <t>2025-02</t>
        </is>
      </c>
      <c r="B433" s="4" t="inlineStr">
        <is>
          <t>腫瘍支持療法領域</t>
        </is>
      </c>
      <c r="C433" s="4" t="inlineStr">
        <is>
          <t>フィルグラスチム</t>
        </is>
      </c>
      <c r="D433" s="4" t="inlineStr">
        <is>
          <t>競合B</t>
        </is>
      </c>
      <c r="E433" s="4" t="inlineStr">
        <is>
          <t>競合B社製品</t>
        </is>
      </c>
      <c r="F433" s="4" t="inlineStr">
        <is>
          <t>注射剤</t>
        </is>
      </c>
      <c r="G433" s="4" t="n">
        <v>1349</v>
      </c>
      <c r="H433" s="4" t="n">
        <v>6842.2</v>
      </c>
      <c r="I433" s="4" t="n">
        <v>9232332</v>
      </c>
      <c r="J433" s="4" t="n">
        <v>0.4443</v>
      </c>
    </row>
    <row r="434">
      <c r="A434" s="5" t="inlineStr">
        <is>
          <t>2025-03</t>
        </is>
      </c>
      <c r="B434" s="5" t="inlineStr">
        <is>
          <t>腫瘍支持療法領域</t>
        </is>
      </c>
      <c r="C434" s="5" t="inlineStr">
        <is>
          <t>フィルグラスチム</t>
        </is>
      </c>
      <c r="D434" s="5" t="inlineStr">
        <is>
          <t>オリジナル</t>
        </is>
      </c>
      <c r="E434" s="5" t="inlineStr">
        <is>
          <t>グラン（オリジナル）</t>
        </is>
      </c>
      <c r="F434" s="5" t="inlineStr">
        <is>
          <t>注射剤</t>
        </is>
      </c>
      <c r="G434" s="5" t="n">
        <v>4939</v>
      </c>
      <c r="H434" s="5" t="n">
        <v>9568.1</v>
      </c>
      <c r="I434" s="5" t="n">
        <v>47252947</v>
      </c>
      <c r="J434" s="5" t="n">
        <v>0.4519</v>
      </c>
    </row>
    <row r="435">
      <c r="A435" s="4" t="inlineStr">
        <is>
          <t>2025-03</t>
        </is>
      </c>
      <c r="B435" s="4" t="inlineStr">
        <is>
          <t>腫瘍支持療法領域</t>
        </is>
      </c>
      <c r="C435" s="4" t="inlineStr">
        <is>
          <t>フィルグラスチム</t>
        </is>
      </c>
      <c r="D435" s="4" t="inlineStr">
        <is>
          <t>自社</t>
        </is>
      </c>
      <c r="E435" s="4" t="inlineStr">
        <is>
          <t>フィルグラスチムBS注「サンド」（自社合計）</t>
        </is>
      </c>
      <c r="F435" s="4" t="inlineStr">
        <is>
          <t>注射剤</t>
        </is>
      </c>
      <c r="G435" s="4" t="n">
        <v>1017</v>
      </c>
      <c r="H435" s="4" t="n">
        <v>7087.5</v>
      </c>
      <c r="I435" s="4" t="n">
        <v>7204813</v>
      </c>
      <c r="J435" s="4" t="n">
        <v>0.4519</v>
      </c>
    </row>
    <row r="436">
      <c r="A436" s="5" t="inlineStr">
        <is>
          <t>2025-03</t>
        </is>
      </c>
      <c r="B436" s="5" t="inlineStr">
        <is>
          <t>腫瘍支持療法領域</t>
        </is>
      </c>
      <c r="C436" s="5" t="inlineStr">
        <is>
          <t>フィルグラスチム</t>
        </is>
      </c>
      <c r="D436" s="5" t="inlineStr">
        <is>
          <t>競合A</t>
        </is>
      </c>
      <c r="E436" s="5" t="inlineStr">
        <is>
          <t>競合A社製品</t>
        </is>
      </c>
      <c r="F436" s="5" t="inlineStr">
        <is>
          <t>注射剤</t>
        </is>
      </c>
      <c r="G436" s="5" t="n">
        <v>1664</v>
      </c>
      <c r="H436" s="5" t="n">
        <v>7323.9</v>
      </c>
      <c r="I436" s="5" t="n">
        <v>12188696</v>
      </c>
      <c r="J436" s="5" t="n">
        <v>0.4519</v>
      </c>
    </row>
    <row r="437">
      <c r="A437" s="4" t="inlineStr">
        <is>
          <t>2025-03</t>
        </is>
      </c>
      <c r="B437" s="4" t="inlineStr">
        <is>
          <t>腫瘍支持療法領域</t>
        </is>
      </c>
      <c r="C437" s="4" t="inlineStr">
        <is>
          <t>フィルグラスチム</t>
        </is>
      </c>
      <c r="D437" s="4" t="inlineStr">
        <is>
          <t>競合B</t>
        </is>
      </c>
      <c r="E437" s="4" t="inlineStr">
        <is>
          <t>競合B社製品</t>
        </is>
      </c>
      <c r="F437" s="4" t="inlineStr">
        <is>
          <t>注射剤</t>
        </is>
      </c>
      <c r="G437" s="4" t="n">
        <v>1391</v>
      </c>
      <c r="H437" s="4" t="n">
        <v>6931</v>
      </c>
      <c r="I437" s="4" t="n">
        <v>9638766</v>
      </c>
      <c r="J437" s="4" t="n">
        <v>0.4519</v>
      </c>
    </row>
    <row r="438">
      <c r="A438" s="5" t="inlineStr">
        <is>
          <t>2025-04</t>
        </is>
      </c>
      <c r="B438" s="5" t="inlineStr">
        <is>
          <t>腫瘍支持療法領域</t>
        </is>
      </c>
      <c r="C438" s="5" t="inlineStr">
        <is>
          <t>フィルグラスチム</t>
        </is>
      </c>
      <c r="D438" s="5" t="inlineStr">
        <is>
          <t>オリジナル</t>
        </is>
      </c>
      <c r="E438" s="5" t="inlineStr">
        <is>
          <t>グラン（オリジナル）</t>
        </is>
      </c>
      <c r="F438" s="5" t="inlineStr">
        <is>
          <t>注射剤</t>
        </is>
      </c>
      <c r="G438" s="5" t="n">
        <v>4233</v>
      </c>
      <c r="H438" s="5" t="n">
        <v>9281.1</v>
      </c>
      <c r="I438" s="5" t="n">
        <v>39283477</v>
      </c>
      <c r="J438" s="5" t="n">
        <v>0.4712</v>
      </c>
    </row>
    <row r="439">
      <c r="A439" s="4" t="inlineStr">
        <is>
          <t>2025-04</t>
        </is>
      </c>
      <c r="B439" s="4" t="inlineStr">
        <is>
          <t>腫瘍支持療法領域</t>
        </is>
      </c>
      <c r="C439" s="4" t="inlineStr">
        <is>
          <t>フィルグラスチム</t>
        </is>
      </c>
      <c r="D439" s="4" t="inlineStr">
        <is>
          <t>自社</t>
        </is>
      </c>
      <c r="E439" s="4" t="inlineStr">
        <is>
          <t>フィルグラスチムBS注「サンド」（自社合計）</t>
        </is>
      </c>
      <c r="F439" s="4" t="inlineStr">
        <is>
          <t>注射剤</t>
        </is>
      </c>
      <c r="G439" s="4" t="n">
        <v>844</v>
      </c>
      <c r="H439" s="4" t="n">
        <v>6874.9</v>
      </c>
      <c r="I439" s="4" t="n">
        <v>5800545</v>
      </c>
      <c r="J439" s="4" t="n">
        <v>0.4712</v>
      </c>
    </row>
    <row r="440">
      <c r="A440" s="5" t="inlineStr">
        <is>
          <t>2025-04</t>
        </is>
      </c>
      <c r="B440" s="5" t="inlineStr">
        <is>
          <t>腫瘍支持療法領域</t>
        </is>
      </c>
      <c r="C440" s="5" t="inlineStr">
        <is>
          <t>フィルグラスチム</t>
        </is>
      </c>
      <c r="D440" s="5" t="inlineStr">
        <is>
          <t>競合A</t>
        </is>
      </c>
      <c r="E440" s="5" t="inlineStr">
        <is>
          <t>競合A社製品</t>
        </is>
      </c>
      <c r="F440" s="5" t="inlineStr">
        <is>
          <t>注射剤</t>
        </is>
      </c>
      <c r="G440" s="5" t="n">
        <v>1626</v>
      </c>
      <c r="H440" s="5" t="n">
        <v>7041.6</v>
      </c>
      <c r="I440" s="5" t="n">
        <v>11448788</v>
      </c>
      <c r="J440" s="5" t="n">
        <v>0.4712</v>
      </c>
    </row>
    <row r="441">
      <c r="A441" s="4" t="inlineStr">
        <is>
          <t>2025-04</t>
        </is>
      </c>
      <c r="B441" s="4" t="inlineStr">
        <is>
          <t>腫瘍支持療法領域</t>
        </is>
      </c>
      <c r="C441" s="4" t="inlineStr">
        <is>
          <t>フィルグラスチム</t>
        </is>
      </c>
      <c r="D441" s="4" t="inlineStr">
        <is>
          <t>競合B</t>
        </is>
      </c>
      <c r="E441" s="4" t="inlineStr">
        <is>
          <t>競合B社製品</t>
        </is>
      </c>
      <c r="F441" s="4" t="inlineStr">
        <is>
          <t>注射剤</t>
        </is>
      </c>
      <c r="G441" s="4" t="n">
        <v>1302</v>
      </c>
      <c r="H441" s="4" t="n">
        <v>6830.4</v>
      </c>
      <c r="I441" s="4" t="n">
        <v>8892683</v>
      </c>
      <c r="J441" s="4" t="n">
        <v>0.4712</v>
      </c>
    </row>
    <row r="442">
      <c r="A442" s="5" t="inlineStr">
        <is>
          <t>2025-05</t>
        </is>
      </c>
      <c r="B442" s="5" t="inlineStr">
        <is>
          <t>腫瘍支持療法領域</t>
        </is>
      </c>
      <c r="C442" s="5" t="inlineStr">
        <is>
          <t>フィルグラスチム</t>
        </is>
      </c>
      <c r="D442" s="5" t="inlineStr">
        <is>
          <t>オリジナル</t>
        </is>
      </c>
      <c r="E442" s="5" t="inlineStr">
        <is>
          <t>グラン（オリジナル）</t>
        </is>
      </c>
      <c r="F442" s="5" t="inlineStr">
        <is>
          <t>注射剤</t>
        </is>
      </c>
      <c r="G442" s="5" t="n">
        <v>4197</v>
      </c>
      <c r="H442" s="5" t="n">
        <v>9281.1</v>
      </c>
      <c r="I442" s="5" t="n">
        <v>38954953</v>
      </c>
      <c r="J442" s="5" t="n">
        <v>0.4791</v>
      </c>
    </row>
    <row r="443">
      <c r="A443" s="4" t="inlineStr">
        <is>
          <t>2025-05</t>
        </is>
      </c>
      <c r="B443" s="4" t="inlineStr">
        <is>
          <t>腫瘍支持療法領域</t>
        </is>
      </c>
      <c r="C443" s="4" t="inlineStr">
        <is>
          <t>フィルグラスチム</t>
        </is>
      </c>
      <c r="D443" s="4" t="inlineStr">
        <is>
          <t>自社</t>
        </is>
      </c>
      <c r="E443" s="4" t="inlineStr">
        <is>
          <t>フィルグラスチムBS注「サンド」（自社合計）</t>
        </is>
      </c>
      <c r="F443" s="4" t="inlineStr">
        <is>
          <t>注射剤</t>
        </is>
      </c>
      <c r="G443" s="4" t="n">
        <v>867</v>
      </c>
      <c r="H443" s="4" t="n">
        <v>6874.9</v>
      </c>
      <c r="I443" s="4" t="n">
        <v>5960461</v>
      </c>
      <c r="J443" s="4" t="n">
        <v>0.4791</v>
      </c>
    </row>
    <row r="444">
      <c r="A444" s="5" t="inlineStr">
        <is>
          <t>2025-05</t>
        </is>
      </c>
      <c r="B444" s="5" t="inlineStr">
        <is>
          <t>腫瘍支持療法領域</t>
        </is>
      </c>
      <c r="C444" s="5" t="inlineStr">
        <is>
          <t>フィルグラスチム</t>
        </is>
      </c>
      <c r="D444" s="5" t="inlineStr">
        <is>
          <t>競合A</t>
        </is>
      </c>
      <c r="E444" s="5" t="inlineStr">
        <is>
          <t>競合A社製品</t>
        </is>
      </c>
      <c r="F444" s="5" t="inlineStr">
        <is>
          <t>注射剤</t>
        </is>
      </c>
      <c r="G444" s="5" t="n">
        <v>1616</v>
      </c>
      <c r="H444" s="5" t="n">
        <v>6863.7</v>
      </c>
      <c r="I444" s="5" t="n">
        <v>11089793</v>
      </c>
      <c r="J444" s="5" t="n">
        <v>0.4791</v>
      </c>
    </row>
    <row r="445">
      <c r="A445" s="4" t="inlineStr">
        <is>
          <t>2025-05</t>
        </is>
      </c>
      <c r="B445" s="4" t="inlineStr">
        <is>
          <t>腫瘍支持療法領域</t>
        </is>
      </c>
      <c r="C445" s="4" t="inlineStr">
        <is>
          <t>フィルグラスチム</t>
        </is>
      </c>
      <c r="D445" s="4" t="inlineStr">
        <is>
          <t>競合B</t>
        </is>
      </c>
      <c r="E445" s="4" t="inlineStr">
        <is>
          <t>競合B社製品</t>
        </is>
      </c>
      <c r="F445" s="4" t="inlineStr">
        <is>
          <t>注射剤</t>
        </is>
      </c>
      <c r="G445" s="4" t="n">
        <v>1378</v>
      </c>
      <c r="H445" s="4" t="n">
        <v>6640.4</v>
      </c>
      <c r="I445" s="4" t="n">
        <v>9149461</v>
      </c>
      <c r="J445" s="4" t="n">
        <v>0.4791</v>
      </c>
    </row>
    <row r="446">
      <c r="A446" s="5" t="inlineStr">
        <is>
          <t>2025-06</t>
        </is>
      </c>
      <c r="B446" s="5" t="inlineStr">
        <is>
          <t>腫瘍支持療法領域</t>
        </is>
      </c>
      <c r="C446" s="5" t="inlineStr">
        <is>
          <t>フィルグラスチム</t>
        </is>
      </c>
      <c r="D446" s="5" t="inlineStr">
        <is>
          <t>オリジナル</t>
        </is>
      </c>
      <c r="E446" s="5" t="inlineStr">
        <is>
          <t>グラン（オリジナル）</t>
        </is>
      </c>
      <c r="F446" s="5" t="inlineStr">
        <is>
          <t>注射剤</t>
        </is>
      </c>
      <c r="G446" s="5" t="n">
        <v>4086</v>
      </c>
      <c r="H446" s="5" t="n">
        <v>9281.1</v>
      </c>
      <c r="I446" s="5" t="n">
        <v>37922201</v>
      </c>
      <c r="J446" s="5" t="n">
        <v>0.4945</v>
      </c>
    </row>
    <row r="447">
      <c r="A447" s="4" t="inlineStr">
        <is>
          <t>2025-06</t>
        </is>
      </c>
      <c r="B447" s="4" t="inlineStr">
        <is>
          <t>腫瘍支持療法領域</t>
        </is>
      </c>
      <c r="C447" s="4" t="inlineStr">
        <is>
          <t>フィルグラスチム</t>
        </is>
      </c>
      <c r="D447" s="4" t="inlineStr">
        <is>
          <t>自社</t>
        </is>
      </c>
      <c r="E447" s="4" t="inlineStr">
        <is>
          <t>フィルグラスチムBS注「サンド」（自社合計）</t>
        </is>
      </c>
      <c r="F447" s="4" t="inlineStr">
        <is>
          <t>注射剤</t>
        </is>
      </c>
      <c r="G447" s="4" t="n">
        <v>918</v>
      </c>
      <c r="H447" s="4" t="n">
        <v>6874.9</v>
      </c>
      <c r="I447" s="4" t="n">
        <v>6307749</v>
      </c>
      <c r="J447" s="4" t="n">
        <v>0.4945</v>
      </c>
    </row>
    <row r="448">
      <c r="A448" s="5" t="inlineStr">
        <is>
          <t>2025-06</t>
        </is>
      </c>
      <c r="B448" s="5" t="inlineStr">
        <is>
          <t>腫瘍支持療法領域</t>
        </is>
      </c>
      <c r="C448" s="5" t="inlineStr">
        <is>
          <t>フィルグラスチム</t>
        </is>
      </c>
      <c r="D448" s="5" t="inlineStr">
        <is>
          <t>競合A</t>
        </is>
      </c>
      <c r="E448" s="5" t="inlineStr">
        <is>
          <t>競合A社製品</t>
        </is>
      </c>
      <c r="F448" s="5" t="inlineStr">
        <is>
          <t>注射剤</t>
        </is>
      </c>
      <c r="G448" s="5" t="n">
        <v>1457</v>
      </c>
      <c r="H448" s="5" t="n">
        <v>6982.8</v>
      </c>
      <c r="I448" s="5" t="n">
        <v>10171003</v>
      </c>
      <c r="J448" s="5" t="n">
        <v>0.4945</v>
      </c>
    </row>
    <row r="449">
      <c r="A449" s="4" t="inlineStr">
        <is>
          <t>2025-06</t>
        </is>
      </c>
      <c r="B449" s="4" t="inlineStr">
        <is>
          <t>腫瘍支持療法領域</t>
        </is>
      </c>
      <c r="C449" s="4" t="inlineStr">
        <is>
          <t>フィルグラスチム</t>
        </is>
      </c>
      <c r="D449" s="4" t="inlineStr">
        <is>
          <t>競合B</t>
        </is>
      </c>
      <c r="E449" s="4" t="inlineStr">
        <is>
          <t>競合B社製品</t>
        </is>
      </c>
      <c r="F449" s="4" t="inlineStr">
        <is>
          <t>注射剤</t>
        </is>
      </c>
      <c r="G449" s="4" t="n">
        <v>1622</v>
      </c>
      <c r="H449" s="4" t="n">
        <v>6912.3</v>
      </c>
      <c r="I449" s="4" t="n">
        <v>11215225</v>
      </c>
      <c r="J449" s="4" t="n">
        <v>0.4945</v>
      </c>
    </row>
    <row r="450">
      <c r="A450" s="5" t="inlineStr">
        <is>
          <t>2025-07</t>
        </is>
      </c>
      <c r="B450" s="5" t="inlineStr">
        <is>
          <t>腫瘍支持療法領域</t>
        </is>
      </c>
      <c r="C450" s="5" t="inlineStr">
        <is>
          <t>フィルグラスチム</t>
        </is>
      </c>
      <c r="D450" s="5" t="inlineStr">
        <is>
          <t>オリジナル</t>
        </is>
      </c>
      <c r="E450" s="5" t="inlineStr">
        <is>
          <t>グラン（オリジナル）</t>
        </is>
      </c>
      <c r="F450" s="5" t="inlineStr">
        <is>
          <t>注射剤</t>
        </is>
      </c>
      <c r="G450" s="5" t="n">
        <v>4238</v>
      </c>
      <c r="H450" s="5" t="n">
        <v>9281.1</v>
      </c>
      <c r="I450" s="5" t="n">
        <v>39337753</v>
      </c>
      <c r="J450" s="5" t="n">
        <v>0.486</v>
      </c>
    </row>
    <row r="451">
      <c r="A451" s="4" t="inlineStr">
        <is>
          <t>2025-07</t>
        </is>
      </c>
      <c r="B451" s="4" t="inlineStr">
        <is>
          <t>腫瘍支持療法領域</t>
        </is>
      </c>
      <c r="C451" s="4" t="inlineStr">
        <is>
          <t>フィルグラスチム</t>
        </is>
      </c>
      <c r="D451" s="4" t="inlineStr">
        <is>
          <t>自社</t>
        </is>
      </c>
      <c r="E451" s="4" t="inlineStr">
        <is>
          <t>フィルグラスチムBS注「サンド」（自社合計）</t>
        </is>
      </c>
      <c r="F451" s="4" t="inlineStr">
        <is>
          <t>注射剤</t>
        </is>
      </c>
      <c r="G451" s="4" t="n">
        <v>979</v>
      </c>
      <c r="H451" s="4" t="n">
        <v>6874.9</v>
      </c>
      <c r="I451" s="4" t="n">
        <v>6731412</v>
      </c>
      <c r="J451" s="4" t="n">
        <v>0.486</v>
      </c>
    </row>
    <row r="452">
      <c r="A452" s="5" t="inlineStr">
        <is>
          <t>2025-07</t>
        </is>
      </c>
      <c r="B452" s="5" t="inlineStr">
        <is>
          <t>腫瘍支持療法領域</t>
        </is>
      </c>
      <c r="C452" s="5" t="inlineStr">
        <is>
          <t>フィルグラスチム</t>
        </is>
      </c>
      <c r="D452" s="5" t="inlineStr">
        <is>
          <t>競合A</t>
        </is>
      </c>
      <c r="E452" s="5" t="inlineStr">
        <is>
          <t>競合A社製品</t>
        </is>
      </c>
      <c r="F452" s="5" t="inlineStr">
        <is>
          <t>注射剤</t>
        </is>
      </c>
      <c r="G452" s="5" t="n">
        <v>1697</v>
      </c>
      <c r="H452" s="5" t="n">
        <v>7202.5</v>
      </c>
      <c r="I452" s="5" t="n">
        <v>12222868</v>
      </c>
      <c r="J452" s="5" t="n">
        <v>0.486</v>
      </c>
    </row>
    <row r="453">
      <c r="A453" s="4" t="inlineStr">
        <is>
          <t>2025-07</t>
        </is>
      </c>
      <c r="B453" s="4" t="inlineStr">
        <is>
          <t>腫瘍支持療法領域</t>
        </is>
      </c>
      <c r="C453" s="4" t="inlineStr">
        <is>
          <t>フィルグラスチム</t>
        </is>
      </c>
      <c r="D453" s="4" t="inlineStr">
        <is>
          <t>競合B</t>
        </is>
      </c>
      <c r="E453" s="4" t="inlineStr">
        <is>
          <t>競合B社製品</t>
        </is>
      </c>
      <c r="F453" s="4" t="inlineStr">
        <is>
          <t>注射剤</t>
        </is>
      </c>
      <c r="G453" s="4" t="n">
        <v>1331</v>
      </c>
      <c r="H453" s="4" t="n">
        <v>6932.6</v>
      </c>
      <c r="I453" s="4" t="n">
        <v>9225887</v>
      </c>
      <c r="J453" s="4" t="n">
        <v>0.486</v>
      </c>
    </row>
    <row r="454">
      <c r="A454" s="5" t="inlineStr">
        <is>
          <t>2025-08</t>
        </is>
      </c>
      <c r="B454" s="5" t="inlineStr">
        <is>
          <t>腫瘍支持療法領域</t>
        </is>
      </c>
      <c r="C454" s="5" t="inlineStr">
        <is>
          <t>フィルグラスチム</t>
        </is>
      </c>
      <c r="D454" s="5" t="inlineStr">
        <is>
          <t>オリジナル</t>
        </is>
      </c>
      <c r="E454" s="5" t="inlineStr">
        <is>
          <t>グラン（オリジナル）</t>
        </is>
      </c>
      <c r="F454" s="5" t="inlineStr">
        <is>
          <t>注射剤</t>
        </is>
      </c>
      <c r="G454" s="5" t="n">
        <v>4170</v>
      </c>
      <c r="H454" s="5" t="n">
        <v>9281.1</v>
      </c>
      <c r="I454" s="5" t="n">
        <v>38699578</v>
      </c>
      <c r="J454" s="5" t="n">
        <v>0.5061</v>
      </c>
    </row>
    <row r="455">
      <c r="A455" s="4" t="inlineStr">
        <is>
          <t>2025-08</t>
        </is>
      </c>
      <c r="B455" s="4" t="inlineStr">
        <is>
          <t>腫瘍支持療法領域</t>
        </is>
      </c>
      <c r="C455" s="4" t="inlineStr">
        <is>
          <t>フィルグラスチム</t>
        </is>
      </c>
      <c r="D455" s="4" t="inlineStr">
        <is>
          <t>自社</t>
        </is>
      </c>
      <c r="E455" s="4" t="inlineStr">
        <is>
          <t>フィルグラスチムBS注「サンド」（自社合計）</t>
        </is>
      </c>
      <c r="F455" s="4" t="inlineStr">
        <is>
          <t>注射剤</t>
        </is>
      </c>
      <c r="G455" s="4" t="n">
        <v>1048</v>
      </c>
      <c r="H455" s="4" t="n">
        <v>6874.9</v>
      </c>
      <c r="I455" s="4" t="n">
        <v>7207249</v>
      </c>
      <c r="J455" s="4" t="n">
        <v>0.5061</v>
      </c>
    </row>
    <row r="456">
      <c r="A456" s="5" t="inlineStr">
        <is>
          <t>2025-08</t>
        </is>
      </c>
      <c r="B456" s="5" t="inlineStr">
        <is>
          <t>腫瘍支持療法領域</t>
        </is>
      </c>
      <c r="C456" s="5" t="inlineStr">
        <is>
          <t>フィルグラスチム</t>
        </is>
      </c>
      <c r="D456" s="5" t="inlineStr">
        <is>
          <t>競合A</t>
        </is>
      </c>
      <c r="E456" s="5" t="inlineStr">
        <is>
          <t>競合A社製品</t>
        </is>
      </c>
      <c r="F456" s="5" t="inlineStr">
        <is>
          <t>注射剤</t>
        </is>
      </c>
      <c r="G456" s="5" t="n">
        <v>1834</v>
      </c>
      <c r="H456" s="5" t="n">
        <v>7047</v>
      </c>
      <c r="I456" s="5" t="n">
        <v>12922579</v>
      </c>
      <c r="J456" s="5" t="n">
        <v>0.5061</v>
      </c>
    </row>
    <row r="457">
      <c r="A457" s="4" t="inlineStr">
        <is>
          <t>2025-08</t>
        </is>
      </c>
      <c r="B457" s="4" t="inlineStr">
        <is>
          <t>腫瘍支持療法領域</t>
        </is>
      </c>
      <c r="C457" s="4" t="inlineStr">
        <is>
          <t>フィルグラスチム</t>
        </is>
      </c>
      <c r="D457" s="4" t="inlineStr">
        <is>
          <t>競合B</t>
        </is>
      </c>
      <c r="E457" s="4" t="inlineStr">
        <is>
          <t>競合B社製品</t>
        </is>
      </c>
      <c r="F457" s="4" t="inlineStr">
        <is>
          <t>注射剤</t>
        </is>
      </c>
      <c r="G457" s="4" t="n">
        <v>1390</v>
      </c>
      <c r="H457" s="4" t="n">
        <v>6803.2</v>
      </c>
      <c r="I457" s="4" t="n">
        <v>9459365</v>
      </c>
      <c r="J457" s="4" t="n">
        <v>0.5061</v>
      </c>
    </row>
    <row r="458">
      <c r="A458" s="5" t="inlineStr">
        <is>
          <t>2025-09</t>
        </is>
      </c>
      <c r="B458" s="5" t="inlineStr">
        <is>
          <t>腫瘍支持療法領域</t>
        </is>
      </c>
      <c r="C458" s="5" t="inlineStr">
        <is>
          <t>フィルグラスチム</t>
        </is>
      </c>
      <c r="D458" s="5" t="inlineStr">
        <is>
          <t>オリジナル</t>
        </is>
      </c>
      <c r="E458" s="5" t="inlineStr">
        <is>
          <t>グラン（オリジナル）</t>
        </is>
      </c>
      <c r="F458" s="5" t="inlineStr">
        <is>
          <t>注射剤</t>
        </is>
      </c>
      <c r="G458" s="5" t="n">
        <v>4069</v>
      </c>
      <c r="H458" s="5" t="n">
        <v>9281.1</v>
      </c>
      <c r="I458" s="5" t="n">
        <v>37760731</v>
      </c>
      <c r="J458" s="5" t="n">
        <v>0.5108</v>
      </c>
    </row>
    <row r="459">
      <c r="A459" s="4" t="inlineStr">
        <is>
          <t>2025-09</t>
        </is>
      </c>
      <c r="B459" s="4" t="inlineStr">
        <is>
          <t>腫瘍支持療法領域</t>
        </is>
      </c>
      <c r="C459" s="4" t="inlineStr">
        <is>
          <t>フィルグラスチム</t>
        </is>
      </c>
      <c r="D459" s="4" t="inlineStr">
        <is>
          <t>自社</t>
        </is>
      </c>
      <c r="E459" s="4" t="inlineStr">
        <is>
          <t>フィルグラスチムBS注「サンド」（自社合計）</t>
        </is>
      </c>
      <c r="F459" s="4" t="inlineStr">
        <is>
          <t>注射剤</t>
        </is>
      </c>
      <c r="G459" s="4" t="n">
        <v>1046</v>
      </c>
      <c r="H459" s="4" t="n">
        <v>6874.9</v>
      </c>
      <c r="I459" s="4" t="n">
        <v>7193554</v>
      </c>
      <c r="J459" s="4" t="n">
        <v>0.5108</v>
      </c>
    </row>
    <row r="460">
      <c r="A460" s="5" t="inlineStr">
        <is>
          <t>2025-09</t>
        </is>
      </c>
      <c r="B460" s="5" t="inlineStr">
        <is>
          <t>腫瘍支持療法領域</t>
        </is>
      </c>
      <c r="C460" s="5" t="inlineStr">
        <is>
          <t>フィルグラスチム</t>
        </is>
      </c>
      <c r="D460" s="5" t="inlineStr">
        <is>
          <t>競合A</t>
        </is>
      </c>
      <c r="E460" s="5" t="inlineStr">
        <is>
          <t>競合A社製品</t>
        </is>
      </c>
      <c r="F460" s="5" t="inlineStr">
        <is>
          <t>注射剤</t>
        </is>
      </c>
      <c r="G460" s="5" t="n">
        <v>1905</v>
      </c>
      <c r="H460" s="5" t="n">
        <v>6811.8</v>
      </c>
      <c r="I460" s="5" t="n">
        <v>12975868</v>
      </c>
      <c r="J460" s="5" t="n">
        <v>0.5108</v>
      </c>
    </row>
    <row r="461">
      <c r="A461" s="4" t="inlineStr">
        <is>
          <t>2025-09</t>
        </is>
      </c>
      <c r="B461" s="4" t="inlineStr">
        <is>
          <t>腫瘍支持療法領域</t>
        </is>
      </c>
      <c r="C461" s="4" t="inlineStr">
        <is>
          <t>フィルグラスチム</t>
        </is>
      </c>
      <c r="D461" s="4" t="inlineStr">
        <is>
          <t>競合B</t>
        </is>
      </c>
      <c r="E461" s="4" t="inlineStr">
        <is>
          <t>競合B社製品</t>
        </is>
      </c>
      <c r="F461" s="4" t="inlineStr">
        <is>
          <t>注射剤</t>
        </is>
      </c>
      <c r="G461" s="4" t="n">
        <v>1297</v>
      </c>
      <c r="H461" s="4" t="n">
        <v>6816.5</v>
      </c>
      <c r="I461" s="4" t="n">
        <v>8840176</v>
      </c>
      <c r="J461" s="4" t="n">
        <v>0.5108</v>
      </c>
    </row>
    <row r="462">
      <c r="A462" s="5" t="inlineStr">
        <is>
          <t>2025-10</t>
        </is>
      </c>
      <c r="B462" s="5" t="inlineStr">
        <is>
          <t>腫瘍支持療法領域</t>
        </is>
      </c>
      <c r="C462" s="5" t="inlineStr">
        <is>
          <t>フィルグラスチム</t>
        </is>
      </c>
      <c r="D462" s="5" t="inlineStr">
        <is>
          <t>オリジナル</t>
        </is>
      </c>
      <c r="E462" s="5" t="inlineStr">
        <is>
          <t>グラン（オリジナル）</t>
        </is>
      </c>
      <c r="F462" s="5" t="inlineStr">
        <is>
          <t>注射剤</t>
        </is>
      </c>
      <c r="G462" s="5" t="n">
        <v>4057</v>
      </c>
      <c r="H462" s="5" t="n">
        <v>9281.1</v>
      </c>
      <c r="I462" s="5" t="n">
        <v>37650383</v>
      </c>
      <c r="J462" s="5" t="n">
        <v>0.5202</v>
      </c>
    </row>
    <row r="463">
      <c r="A463" s="4" t="inlineStr">
        <is>
          <t>2025-10</t>
        </is>
      </c>
      <c r="B463" s="4" t="inlineStr">
        <is>
          <t>腫瘍支持療法領域</t>
        </is>
      </c>
      <c r="C463" s="4" t="inlineStr">
        <is>
          <t>フィルグラスチム</t>
        </is>
      </c>
      <c r="D463" s="4" t="inlineStr">
        <is>
          <t>自社</t>
        </is>
      </c>
      <c r="E463" s="4" t="inlineStr">
        <is>
          <t>フィルグラスチムBS注「サンド」（自社合計）</t>
        </is>
      </c>
      <c r="F463" s="4" t="inlineStr">
        <is>
          <t>注射剤</t>
        </is>
      </c>
      <c r="G463" s="4" t="n">
        <v>1096</v>
      </c>
      <c r="H463" s="4" t="n">
        <v>6874.9</v>
      </c>
      <c r="I463" s="4" t="n">
        <v>7532957</v>
      </c>
      <c r="J463" s="4" t="n">
        <v>0.5202</v>
      </c>
    </row>
    <row r="464">
      <c r="A464" s="5" t="inlineStr">
        <is>
          <t>2025-10</t>
        </is>
      </c>
      <c r="B464" s="5" t="inlineStr">
        <is>
          <t>腫瘍支持療法領域</t>
        </is>
      </c>
      <c r="C464" s="5" t="inlineStr">
        <is>
          <t>フィルグラスチム</t>
        </is>
      </c>
      <c r="D464" s="5" t="inlineStr">
        <is>
          <t>競合A</t>
        </is>
      </c>
      <c r="E464" s="5" t="inlineStr">
        <is>
          <t>競合A社製品</t>
        </is>
      </c>
      <c r="F464" s="5" t="inlineStr">
        <is>
          <t>注射剤</t>
        </is>
      </c>
      <c r="G464" s="5" t="n">
        <v>1593</v>
      </c>
      <c r="H464" s="5" t="n">
        <v>6761.2</v>
      </c>
      <c r="I464" s="5" t="n">
        <v>10772954</v>
      </c>
      <c r="J464" s="5" t="n">
        <v>0.5202</v>
      </c>
    </row>
    <row r="465">
      <c r="A465" s="4" t="inlineStr">
        <is>
          <t>2025-10</t>
        </is>
      </c>
      <c r="B465" s="4" t="inlineStr">
        <is>
          <t>腫瘍支持療法領域</t>
        </is>
      </c>
      <c r="C465" s="4" t="inlineStr">
        <is>
          <t>フィルグラスチム</t>
        </is>
      </c>
      <c r="D465" s="4" t="inlineStr">
        <is>
          <t>競合B</t>
        </is>
      </c>
      <c r="E465" s="4" t="inlineStr">
        <is>
          <t>競合B社製品</t>
        </is>
      </c>
      <c r="F465" s="4" t="inlineStr">
        <is>
          <t>注射剤</t>
        </is>
      </c>
      <c r="G465" s="4" t="n">
        <v>1709</v>
      </c>
      <c r="H465" s="4" t="n">
        <v>6767.3</v>
      </c>
      <c r="I465" s="4" t="n">
        <v>11567288</v>
      </c>
      <c r="J465" s="4" t="n">
        <v>0.5202</v>
      </c>
    </row>
    <row r="466">
      <c r="A466" s="5" t="inlineStr">
        <is>
          <t>2025-11</t>
        </is>
      </c>
      <c r="B466" s="5" t="inlineStr">
        <is>
          <t>腫瘍支持療法領域</t>
        </is>
      </c>
      <c r="C466" s="5" t="inlineStr">
        <is>
          <t>フィルグラスチム</t>
        </is>
      </c>
      <c r="D466" s="5" t="inlineStr">
        <is>
          <t>オリジナル</t>
        </is>
      </c>
      <c r="E466" s="5" t="inlineStr">
        <is>
          <t>グラン（オリジナル）</t>
        </is>
      </c>
      <c r="F466" s="5" t="inlineStr">
        <is>
          <t>注射剤</t>
        </is>
      </c>
      <c r="G466" s="5" t="n">
        <v>3856</v>
      </c>
      <c r="H466" s="5" t="n">
        <v>9281.1</v>
      </c>
      <c r="I466" s="5" t="n">
        <v>35791926</v>
      </c>
      <c r="J466" s="5" t="n">
        <v>0.5194</v>
      </c>
    </row>
    <row r="467">
      <c r="A467" s="4" t="inlineStr">
        <is>
          <t>2025-11</t>
        </is>
      </c>
      <c r="B467" s="4" t="inlineStr">
        <is>
          <t>腫瘍支持療法領域</t>
        </is>
      </c>
      <c r="C467" s="4" t="inlineStr">
        <is>
          <t>フィルグラスチム</t>
        </is>
      </c>
      <c r="D467" s="4" t="inlineStr">
        <is>
          <t>自社</t>
        </is>
      </c>
      <c r="E467" s="4" t="inlineStr">
        <is>
          <t>フィルグラスチムBS注「サンド」（自社合計）</t>
        </is>
      </c>
      <c r="F467" s="4" t="inlineStr">
        <is>
          <t>注射剤</t>
        </is>
      </c>
      <c r="G467" s="4" t="n">
        <v>965</v>
      </c>
      <c r="H467" s="4" t="n">
        <v>6874.9</v>
      </c>
      <c r="I467" s="4" t="n">
        <v>6637481</v>
      </c>
      <c r="J467" s="4" t="n">
        <v>0.5194</v>
      </c>
    </row>
    <row r="468">
      <c r="A468" s="5" t="inlineStr">
        <is>
          <t>2025-11</t>
        </is>
      </c>
      <c r="B468" s="5" t="inlineStr">
        <is>
          <t>腫瘍支持療法領域</t>
        </is>
      </c>
      <c r="C468" s="5" t="inlineStr">
        <is>
          <t>フィルグラスチム</t>
        </is>
      </c>
      <c r="D468" s="5" t="inlineStr">
        <is>
          <t>競合A</t>
        </is>
      </c>
      <c r="E468" s="5" t="inlineStr">
        <is>
          <t>競合A社製品</t>
        </is>
      </c>
      <c r="F468" s="5" t="inlineStr">
        <is>
          <t>注射剤</t>
        </is>
      </c>
      <c r="G468" s="5" t="n">
        <v>1742</v>
      </c>
      <c r="H468" s="5" t="n">
        <v>7027.9</v>
      </c>
      <c r="I468" s="5" t="n">
        <v>12242424</v>
      </c>
      <c r="J468" s="5" t="n">
        <v>0.5194</v>
      </c>
    </row>
    <row r="469">
      <c r="A469" s="4" t="inlineStr">
        <is>
          <t>2025-11</t>
        </is>
      </c>
      <c r="B469" s="4" t="inlineStr">
        <is>
          <t>腫瘍支持療法領域</t>
        </is>
      </c>
      <c r="C469" s="4" t="inlineStr">
        <is>
          <t>フィルグラスチム</t>
        </is>
      </c>
      <c r="D469" s="4" t="inlineStr">
        <is>
          <t>競合B</t>
        </is>
      </c>
      <c r="E469" s="4" t="inlineStr">
        <is>
          <t>競合B社製品</t>
        </is>
      </c>
      <c r="F469" s="4" t="inlineStr">
        <is>
          <t>注射剤</t>
        </is>
      </c>
      <c r="G469" s="4" t="n">
        <v>1460</v>
      </c>
      <c r="H469" s="4" t="n">
        <v>6841.2</v>
      </c>
      <c r="I469" s="4" t="n">
        <v>9990713</v>
      </c>
      <c r="J469" s="4" t="n">
        <v>0.5194</v>
      </c>
    </row>
    <row r="470">
      <c r="A470" s="5" t="inlineStr">
        <is>
          <t>2025-12</t>
        </is>
      </c>
      <c r="B470" s="5" t="inlineStr">
        <is>
          <t>腫瘍支持療法領域</t>
        </is>
      </c>
      <c r="C470" s="5" t="inlineStr">
        <is>
          <t>フィルグラスチム</t>
        </is>
      </c>
      <c r="D470" s="5" t="inlineStr">
        <is>
          <t>オリジナル</t>
        </is>
      </c>
      <c r="E470" s="5" t="inlineStr">
        <is>
          <t>グラン（オリジナル）</t>
        </is>
      </c>
      <c r="F470" s="5" t="inlineStr">
        <is>
          <t>注射剤</t>
        </is>
      </c>
      <c r="G470" s="5" t="n">
        <v>3845</v>
      </c>
      <c r="H470" s="5" t="n">
        <v>9281.1</v>
      </c>
      <c r="I470" s="5" t="n">
        <v>35681340</v>
      </c>
      <c r="J470" s="5" t="n">
        <v>0.5342</v>
      </c>
    </row>
    <row r="471">
      <c r="A471" s="4" t="inlineStr">
        <is>
          <t>2025-12</t>
        </is>
      </c>
      <c r="B471" s="4" t="inlineStr">
        <is>
          <t>腫瘍支持療法領域</t>
        </is>
      </c>
      <c r="C471" s="4" t="inlineStr">
        <is>
          <t>フィルグラスチム</t>
        </is>
      </c>
      <c r="D471" s="4" t="inlineStr">
        <is>
          <t>自社</t>
        </is>
      </c>
      <c r="E471" s="4" t="inlineStr">
        <is>
          <t>フィルグラスチムBS注「サンド」（自社合計）</t>
        </is>
      </c>
      <c r="F471" s="4" t="inlineStr">
        <is>
          <t>注射剤</t>
        </is>
      </c>
      <c r="G471" s="4" t="n">
        <v>1113</v>
      </c>
      <c r="H471" s="4" t="n">
        <v>6874.9</v>
      </c>
      <c r="I471" s="4" t="n">
        <v>7653396</v>
      </c>
      <c r="J471" s="4" t="n">
        <v>0.5342</v>
      </c>
    </row>
    <row r="472">
      <c r="A472" s="5" t="inlineStr">
        <is>
          <t>2025-12</t>
        </is>
      </c>
      <c r="B472" s="5" t="inlineStr">
        <is>
          <t>腫瘍支持療法領域</t>
        </is>
      </c>
      <c r="C472" s="5" t="inlineStr">
        <is>
          <t>フィルグラスチム</t>
        </is>
      </c>
      <c r="D472" s="5" t="inlineStr">
        <is>
          <t>競合A</t>
        </is>
      </c>
      <c r="E472" s="5" t="inlineStr">
        <is>
          <t>競合A社製品</t>
        </is>
      </c>
      <c r="F472" s="5" t="inlineStr">
        <is>
          <t>注射剤</t>
        </is>
      </c>
      <c r="G472" s="5" t="n">
        <v>1716</v>
      </c>
      <c r="H472" s="5" t="n">
        <v>6749.7</v>
      </c>
      <c r="I472" s="5" t="n">
        <v>11583672</v>
      </c>
      <c r="J472" s="5" t="n">
        <v>0.5342</v>
      </c>
    </row>
    <row r="473">
      <c r="A473" s="4" t="inlineStr">
        <is>
          <t>2025-12</t>
        </is>
      </c>
      <c r="B473" s="4" t="inlineStr">
        <is>
          <t>腫瘍支持療法領域</t>
        </is>
      </c>
      <c r="C473" s="4" t="inlineStr">
        <is>
          <t>フィルグラスチム</t>
        </is>
      </c>
      <c r="D473" s="4" t="inlineStr">
        <is>
          <t>競合B</t>
        </is>
      </c>
      <c r="E473" s="4" t="inlineStr">
        <is>
          <t>競合B社製品</t>
        </is>
      </c>
      <c r="F473" s="4" t="inlineStr">
        <is>
          <t>注射剤</t>
        </is>
      </c>
      <c r="G473" s="4" t="n">
        <v>1580</v>
      </c>
      <c r="H473" s="4" t="n">
        <v>6951.7</v>
      </c>
      <c r="I473" s="4" t="n">
        <v>10980846</v>
      </c>
      <c r="J473" s="4" t="n">
        <v>0.5342</v>
      </c>
    </row>
    <row r="474">
      <c r="A474" s="5" t="inlineStr">
        <is>
          <t>2026-01</t>
        </is>
      </c>
      <c r="B474" s="5" t="inlineStr">
        <is>
          <t>腫瘍支持療法領域</t>
        </is>
      </c>
      <c r="C474" s="5" t="inlineStr">
        <is>
          <t>フィルグラスチム</t>
        </is>
      </c>
      <c r="D474" s="5" t="inlineStr">
        <is>
          <t>オリジナル</t>
        </is>
      </c>
      <c r="E474" s="5" t="inlineStr">
        <is>
          <t>グラン（オリジナル）</t>
        </is>
      </c>
      <c r="F474" s="5" t="inlineStr">
        <is>
          <t>注射剤</t>
        </is>
      </c>
      <c r="G474" s="5" t="n">
        <v>3812</v>
      </c>
      <c r="H474" s="5" t="n">
        <v>9281.1</v>
      </c>
      <c r="I474" s="5" t="n">
        <v>35375353</v>
      </c>
      <c r="J474" s="5" t="n">
        <v>0.5464</v>
      </c>
    </row>
    <row r="475">
      <c r="A475" s="4" t="inlineStr">
        <is>
          <t>2026-01</t>
        </is>
      </c>
      <c r="B475" s="4" t="inlineStr">
        <is>
          <t>腫瘍支持療法領域</t>
        </is>
      </c>
      <c r="C475" s="4" t="inlineStr">
        <is>
          <t>フィルグラスチム</t>
        </is>
      </c>
      <c r="D475" s="4" t="inlineStr">
        <is>
          <t>自社</t>
        </is>
      </c>
      <c r="E475" s="4" t="inlineStr">
        <is>
          <t>フィルグラスチムBS注「サンド」（自社合計）</t>
        </is>
      </c>
      <c r="F475" s="4" t="inlineStr">
        <is>
          <t>注射剤</t>
        </is>
      </c>
      <c r="G475" s="4" t="n">
        <v>1116</v>
      </c>
      <c r="H475" s="4" t="n">
        <v>6874.9</v>
      </c>
      <c r="I475" s="4" t="n">
        <v>7671493</v>
      </c>
      <c r="J475" s="4" t="n">
        <v>0.5464</v>
      </c>
    </row>
    <row r="476">
      <c r="A476" s="5" t="inlineStr">
        <is>
          <t>2026-01</t>
        </is>
      </c>
      <c r="B476" s="5" t="inlineStr">
        <is>
          <t>腫瘍支持療法領域</t>
        </is>
      </c>
      <c r="C476" s="5" t="inlineStr">
        <is>
          <t>フィルグラスチム</t>
        </is>
      </c>
      <c r="D476" s="5" t="inlineStr">
        <is>
          <t>競合A</t>
        </is>
      </c>
      <c r="E476" s="5" t="inlineStr">
        <is>
          <t>競合A社製品</t>
        </is>
      </c>
      <c r="F476" s="5" t="inlineStr">
        <is>
          <t>注射剤</t>
        </is>
      </c>
      <c r="G476" s="5" t="n">
        <v>1984</v>
      </c>
      <c r="H476" s="5" t="n">
        <v>6732.6</v>
      </c>
      <c r="I476" s="5" t="n">
        <v>13360067</v>
      </c>
      <c r="J476" s="5" t="n">
        <v>0.5464</v>
      </c>
    </row>
    <row r="477">
      <c r="A477" s="4" t="inlineStr">
        <is>
          <t>2026-01</t>
        </is>
      </c>
      <c r="B477" s="4" t="inlineStr">
        <is>
          <t>腫瘍支持療法領域</t>
        </is>
      </c>
      <c r="C477" s="4" t="inlineStr">
        <is>
          <t>フィルグラスチム</t>
        </is>
      </c>
      <c r="D477" s="4" t="inlineStr">
        <is>
          <t>競合B</t>
        </is>
      </c>
      <c r="E477" s="4" t="inlineStr">
        <is>
          <t>競合B社製品</t>
        </is>
      </c>
      <c r="F477" s="4" t="inlineStr">
        <is>
          <t>注射剤</t>
        </is>
      </c>
      <c r="G477" s="4" t="n">
        <v>1491</v>
      </c>
      <c r="H477" s="4" t="n">
        <v>6873.2</v>
      </c>
      <c r="I477" s="4" t="n">
        <v>10245220</v>
      </c>
      <c r="J477" s="4" t="n">
        <v>0.5464</v>
      </c>
    </row>
    <row r="478">
      <c r="A478" s="5" t="inlineStr">
        <is>
          <t>2026-02</t>
        </is>
      </c>
      <c r="B478" s="5" t="inlineStr">
        <is>
          <t>腫瘍支持療法領域</t>
        </is>
      </c>
      <c r="C478" s="5" t="inlineStr">
        <is>
          <t>フィルグラスチム</t>
        </is>
      </c>
      <c r="D478" s="5" t="inlineStr">
        <is>
          <t>オリジナル</t>
        </is>
      </c>
      <c r="E478" s="5" t="inlineStr">
        <is>
          <t>グラン（オリジナル）</t>
        </is>
      </c>
      <c r="F478" s="5" t="inlineStr">
        <is>
          <t>注射剤</t>
        </is>
      </c>
      <c r="G478" s="5" t="n">
        <v>3936</v>
      </c>
      <c r="H478" s="5" t="n">
        <v>9281.1</v>
      </c>
      <c r="I478" s="5" t="n">
        <v>36532823</v>
      </c>
      <c r="J478" s="5" t="n">
        <v>0.5323</v>
      </c>
    </row>
    <row r="479">
      <c r="A479" s="4" t="inlineStr">
        <is>
          <t>2026-02</t>
        </is>
      </c>
      <c r="B479" s="4" t="inlineStr">
        <is>
          <t>腫瘍支持療法領域</t>
        </is>
      </c>
      <c r="C479" s="4" t="inlineStr">
        <is>
          <t>フィルグラスチム</t>
        </is>
      </c>
      <c r="D479" s="4" t="inlineStr">
        <is>
          <t>自社</t>
        </is>
      </c>
      <c r="E479" s="4" t="inlineStr">
        <is>
          <t>フィルグラスチムBS注「サンド」（自社合計）</t>
        </is>
      </c>
      <c r="F479" s="4" t="inlineStr">
        <is>
          <t>注射剤</t>
        </is>
      </c>
      <c r="G479" s="4" t="n">
        <v>1025</v>
      </c>
      <c r="H479" s="4" t="n">
        <v>6874.9</v>
      </c>
      <c r="I479" s="4" t="n">
        <v>7046618</v>
      </c>
      <c r="J479" s="4" t="n">
        <v>0.5323</v>
      </c>
    </row>
    <row r="480">
      <c r="A480" s="5" t="inlineStr">
        <is>
          <t>2026-02</t>
        </is>
      </c>
      <c r="B480" s="5" t="inlineStr">
        <is>
          <t>腫瘍支持療法領域</t>
        </is>
      </c>
      <c r="C480" s="5" t="inlineStr">
        <is>
          <t>フィルグラスチム</t>
        </is>
      </c>
      <c r="D480" s="5" t="inlineStr">
        <is>
          <t>競合A</t>
        </is>
      </c>
      <c r="E480" s="5" t="inlineStr">
        <is>
          <t>競合A社製品</t>
        </is>
      </c>
      <c r="F480" s="5" t="inlineStr">
        <is>
          <t>注射剤</t>
        </is>
      </c>
      <c r="G480" s="5" t="n">
        <v>1972</v>
      </c>
      <c r="H480" s="5" t="n">
        <v>6826.6</v>
      </c>
      <c r="I480" s="5" t="n">
        <v>13459505</v>
      </c>
      <c r="J480" s="5" t="n">
        <v>0.5323</v>
      </c>
    </row>
    <row r="481">
      <c r="A481" s="4" t="inlineStr">
        <is>
          <t>2026-02</t>
        </is>
      </c>
      <c r="B481" s="4" t="inlineStr">
        <is>
          <t>腫瘍支持療法領域</t>
        </is>
      </c>
      <c r="C481" s="4" t="inlineStr">
        <is>
          <t>フィルグラスチム</t>
        </is>
      </c>
      <c r="D481" s="4" t="inlineStr">
        <is>
          <t>競合B</t>
        </is>
      </c>
      <c r="E481" s="4" t="inlineStr">
        <is>
          <t>競合B社製品</t>
        </is>
      </c>
      <c r="F481" s="4" t="inlineStr">
        <is>
          <t>注射剤</t>
        </is>
      </c>
      <c r="G481" s="4" t="n">
        <v>1484</v>
      </c>
      <c r="H481" s="4" t="n">
        <v>6734.3</v>
      </c>
      <c r="I481" s="4" t="n">
        <v>9992998</v>
      </c>
      <c r="J481" s="4" t="n">
        <v>0.5323</v>
      </c>
    </row>
    <row r="482">
      <c r="A482" s="5" t="inlineStr">
        <is>
          <t>2026-03</t>
        </is>
      </c>
      <c r="B482" s="5" t="inlineStr">
        <is>
          <t>腫瘍支持療法領域</t>
        </is>
      </c>
      <c r="C482" s="5" t="inlineStr">
        <is>
          <t>フィルグラスチム</t>
        </is>
      </c>
      <c r="D482" s="5" t="inlineStr">
        <is>
          <t>オリジナル</t>
        </is>
      </c>
      <c r="E482" s="5" t="inlineStr">
        <is>
          <t>グラン（オリジナル）</t>
        </is>
      </c>
      <c r="F482" s="5" t="inlineStr">
        <is>
          <t>注射剤</t>
        </is>
      </c>
      <c r="G482" s="5" t="n">
        <v>4016</v>
      </c>
      <c r="H482" s="5" t="n">
        <v>9281.1</v>
      </c>
      <c r="I482" s="5" t="n">
        <v>37273324</v>
      </c>
      <c r="J482" s="5" t="n">
        <v>0.5599</v>
      </c>
    </row>
    <row r="483">
      <c r="A483" s="4" t="inlineStr">
        <is>
          <t>2026-03</t>
        </is>
      </c>
      <c r="B483" s="4" t="inlineStr">
        <is>
          <t>腫瘍支持療法領域</t>
        </is>
      </c>
      <c r="C483" s="4" t="inlineStr">
        <is>
          <t>フィルグラスチム</t>
        </is>
      </c>
      <c r="D483" s="4" t="inlineStr">
        <is>
          <t>自社</t>
        </is>
      </c>
      <c r="E483" s="4" t="inlineStr">
        <is>
          <t>フィルグラスチムBS注「サンド」（自社合計）</t>
        </is>
      </c>
      <c r="F483" s="4" t="inlineStr">
        <is>
          <t>注射剤</t>
        </is>
      </c>
      <c r="G483" s="4" t="n">
        <v>1138</v>
      </c>
      <c r="H483" s="4" t="n">
        <v>6874.9</v>
      </c>
      <c r="I483" s="4" t="n">
        <v>7824560</v>
      </c>
      <c r="J483" s="4" t="n">
        <v>0.5599</v>
      </c>
    </row>
    <row r="484">
      <c r="A484" s="5" t="inlineStr">
        <is>
          <t>2026-03</t>
        </is>
      </c>
      <c r="B484" s="5" t="inlineStr">
        <is>
          <t>腫瘍支持療法領域</t>
        </is>
      </c>
      <c r="C484" s="5" t="inlineStr">
        <is>
          <t>フィルグラスチム</t>
        </is>
      </c>
      <c r="D484" s="5" t="inlineStr">
        <is>
          <t>競合A</t>
        </is>
      </c>
      <c r="E484" s="5" t="inlineStr">
        <is>
          <t>競合A社製品</t>
        </is>
      </c>
      <c r="F484" s="5" t="inlineStr">
        <is>
          <t>注射剤</t>
        </is>
      </c>
      <c r="G484" s="5" t="n">
        <v>2005</v>
      </c>
      <c r="H484" s="5" t="n">
        <v>6748</v>
      </c>
      <c r="I484" s="5" t="n">
        <v>13532659</v>
      </c>
      <c r="J484" s="5" t="n">
        <v>0.5599</v>
      </c>
    </row>
    <row r="485">
      <c r="A485" s="4" t="inlineStr">
        <is>
          <t>2026-03</t>
        </is>
      </c>
      <c r="B485" s="4" t="inlineStr">
        <is>
          <t>腫瘍支持療法領域</t>
        </is>
      </c>
      <c r="C485" s="4" t="inlineStr">
        <is>
          <t>フィルグラスチム</t>
        </is>
      </c>
      <c r="D485" s="4" t="inlineStr">
        <is>
          <t>競合B</t>
        </is>
      </c>
      <c r="E485" s="4" t="inlineStr">
        <is>
          <t>競合B社製品</t>
        </is>
      </c>
      <c r="F485" s="4" t="inlineStr">
        <is>
          <t>注射剤</t>
        </is>
      </c>
      <c r="G485" s="4" t="n">
        <v>1965</v>
      </c>
      <c r="H485" s="4" t="n">
        <v>7075.8</v>
      </c>
      <c r="I485" s="4" t="n">
        <v>13903447</v>
      </c>
      <c r="J485" s="4" t="n">
        <v>0.5599</v>
      </c>
    </row>
    <row r="486">
      <c r="A486" s="5" t="inlineStr">
        <is>
          <t>2026-04</t>
        </is>
      </c>
      <c r="B486" s="5" t="inlineStr">
        <is>
          <t>腫瘍支持療法領域</t>
        </is>
      </c>
      <c r="C486" s="5" t="inlineStr">
        <is>
          <t>フィルグラスチム</t>
        </is>
      </c>
      <c r="D486" s="5" t="inlineStr">
        <is>
          <t>オリジナル</t>
        </is>
      </c>
      <c r="E486" s="5" t="inlineStr">
        <is>
          <t>グラン（オリジナル）</t>
        </is>
      </c>
      <c r="F486" s="5" t="inlineStr">
        <is>
          <t>注射剤</t>
        </is>
      </c>
      <c r="G486" s="5" t="n">
        <v>3564</v>
      </c>
      <c r="H486" s="5" t="n">
        <v>8724.200000000001</v>
      </c>
      <c r="I486" s="5" t="n">
        <v>31096847</v>
      </c>
      <c r="J486" s="5" t="n">
        <v>0.5599</v>
      </c>
    </row>
    <row r="487">
      <c r="A487" s="4" t="inlineStr">
        <is>
          <t>2026-04</t>
        </is>
      </c>
      <c r="B487" s="4" t="inlineStr">
        <is>
          <t>腫瘍支持療法領域</t>
        </is>
      </c>
      <c r="C487" s="4" t="inlineStr">
        <is>
          <t>フィルグラスチム</t>
        </is>
      </c>
      <c r="D487" s="4" t="inlineStr">
        <is>
          <t>自社</t>
        </is>
      </c>
      <c r="E487" s="4" t="inlineStr">
        <is>
          <t>フィルグラスチムBS注「サンド」（自社合計）</t>
        </is>
      </c>
      <c r="F487" s="4" t="inlineStr">
        <is>
          <t>注射剤</t>
        </is>
      </c>
      <c r="G487" s="4" t="n">
        <v>1067</v>
      </c>
      <c r="H487" s="4" t="n">
        <v>6462.4</v>
      </c>
      <c r="I487" s="4" t="n">
        <v>6898432</v>
      </c>
      <c r="J487" s="4" t="n">
        <v>0.5599</v>
      </c>
    </row>
    <row r="488">
      <c r="A488" s="5" t="inlineStr">
        <is>
          <t>2026-04</t>
        </is>
      </c>
      <c r="B488" s="5" t="inlineStr">
        <is>
          <t>腫瘍支持療法領域</t>
        </is>
      </c>
      <c r="C488" s="5" t="inlineStr">
        <is>
          <t>フィルグラスチム</t>
        </is>
      </c>
      <c r="D488" s="5" t="inlineStr">
        <is>
          <t>競合A</t>
        </is>
      </c>
      <c r="E488" s="5" t="inlineStr">
        <is>
          <t>競合A社製品</t>
        </is>
      </c>
      <c r="F488" s="5" t="inlineStr">
        <is>
          <t>注射剤</t>
        </is>
      </c>
      <c r="G488" s="5" t="n">
        <v>1791</v>
      </c>
      <c r="H488" s="5" t="n">
        <v>6520.3</v>
      </c>
      <c r="I488" s="5" t="n">
        <v>11674879</v>
      </c>
      <c r="J488" s="5" t="n">
        <v>0.5599</v>
      </c>
    </row>
    <row r="489">
      <c r="A489" s="4" t="inlineStr">
        <is>
          <t>2026-04</t>
        </is>
      </c>
      <c r="B489" s="4" t="inlineStr">
        <is>
          <t>腫瘍支持療法領域</t>
        </is>
      </c>
      <c r="C489" s="4" t="inlineStr">
        <is>
          <t>フィルグラスチム</t>
        </is>
      </c>
      <c r="D489" s="4" t="inlineStr">
        <is>
          <t>競合B</t>
        </is>
      </c>
      <c r="E489" s="4" t="inlineStr">
        <is>
          <t>競合B社製品</t>
        </is>
      </c>
      <c r="F489" s="4" t="inlineStr">
        <is>
          <t>注射剤</t>
        </is>
      </c>
      <c r="G489" s="4" t="n">
        <v>1677</v>
      </c>
      <c r="H489" s="4" t="n">
        <v>6469.9</v>
      </c>
      <c r="I489" s="4" t="n">
        <v>10848302</v>
      </c>
      <c r="J489" s="4" t="n">
        <v>0.5599</v>
      </c>
    </row>
    <row r="490">
      <c r="A490" s="5" t="inlineStr">
        <is>
          <t>2026-05</t>
        </is>
      </c>
      <c r="B490" s="5" t="inlineStr">
        <is>
          <t>腫瘍支持療法領域</t>
        </is>
      </c>
      <c r="C490" s="5" t="inlineStr">
        <is>
          <t>フィルグラスチム</t>
        </is>
      </c>
      <c r="D490" s="5" t="inlineStr">
        <is>
          <t>オリジナル</t>
        </is>
      </c>
      <c r="E490" s="5" t="inlineStr">
        <is>
          <t>グラン（オリジナル）</t>
        </is>
      </c>
      <c r="F490" s="5" t="inlineStr">
        <is>
          <t>注射剤</t>
        </is>
      </c>
      <c r="G490" s="5" t="n">
        <v>3832</v>
      </c>
      <c r="H490" s="5" t="n">
        <v>8724.200000000001</v>
      </c>
      <c r="I490" s="5" t="n">
        <v>33428085</v>
      </c>
      <c r="J490" s="5" t="n">
        <v>0.5536</v>
      </c>
    </row>
    <row r="491">
      <c r="A491" s="4" t="inlineStr">
        <is>
          <t>2026-05</t>
        </is>
      </c>
      <c r="B491" s="4" t="inlineStr">
        <is>
          <t>腫瘍支持療法領域</t>
        </is>
      </c>
      <c r="C491" s="4" t="inlineStr">
        <is>
          <t>フィルグラスチム</t>
        </is>
      </c>
      <c r="D491" s="4" t="inlineStr">
        <is>
          <t>自社</t>
        </is>
      </c>
      <c r="E491" s="4" t="inlineStr">
        <is>
          <t>フィルグラスチムBS注「サンド」（自社合計）</t>
        </is>
      </c>
      <c r="F491" s="4" t="inlineStr">
        <is>
          <t>注射剤</t>
        </is>
      </c>
      <c r="G491" s="4" t="n">
        <v>1192</v>
      </c>
      <c r="H491" s="4" t="n">
        <v>6462.4</v>
      </c>
      <c r="I491" s="4" t="n">
        <v>7700814</v>
      </c>
      <c r="J491" s="4" t="n">
        <v>0.5536</v>
      </c>
    </row>
    <row r="492">
      <c r="A492" s="5" t="inlineStr">
        <is>
          <t>2026-05</t>
        </is>
      </c>
      <c r="B492" s="5" t="inlineStr">
        <is>
          <t>腫瘍支持療法領域</t>
        </is>
      </c>
      <c r="C492" s="5" t="inlineStr">
        <is>
          <t>フィルグラスチム</t>
        </is>
      </c>
      <c r="D492" s="5" t="inlineStr">
        <is>
          <t>競合A</t>
        </is>
      </c>
      <c r="E492" s="5" t="inlineStr">
        <is>
          <t>競合A社製品</t>
        </is>
      </c>
      <c r="F492" s="5" t="inlineStr">
        <is>
          <t>注射剤</t>
        </is>
      </c>
      <c r="G492" s="5" t="n">
        <v>1975</v>
      </c>
      <c r="H492" s="5" t="n">
        <v>6562.9</v>
      </c>
      <c r="I492" s="5" t="n">
        <v>12961213</v>
      </c>
      <c r="J492" s="5" t="n">
        <v>0.5536</v>
      </c>
    </row>
    <row r="493">
      <c r="A493" s="4" t="inlineStr">
        <is>
          <t>2026-05</t>
        </is>
      </c>
      <c r="B493" s="4" t="inlineStr">
        <is>
          <t>腫瘍支持療法領域</t>
        </is>
      </c>
      <c r="C493" s="4" t="inlineStr">
        <is>
          <t>フィルグラスチム</t>
        </is>
      </c>
      <c r="D493" s="4" t="inlineStr">
        <is>
          <t>競合B</t>
        </is>
      </c>
      <c r="E493" s="4" t="inlineStr">
        <is>
          <t>競合B社製品</t>
        </is>
      </c>
      <c r="F493" s="4" t="inlineStr">
        <is>
          <t>注射剤</t>
        </is>
      </c>
      <c r="G493" s="4" t="n">
        <v>1585</v>
      </c>
      <c r="H493" s="4" t="n">
        <v>6566.7</v>
      </c>
      <c r="I493" s="4" t="n">
        <v>10409109</v>
      </c>
      <c r="J493" s="4" t="n">
        <v>0.5536</v>
      </c>
    </row>
    <row r="494">
      <c r="A494" s="5" t="inlineStr">
        <is>
          <t>2023-01</t>
        </is>
      </c>
      <c r="B494" s="5" t="inlineStr">
        <is>
          <t>免疫炎症領域</t>
        </is>
      </c>
      <c r="C494" s="5" t="inlineStr">
        <is>
          <t>インフリキシマブ</t>
        </is>
      </c>
      <c r="D494" s="5" t="inlineStr">
        <is>
          <t>オリジナル</t>
        </is>
      </c>
      <c r="E494" s="5" t="inlineStr">
        <is>
          <t>レミケード（オリジナル）</t>
        </is>
      </c>
      <c r="F494" s="5" t="inlineStr">
        <is>
          <t>注射剤</t>
        </is>
      </c>
      <c r="G494" s="5" t="n">
        <v>3321</v>
      </c>
      <c r="H494" s="5" t="n">
        <v>48600</v>
      </c>
      <c r="I494" s="5" t="n">
        <v>161392459</v>
      </c>
      <c r="J494" s="5" t="n">
        <v>0.0194</v>
      </c>
    </row>
    <row r="495">
      <c r="A495" s="4" t="inlineStr">
        <is>
          <t>2023-01</t>
        </is>
      </c>
      <c r="B495" s="4" t="inlineStr">
        <is>
          <t>免疫炎症領域</t>
        </is>
      </c>
      <c r="C495" s="4" t="inlineStr">
        <is>
          <t>インフリキシマブ</t>
        </is>
      </c>
      <c r="D495" s="4" t="inlineStr">
        <is>
          <t>自社</t>
        </is>
      </c>
      <c r="E495" s="4" t="inlineStr">
        <is>
          <t>インフリキシマブBS点滴静注用「サンド」（自社合計）</t>
        </is>
      </c>
      <c r="F495" s="4" t="inlineStr">
        <is>
          <t>注射剤</t>
        </is>
      </c>
      <c r="G495" s="4" t="n">
        <v>12</v>
      </c>
      <c r="H495" s="4" t="n">
        <v>36000</v>
      </c>
      <c r="I495" s="4" t="n">
        <v>449952</v>
      </c>
      <c r="J495" s="4" t="n">
        <v>0.0194</v>
      </c>
    </row>
    <row r="496">
      <c r="A496" s="5" t="inlineStr">
        <is>
          <t>2023-01</t>
        </is>
      </c>
      <c r="B496" s="5" t="inlineStr">
        <is>
          <t>免疫炎症領域</t>
        </is>
      </c>
      <c r="C496" s="5" t="inlineStr">
        <is>
          <t>インフリキシマブ</t>
        </is>
      </c>
      <c r="D496" s="5" t="inlineStr">
        <is>
          <t>競合A</t>
        </is>
      </c>
      <c r="E496" s="5" t="inlineStr">
        <is>
          <t>競合A社製品</t>
        </is>
      </c>
      <c r="F496" s="5" t="inlineStr">
        <is>
          <t>注射剤</t>
        </is>
      </c>
      <c r="G496" s="5" t="n">
        <v>31</v>
      </c>
      <c r="H496" s="5" t="n">
        <v>35265.2</v>
      </c>
      <c r="I496" s="5" t="n">
        <v>1100314</v>
      </c>
      <c r="J496" s="5" t="n">
        <v>0.0194</v>
      </c>
    </row>
    <row r="497">
      <c r="A497" s="4" t="inlineStr">
        <is>
          <t>2023-01</t>
        </is>
      </c>
      <c r="B497" s="4" t="inlineStr">
        <is>
          <t>免疫炎症領域</t>
        </is>
      </c>
      <c r="C497" s="4" t="inlineStr">
        <is>
          <t>インフリキシマブ</t>
        </is>
      </c>
      <c r="D497" s="4" t="inlineStr">
        <is>
          <t>競合B</t>
        </is>
      </c>
      <c r="E497" s="4" t="inlineStr">
        <is>
          <t>競合B社製品</t>
        </is>
      </c>
      <c r="F497" s="4" t="inlineStr">
        <is>
          <t>注射剤</t>
        </is>
      </c>
      <c r="G497" s="4" t="n">
        <v>22</v>
      </c>
      <c r="H497" s="4" t="n">
        <v>34660.9</v>
      </c>
      <c r="I497" s="4" t="n">
        <v>765196</v>
      </c>
      <c r="J497" s="4" t="n">
        <v>0.0194</v>
      </c>
    </row>
    <row r="498">
      <c r="A498" s="5" t="inlineStr">
        <is>
          <t>2023-02</t>
        </is>
      </c>
      <c r="B498" s="5" t="inlineStr">
        <is>
          <t>免疫炎症領域</t>
        </is>
      </c>
      <c r="C498" s="5" t="inlineStr">
        <is>
          <t>インフリキシマブ</t>
        </is>
      </c>
      <c r="D498" s="5" t="inlineStr">
        <is>
          <t>オリジナル</t>
        </is>
      </c>
      <c r="E498" s="5" t="inlineStr">
        <is>
          <t>レミケード（オリジナル）</t>
        </is>
      </c>
      <c r="F498" s="5" t="inlineStr">
        <is>
          <t>注射剤</t>
        </is>
      </c>
      <c r="G498" s="5" t="n">
        <v>3318</v>
      </c>
      <c r="H498" s="5" t="n">
        <v>48600</v>
      </c>
      <c r="I498" s="5" t="n">
        <v>161236901</v>
      </c>
      <c r="J498" s="5" t="n">
        <v>0.0555</v>
      </c>
    </row>
    <row r="499">
      <c r="A499" s="4" t="inlineStr">
        <is>
          <t>2023-02</t>
        </is>
      </c>
      <c r="B499" s="4" t="inlineStr">
        <is>
          <t>免疫炎症領域</t>
        </is>
      </c>
      <c r="C499" s="4" t="inlineStr">
        <is>
          <t>インフリキシマブ</t>
        </is>
      </c>
      <c r="D499" s="4" t="inlineStr">
        <is>
          <t>自社</t>
        </is>
      </c>
      <c r="E499" s="4" t="inlineStr">
        <is>
          <t>インフリキシマブBS点滴静注用「サンド」（自社合計）</t>
        </is>
      </c>
      <c r="F499" s="4" t="inlineStr">
        <is>
          <t>注射剤</t>
        </is>
      </c>
      <c r="G499" s="4" t="n">
        <v>39</v>
      </c>
      <c r="H499" s="4" t="n">
        <v>36000</v>
      </c>
      <c r="I499" s="4" t="n">
        <v>1397475</v>
      </c>
      <c r="J499" s="4" t="n">
        <v>0.0555</v>
      </c>
    </row>
    <row r="500">
      <c r="A500" s="5" t="inlineStr">
        <is>
          <t>2023-02</t>
        </is>
      </c>
      <c r="B500" s="5" t="inlineStr">
        <is>
          <t>免疫炎症領域</t>
        </is>
      </c>
      <c r="C500" s="5" t="inlineStr">
        <is>
          <t>インフリキシマブ</t>
        </is>
      </c>
      <c r="D500" s="5" t="inlineStr">
        <is>
          <t>競合A</t>
        </is>
      </c>
      <c r="E500" s="5" t="inlineStr">
        <is>
          <t>競合A社製品</t>
        </is>
      </c>
      <c r="F500" s="5" t="inlineStr">
        <is>
          <t>注射剤</t>
        </is>
      </c>
      <c r="G500" s="5" t="n">
        <v>88</v>
      </c>
      <c r="H500" s="5" t="n">
        <v>35732.4</v>
      </c>
      <c r="I500" s="5" t="n">
        <v>3157712</v>
      </c>
      <c r="J500" s="5" t="n">
        <v>0.0555</v>
      </c>
    </row>
    <row r="501">
      <c r="A501" s="4" t="inlineStr">
        <is>
          <t>2023-02</t>
        </is>
      </c>
      <c r="B501" s="4" t="inlineStr">
        <is>
          <t>免疫炎症領域</t>
        </is>
      </c>
      <c r="C501" s="4" t="inlineStr">
        <is>
          <t>インフリキシマブ</t>
        </is>
      </c>
      <c r="D501" s="4" t="inlineStr">
        <is>
          <t>競合B</t>
        </is>
      </c>
      <c r="E501" s="4" t="inlineStr">
        <is>
          <t>競合B社製品</t>
        </is>
      </c>
      <c r="F501" s="4" t="inlineStr">
        <is>
          <t>注射剤</t>
        </is>
      </c>
      <c r="G501" s="4" t="n">
        <v>68</v>
      </c>
      <c r="H501" s="4" t="n">
        <v>35356.9</v>
      </c>
      <c r="I501" s="4" t="n">
        <v>2400834</v>
      </c>
      <c r="J501" s="4" t="n">
        <v>0.0555</v>
      </c>
    </row>
    <row r="502">
      <c r="A502" s="5" t="inlineStr">
        <is>
          <t>2023-03</t>
        </is>
      </c>
      <c r="B502" s="5" t="inlineStr">
        <is>
          <t>免疫炎症領域</t>
        </is>
      </c>
      <c r="C502" s="5" t="inlineStr">
        <is>
          <t>インフリキシマブ</t>
        </is>
      </c>
      <c r="D502" s="5" t="inlineStr">
        <is>
          <t>オリジナル</t>
        </is>
      </c>
      <c r="E502" s="5" t="inlineStr">
        <is>
          <t>レミケード（オリジナル）</t>
        </is>
      </c>
      <c r="F502" s="5" t="inlineStr">
        <is>
          <t>注射剤</t>
        </is>
      </c>
      <c r="G502" s="5" t="n">
        <v>3611</v>
      </c>
      <c r="H502" s="5" t="n">
        <v>48600</v>
      </c>
      <c r="I502" s="5" t="n">
        <v>175515511</v>
      </c>
      <c r="J502" s="5" t="n">
        <v>0.048</v>
      </c>
    </row>
    <row r="503">
      <c r="A503" s="4" t="inlineStr">
        <is>
          <t>2023-03</t>
        </is>
      </c>
      <c r="B503" s="4" t="inlineStr">
        <is>
          <t>免疫炎症領域</t>
        </is>
      </c>
      <c r="C503" s="4" t="inlineStr">
        <is>
          <t>インフリキシマブ</t>
        </is>
      </c>
      <c r="D503" s="4" t="inlineStr">
        <is>
          <t>自社</t>
        </is>
      </c>
      <c r="E503" s="4" t="inlineStr">
        <is>
          <t>インフリキシマブBS点滴静注用「サンド」（自社合計）</t>
        </is>
      </c>
      <c r="F503" s="4" t="inlineStr">
        <is>
          <t>注射剤</t>
        </is>
      </c>
      <c r="G503" s="4" t="n">
        <v>31</v>
      </c>
      <c r="H503" s="4" t="n">
        <v>36000</v>
      </c>
      <c r="I503" s="4" t="n">
        <v>1125552</v>
      </c>
      <c r="J503" s="4" t="n">
        <v>0.048</v>
      </c>
    </row>
    <row r="504">
      <c r="A504" s="5" t="inlineStr">
        <is>
          <t>2023-03</t>
        </is>
      </c>
      <c r="B504" s="5" t="inlineStr">
        <is>
          <t>免疫炎症領域</t>
        </is>
      </c>
      <c r="C504" s="5" t="inlineStr">
        <is>
          <t>インフリキシマブ</t>
        </is>
      </c>
      <c r="D504" s="5" t="inlineStr">
        <is>
          <t>競合A</t>
        </is>
      </c>
      <c r="E504" s="5" t="inlineStr">
        <is>
          <t>競合A社製品</t>
        </is>
      </c>
      <c r="F504" s="5" t="inlineStr">
        <is>
          <t>注射剤</t>
        </is>
      </c>
      <c r="G504" s="5" t="n">
        <v>92</v>
      </c>
      <c r="H504" s="5" t="n">
        <v>37285.3</v>
      </c>
      <c r="I504" s="5" t="n">
        <v>3435045</v>
      </c>
      <c r="J504" s="5" t="n">
        <v>0.048</v>
      </c>
    </row>
    <row r="505">
      <c r="A505" s="4" t="inlineStr">
        <is>
          <t>2023-03</t>
        </is>
      </c>
      <c r="B505" s="4" t="inlineStr">
        <is>
          <t>免疫炎症領域</t>
        </is>
      </c>
      <c r="C505" s="4" t="inlineStr">
        <is>
          <t>インフリキシマブ</t>
        </is>
      </c>
      <c r="D505" s="4" t="inlineStr">
        <is>
          <t>競合B</t>
        </is>
      </c>
      <c r="E505" s="4" t="inlineStr">
        <is>
          <t>競合B社製品</t>
        </is>
      </c>
      <c r="F505" s="4" t="inlineStr">
        <is>
          <t>注射剤</t>
        </is>
      </c>
      <c r="G505" s="4" t="n">
        <v>59</v>
      </c>
      <c r="H505" s="4" t="n">
        <v>36818</v>
      </c>
      <c r="I505" s="4" t="n">
        <v>2155346</v>
      </c>
      <c r="J505" s="4" t="n">
        <v>0.048</v>
      </c>
    </row>
    <row r="506">
      <c r="A506" s="5" t="inlineStr">
        <is>
          <t>2023-04</t>
        </is>
      </c>
      <c r="B506" s="5" t="inlineStr">
        <is>
          <t>免疫炎症領域</t>
        </is>
      </c>
      <c r="C506" s="5" t="inlineStr">
        <is>
          <t>インフリキシマブ</t>
        </is>
      </c>
      <c r="D506" s="5" t="inlineStr">
        <is>
          <t>オリジナル</t>
        </is>
      </c>
      <c r="E506" s="5" t="inlineStr">
        <is>
          <t>レミケード（オリジナル）</t>
        </is>
      </c>
      <c r="F506" s="5" t="inlineStr">
        <is>
          <t>注射剤</t>
        </is>
      </c>
      <c r="G506" s="5" t="n">
        <v>3068</v>
      </c>
      <c r="H506" s="5" t="n">
        <v>48600</v>
      </c>
      <c r="I506" s="5" t="n">
        <v>149102471</v>
      </c>
      <c r="J506" s="5" t="n">
        <v>0.0646</v>
      </c>
    </row>
    <row r="507">
      <c r="A507" s="4" t="inlineStr">
        <is>
          <t>2023-04</t>
        </is>
      </c>
      <c r="B507" s="4" t="inlineStr">
        <is>
          <t>免疫炎症領域</t>
        </is>
      </c>
      <c r="C507" s="4" t="inlineStr">
        <is>
          <t>インフリキシマブ</t>
        </is>
      </c>
      <c r="D507" s="4" t="inlineStr">
        <is>
          <t>自社</t>
        </is>
      </c>
      <c r="E507" s="4" t="inlineStr">
        <is>
          <t>インフリキシマブBS点滴静注用「サンド」（自社合計）</t>
        </is>
      </c>
      <c r="F507" s="4" t="inlineStr">
        <is>
          <t>注射剤</t>
        </is>
      </c>
      <c r="G507" s="4" t="n">
        <v>40</v>
      </c>
      <c r="H507" s="4" t="n">
        <v>36000</v>
      </c>
      <c r="I507" s="4" t="n">
        <v>1445535</v>
      </c>
      <c r="J507" s="4" t="n">
        <v>0.0646</v>
      </c>
    </row>
    <row r="508">
      <c r="A508" s="5" t="inlineStr">
        <is>
          <t>2023-04</t>
        </is>
      </c>
      <c r="B508" s="5" t="inlineStr">
        <is>
          <t>免疫炎症領域</t>
        </is>
      </c>
      <c r="C508" s="5" t="inlineStr">
        <is>
          <t>インフリキシマブ</t>
        </is>
      </c>
      <c r="D508" s="5" t="inlineStr">
        <is>
          <t>競合A</t>
        </is>
      </c>
      <c r="E508" s="5" t="inlineStr">
        <is>
          <t>競合A社製品</t>
        </is>
      </c>
      <c r="F508" s="5" t="inlineStr">
        <is>
          <t>注射剤</t>
        </is>
      </c>
      <c r="G508" s="5" t="n">
        <v>97</v>
      </c>
      <c r="H508" s="5" t="n">
        <v>36899.8</v>
      </c>
      <c r="I508" s="5" t="n">
        <v>3571975</v>
      </c>
      <c r="J508" s="5" t="n">
        <v>0.0646</v>
      </c>
    </row>
    <row r="509">
      <c r="A509" s="4" t="inlineStr">
        <is>
          <t>2023-04</t>
        </is>
      </c>
      <c r="B509" s="4" t="inlineStr">
        <is>
          <t>免疫炎症領域</t>
        </is>
      </c>
      <c r="C509" s="4" t="inlineStr">
        <is>
          <t>インフリキシマブ</t>
        </is>
      </c>
      <c r="D509" s="4" t="inlineStr">
        <is>
          <t>競合B</t>
        </is>
      </c>
      <c r="E509" s="4" t="inlineStr">
        <is>
          <t>競合B社製品</t>
        </is>
      </c>
      <c r="F509" s="4" t="inlineStr">
        <is>
          <t>注射剤</t>
        </is>
      </c>
      <c r="G509" s="4" t="n">
        <v>75</v>
      </c>
      <c r="H509" s="4" t="n">
        <v>36457.5</v>
      </c>
      <c r="I509" s="4" t="n">
        <v>2736255</v>
      </c>
      <c r="J509" s="4" t="n">
        <v>0.0646</v>
      </c>
    </row>
    <row r="510">
      <c r="A510" s="5" t="inlineStr">
        <is>
          <t>2023-05</t>
        </is>
      </c>
      <c r="B510" s="5" t="inlineStr">
        <is>
          <t>免疫炎症領域</t>
        </is>
      </c>
      <c r="C510" s="5" t="inlineStr">
        <is>
          <t>インフリキシマブ</t>
        </is>
      </c>
      <c r="D510" s="5" t="inlineStr">
        <is>
          <t>オリジナル</t>
        </is>
      </c>
      <c r="E510" s="5" t="inlineStr">
        <is>
          <t>レミケード（オリジナル）</t>
        </is>
      </c>
      <c r="F510" s="5" t="inlineStr">
        <is>
          <t>注射剤</t>
        </is>
      </c>
      <c r="G510" s="5" t="n">
        <v>3332</v>
      </c>
      <c r="H510" s="5" t="n">
        <v>48600</v>
      </c>
      <c r="I510" s="5" t="n">
        <v>161941345</v>
      </c>
      <c r="J510" s="5" t="n">
        <v>0.068</v>
      </c>
    </row>
    <row r="511">
      <c r="A511" s="4" t="inlineStr">
        <is>
          <t>2023-05</t>
        </is>
      </c>
      <c r="B511" s="4" t="inlineStr">
        <is>
          <t>免疫炎症領域</t>
        </is>
      </c>
      <c r="C511" s="4" t="inlineStr">
        <is>
          <t>インフリキシマブ</t>
        </is>
      </c>
      <c r="D511" s="4" t="inlineStr">
        <is>
          <t>自社</t>
        </is>
      </c>
      <c r="E511" s="4" t="inlineStr">
        <is>
          <t>インフリキシマブBS点滴静注用「サンド」（自社合計）</t>
        </is>
      </c>
      <c r="F511" s="4" t="inlineStr">
        <is>
          <t>注射剤</t>
        </is>
      </c>
      <c r="G511" s="4" t="n">
        <v>46</v>
      </c>
      <c r="H511" s="4" t="n">
        <v>36000</v>
      </c>
      <c r="I511" s="4" t="n">
        <v>1640774</v>
      </c>
      <c r="J511" s="4" t="n">
        <v>0.068</v>
      </c>
    </row>
    <row r="512">
      <c r="A512" s="5" t="inlineStr">
        <is>
          <t>2023-05</t>
        </is>
      </c>
      <c r="B512" s="5" t="inlineStr">
        <is>
          <t>免疫炎症領域</t>
        </is>
      </c>
      <c r="C512" s="5" t="inlineStr">
        <is>
          <t>インフリキシマブ</t>
        </is>
      </c>
      <c r="D512" s="5" t="inlineStr">
        <is>
          <t>競合A</t>
        </is>
      </c>
      <c r="E512" s="5" t="inlineStr">
        <is>
          <t>競合A社製品</t>
        </is>
      </c>
      <c r="F512" s="5" t="inlineStr">
        <is>
          <t>注射剤</t>
        </is>
      </c>
      <c r="G512" s="5" t="n">
        <v>98</v>
      </c>
      <c r="H512" s="5" t="n">
        <v>36060.2</v>
      </c>
      <c r="I512" s="5" t="n">
        <v>3538109</v>
      </c>
      <c r="J512" s="5" t="n">
        <v>0.068</v>
      </c>
    </row>
    <row r="513">
      <c r="A513" s="4" t="inlineStr">
        <is>
          <t>2023-05</t>
        </is>
      </c>
      <c r="B513" s="4" t="inlineStr">
        <is>
          <t>免疫炎症領域</t>
        </is>
      </c>
      <c r="C513" s="4" t="inlineStr">
        <is>
          <t>インフリキシマブ</t>
        </is>
      </c>
      <c r="D513" s="4" t="inlineStr">
        <is>
          <t>競合B</t>
        </is>
      </c>
      <c r="E513" s="4" t="inlineStr">
        <is>
          <t>競合B社製品</t>
        </is>
      </c>
      <c r="F513" s="4" t="inlineStr">
        <is>
          <t>注射剤</t>
        </is>
      </c>
      <c r="G513" s="4" t="n">
        <v>100</v>
      </c>
      <c r="H513" s="4" t="n">
        <v>35599.5</v>
      </c>
      <c r="I513" s="4" t="n">
        <v>3542273</v>
      </c>
      <c r="J513" s="4" t="n">
        <v>0.068</v>
      </c>
    </row>
    <row r="514">
      <c r="A514" s="5" t="inlineStr">
        <is>
          <t>2023-06</t>
        </is>
      </c>
      <c r="B514" s="5" t="inlineStr">
        <is>
          <t>免疫炎症領域</t>
        </is>
      </c>
      <c r="C514" s="5" t="inlineStr">
        <is>
          <t>インフリキシマブ</t>
        </is>
      </c>
      <c r="D514" s="5" t="inlineStr">
        <is>
          <t>オリジナル</t>
        </is>
      </c>
      <c r="E514" s="5" t="inlineStr">
        <is>
          <t>レミケード（オリジナル）</t>
        </is>
      </c>
      <c r="F514" s="5" t="inlineStr">
        <is>
          <t>注射剤</t>
        </is>
      </c>
      <c r="G514" s="5" t="n">
        <v>3148</v>
      </c>
      <c r="H514" s="5" t="n">
        <v>48600</v>
      </c>
      <c r="I514" s="5" t="n">
        <v>153000336</v>
      </c>
      <c r="J514" s="5" t="n">
        <v>0.08450000000000001</v>
      </c>
    </row>
    <row r="515">
      <c r="A515" s="4" t="inlineStr">
        <is>
          <t>2023-06</t>
        </is>
      </c>
      <c r="B515" s="4" t="inlineStr">
        <is>
          <t>免疫炎症領域</t>
        </is>
      </c>
      <c r="C515" s="4" t="inlineStr">
        <is>
          <t>インフリキシマブ</t>
        </is>
      </c>
      <c r="D515" s="4" t="inlineStr">
        <is>
          <t>自社</t>
        </is>
      </c>
      <c r="E515" s="4" t="inlineStr">
        <is>
          <t>インフリキシマブBS点滴静注用「サンド」（自社合計）</t>
        </is>
      </c>
      <c r="F515" s="4" t="inlineStr">
        <is>
          <t>注射剤</t>
        </is>
      </c>
      <c r="G515" s="4" t="n">
        <v>59</v>
      </c>
      <c r="H515" s="4" t="n">
        <v>36000</v>
      </c>
      <c r="I515" s="4" t="n">
        <v>2115636</v>
      </c>
      <c r="J515" s="4" t="n">
        <v>0.08450000000000001</v>
      </c>
    </row>
    <row r="516">
      <c r="A516" s="5" t="inlineStr">
        <is>
          <t>2023-06</t>
        </is>
      </c>
      <c r="B516" s="5" t="inlineStr">
        <is>
          <t>免疫炎症領域</t>
        </is>
      </c>
      <c r="C516" s="5" t="inlineStr">
        <is>
          <t>インフリキシマブ</t>
        </is>
      </c>
      <c r="D516" s="5" t="inlineStr">
        <is>
          <t>競合A</t>
        </is>
      </c>
      <c r="E516" s="5" t="inlineStr">
        <is>
          <t>競合A社製品</t>
        </is>
      </c>
      <c r="F516" s="5" t="inlineStr">
        <is>
          <t>注射剤</t>
        </is>
      </c>
      <c r="G516" s="5" t="n">
        <v>137</v>
      </c>
      <c r="H516" s="5" t="n">
        <v>36183.8</v>
      </c>
      <c r="I516" s="5" t="n">
        <v>4953888</v>
      </c>
      <c r="J516" s="5" t="n">
        <v>0.08450000000000001</v>
      </c>
    </row>
    <row r="517">
      <c r="A517" s="4" t="inlineStr">
        <is>
          <t>2023-06</t>
        </is>
      </c>
      <c r="B517" s="4" t="inlineStr">
        <is>
          <t>免疫炎症領域</t>
        </is>
      </c>
      <c r="C517" s="4" t="inlineStr">
        <is>
          <t>インフリキシマブ</t>
        </is>
      </c>
      <c r="D517" s="4" t="inlineStr">
        <is>
          <t>競合B</t>
        </is>
      </c>
      <c r="E517" s="4" t="inlineStr">
        <is>
          <t>競合B社製品</t>
        </is>
      </c>
      <c r="F517" s="4" t="inlineStr">
        <is>
          <t>注射剤</t>
        </is>
      </c>
      <c r="G517" s="4" t="n">
        <v>95</v>
      </c>
      <c r="H517" s="4" t="n">
        <v>36972.5</v>
      </c>
      <c r="I517" s="4" t="n">
        <v>3506291</v>
      </c>
      <c r="J517" s="4" t="n">
        <v>0.08450000000000001</v>
      </c>
    </row>
    <row r="518">
      <c r="A518" s="5" t="inlineStr">
        <is>
          <t>2023-07</t>
        </is>
      </c>
      <c r="B518" s="5" t="inlineStr">
        <is>
          <t>免疫炎症領域</t>
        </is>
      </c>
      <c r="C518" s="5" t="inlineStr">
        <is>
          <t>インフリキシマブ</t>
        </is>
      </c>
      <c r="D518" s="5" t="inlineStr">
        <is>
          <t>オリジナル</t>
        </is>
      </c>
      <c r="E518" s="5" t="inlineStr">
        <is>
          <t>レミケード（オリジナル）</t>
        </is>
      </c>
      <c r="F518" s="5" t="inlineStr">
        <is>
          <t>注射剤</t>
        </is>
      </c>
      <c r="G518" s="5" t="n">
        <v>3266</v>
      </c>
      <c r="H518" s="5" t="n">
        <v>48600</v>
      </c>
      <c r="I518" s="5" t="n">
        <v>158744918</v>
      </c>
      <c r="J518" s="5" t="n">
        <v>0.0762</v>
      </c>
    </row>
    <row r="519">
      <c r="A519" s="4" t="inlineStr">
        <is>
          <t>2023-07</t>
        </is>
      </c>
      <c r="B519" s="4" t="inlineStr">
        <is>
          <t>免疫炎症領域</t>
        </is>
      </c>
      <c r="C519" s="4" t="inlineStr">
        <is>
          <t>インフリキシマブ</t>
        </is>
      </c>
      <c r="D519" s="4" t="inlineStr">
        <is>
          <t>自社</t>
        </is>
      </c>
      <c r="E519" s="4" t="inlineStr">
        <is>
          <t>インフリキシマブBS点滴静注用「サンド」（自社合計）</t>
        </is>
      </c>
      <c r="F519" s="4" t="inlineStr">
        <is>
          <t>注射剤</t>
        </is>
      </c>
      <c r="G519" s="4" t="n">
        <v>47</v>
      </c>
      <c r="H519" s="4" t="n">
        <v>36000</v>
      </c>
      <c r="I519" s="4" t="n">
        <v>1697365</v>
      </c>
      <c r="J519" s="4" t="n">
        <v>0.0762</v>
      </c>
    </row>
    <row r="520">
      <c r="A520" s="5" t="inlineStr">
        <is>
          <t>2023-07</t>
        </is>
      </c>
      <c r="B520" s="5" t="inlineStr">
        <is>
          <t>免疫炎症領域</t>
        </is>
      </c>
      <c r="C520" s="5" t="inlineStr">
        <is>
          <t>インフリキシマブ</t>
        </is>
      </c>
      <c r="D520" s="5" t="inlineStr">
        <is>
          <t>競合A</t>
        </is>
      </c>
      <c r="E520" s="5" t="inlineStr">
        <is>
          <t>競合A社製品</t>
        </is>
      </c>
      <c r="F520" s="5" t="inlineStr">
        <is>
          <t>注射剤</t>
        </is>
      </c>
      <c r="G520" s="5" t="n">
        <v>125</v>
      </c>
      <c r="H520" s="5" t="n">
        <v>36043.5</v>
      </c>
      <c r="I520" s="5" t="n">
        <v>4499720</v>
      </c>
      <c r="J520" s="5" t="n">
        <v>0.0762</v>
      </c>
    </row>
    <row r="521">
      <c r="A521" s="4" t="inlineStr">
        <is>
          <t>2023-07</t>
        </is>
      </c>
      <c r="B521" s="4" t="inlineStr">
        <is>
          <t>免疫炎症領域</t>
        </is>
      </c>
      <c r="C521" s="4" t="inlineStr">
        <is>
          <t>インフリキシマブ</t>
        </is>
      </c>
      <c r="D521" s="4" t="inlineStr">
        <is>
          <t>競合B</t>
        </is>
      </c>
      <c r="E521" s="4" t="inlineStr">
        <is>
          <t>競合B社製品</t>
        </is>
      </c>
      <c r="F521" s="4" t="inlineStr">
        <is>
          <t>注射剤</t>
        </is>
      </c>
      <c r="G521" s="4" t="n">
        <v>97</v>
      </c>
      <c r="H521" s="4" t="n">
        <v>35062.1</v>
      </c>
      <c r="I521" s="4" t="n">
        <v>3412665</v>
      </c>
      <c r="J521" s="4" t="n">
        <v>0.0762</v>
      </c>
    </row>
    <row r="522">
      <c r="A522" s="5" t="inlineStr">
        <is>
          <t>2023-08</t>
        </is>
      </c>
      <c r="B522" s="5" t="inlineStr">
        <is>
          <t>免疫炎症領域</t>
        </is>
      </c>
      <c r="C522" s="5" t="inlineStr">
        <is>
          <t>インフリキシマブ</t>
        </is>
      </c>
      <c r="D522" s="5" t="inlineStr">
        <is>
          <t>オリジナル</t>
        </is>
      </c>
      <c r="E522" s="5" t="inlineStr">
        <is>
          <t>レミケード（オリジナル）</t>
        </is>
      </c>
      <c r="F522" s="5" t="inlineStr">
        <is>
          <t>注射剤</t>
        </is>
      </c>
      <c r="G522" s="5" t="n">
        <v>3253</v>
      </c>
      <c r="H522" s="5" t="n">
        <v>48600</v>
      </c>
      <c r="I522" s="5" t="n">
        <v>158095820</v>
      </c>
      <c r="J522" s="5" t="n">
        <v>0.0803</v>
      </c>
    </row>
    <row r="523">
      <c r="A523" s="4" t="inlineStr">
        <is>
          <t>2023-08</t>
        </is>
      </c>
      <c r="B523" s="4" t="inlineStr">
        <is>
          <t>免疫炎症領域</t>
        </is>
      </c>
      <c r="C523" s="4" t="inlineStr">
        <is>
          <t>インフリキシマブ</t>
        </is>
      </c>
      <c r="D523" s="4" t="inlineStr">
        <is>
          <t>自社</t>
        </is>
      </c>
      <c r="E523" s="4" t="inlineStr">
        <is>
          <t>インフリキシマブBS点滴静注用「サンド」（自社合計）</t>
        </is>
      </c>
      <c r="F523" s="4" t="inlineStr">
        <is>
          <t>注射剤</t>
        </is>
      </c>
      <c r="G523" s="4" t="n">
        <v>58</v>
      </c>
      <c r="H523" s="4" t="n">
        <v>36000</v>
      </c>
      <c r="I523" s="4" t="n">
        <v>2095958</v>
      </c>
      <c r="J523" s="4" t="n">
        <v>0.0803</v>
      </c>
    </row>
    <row r="524">
      <c r="A524" s="5" t="inlineStr">
        <is>
          <t>2023-08</t>
        </is>
      </c>
      <c r="B524" s="5" t="inlineStr">
        <is>
          <t>免疫炎症領域</t>
        </is>
      </c>
      <c r="C524" s="5" t="inlineStr">
        <is>
          <t>インフリキシマブ</t>
        </is>
      </c>
      <c r="D524" s="5" t="inlineStr">
        <is>
          <t>競合A</t>
        </is>
      </c>
      <c r="E524" s="5" t="inlineStr">
        <is>
          <t>競合A社製品</t>
        </is>
      </c>
      <c r="F524" s="5" t="inlineStr">
        <is>
          <t>注射剤</t>
        </is>
      </c>
      <c r="G524" s="5" t="n">
        <v>130</v>
      </c>
      <c r="H524" s="5" t="n">
        <v>36008.2</v>
      </c>
      <c r="I524" s="5" t="n">
        <v>4690351</v>
      </c>
      <c r="J524" s="5" t="n">
        <v>0.0803</v>
      </c>
    </row>
    <row r="525">
      <c r="A525" s="4" t="inlineStr">
        <is>
          <t>2023-08</t>
        </is>
      </c>
      <c r="B525" s="4" t="inlineStr">
        <is>
          <t>免疫炎症領域</t>
        </is>
      </c>
      <c r="C525" s="4" t="inlineStr">
        <is>
          <t>インフリキシマブ</t>
        </is>
      </c>
      <c r="D525" s="4" t="inlineStr">
        <is>
          <t>競合B</t>
        </is>
      </c>
      <c r="E525" s="4" t="inlineStr">
        <is>
          <t>競合B社製品</t>
        </is>
      </c>
      <c r="F525" s="4" t="inlineStr">
        <is>
          <t>注射剤</t>
        </is>
      </c>
      <c r="G525" s="4" t="n">
        <v>96</v>
      </c>
      <c r="H525" s="4" t="n">
        <v>36179.1</v>
      </c>
      <c r="I525" s="4" t="n">
        <v>3457283</v>
      </c>
      <c r="J525" s="4" t="n">
        <v>0.0803</v>
      </c>
    </row>
    <row r="526">
      <c r="A526" s="5" t="inlineStr">
        <is>
          <t>2023-09</t>
        </is>
      </c>
      <c r="B526" s="5" t="inlineStr">
        <is>
          <t>免疫炎症領域</t>
        </is>
      </c>
      <c r="C526" s="5" t="inlineStr">
        <is>
          <t>インフリキシマブ</t>
        </is>
      </c>
      <c r="D526" s="5" t="inlineStr">
        <is>
          <t>オリジナル</t>
        </is>
      </c>
      <c r="E526" s="5" t="inlineStr">
        <is>
          <t>レミケード（オリジナル）</t>
        </is>
      </c>
      <c r="F526" s="5" t="inlineStr">
        <is>
          <t>注射剤</t>
        </is>
      </c>
      <c r="G526" s="5" t="n">
        <v>3243</v>
      </c>
      <c r="H526" s="5" t="n">
        <v>48600</v>
      </c>
      <c r="I526" s="5" t="n">
        <v>157588040</v>
      </c>
      <c r="J526" s="5" t="n">
        <v>0.08649999999999999</v>
      </c>
    </row>
    <row r="527">
      <c r="A527" s="4" t="inlineStr">
        <is>
          <t>2023-09</t>
        </is>
      </c>
      <c r="B527" s="4" t="inlineStr">
        <is>
          <t>免疫炎症領域</t>
        </is>
      </c>
      <c r="C527" s="4" t="inlineStr">
        <is>
          <t>インフリキシマブ</t>
        </is>
      </c>
      <c r="D527" s="4" t="inlineStr">
        <is>
          <t>自社</t>
        </is>
      </c>
      <c r="E527" s="4" t="inlineStr">
        <is>
          <t>インフリキシマブBS点滴静注用「サンド」（自社合計）</t>
        </is>
      </c>
      <c r="F527" s="4" t="inlineStr">
        <is>
          <t>注射剤</t>
        </is>
      </c>
      <c r="G527" s="4" t="n">
        <v>54</v>
      </c>
      <c r="H527" s="4" t="n">
        <v>36000</v>
      </c>
      <c r="I527" s="4" t="n">
        <v>1958760</v>
      </c>
      <c r="J527" s="4" t="n">
        <v>0.08649999999999999</v>
      </c>
    </row>
    <row r="528">
      <c r="A528" s="5" t="inlineStr">
        <is>
          <t>2023-09</t>
        </is>
      </c>
      <c r="B528" s="5" t="inlineStr">
        <is>
          <t>免疫炎症領域</t>
        </is>
      </c>
      <c r="C528" s="5" t="inlineStr">
        <is>
          <t>インフリキシマブ</t>
        </is>
      </c>
      <c r="D528" s="5" t="inlineStr">
        <is>
          <t>競合A</t>
        </is>
      </c>
      <c r="E528" s="5" t="inlineStr">
        <is>
          <t>競合A社製品</t>
        </is>
      </c>
      <c r="F528" s="5" t="inlineStr">
        <is>
          <t>注射剤</t>
        </is>
      </c>
      <c r="G528" s="5" t="n">
        <v>138</v>
      </c>
      <c r="H528" s="5" t="n">
        <v>35462.8</v>
      </c>
      <c r="I528" s="5" t="n">
        <v>4887923</v>
      </c>
      <c r="J528" s="5" t="n">
        <v>0.08649999999999999</v>
      </c>
    </row>
    <row r="529">
      <c r="A529" s="4" t="inlineStr">
        <is>
          <t>2023-09</t>
        </is>
      </c>
      <c r="B529" s="4" t="inlineStr">
        <is>
          <t>免疫炎症領域</t>
        </is>
      </c>
      <c r="C529" s="4" t="inlineStr">
        <is>
          <t>インフリキシマブ</t>
        </is>
      </c>
      <c r="D529" s="4" t="inlineStr">
        <is>
          <t>競合B</t>
        </is>
      </c>
      <c r="E529" s="4" t="inlineStr">
        <is>
          <t>競合B社製品</t>
        </is>
      </c>
      <c r="F529" s="4" t="inlineStr">
        <is>
          <t>注射剤</t>
        </is>
      </c>
      <c r="G529" s="4" t="n">
        <v>115</v>
      </c>
      <c r="H529" s="4" t="n">
        <v>35099.8</v>
      </c>
      <c r="I529" s="4" t="n">
        <v>4031344</v>
      </c>
      <c r="J529" s="4" t="n">
        <v>0.08649999999999999</v>
      </c>
    </row>
    <row r="530">
      <c r="A530" s="5" t="inlineStr">
        <is>
          <t>2023-10</t>
        </is>
      </c>
      <c r="B530" s="5" t="inlineStr">
        <is>
          <t>免疫炎症領域</t>
        </is>
      </c>
      <c r="C530" s="5" t="inlineStr">
        <is>
          <t>インフリキシマブ</t>
        </is>
      </c>
      <c r="D530" s="5" t="inlineStr">
        <is>
          <t>オリジナル</t>
        </is>
      </c>
      <c r="E530" s="5" t="inlineStr">
        <is>
          <t>レミケード（オリジナル）</t>
        </is>
      </c>
      <c r="F530" s="5" t="inlineStr">
        <is>
          <t>注射剤</t>
        </is>
      </c>
      <c r="G530" s="5" t="n">
        <v>3228</v>
      </c>
      <c r="H530" s="5" t="n">
        <v>48600</v>
      </c>
      <c r="I530" s="5" t="n">
        <v>156901824</v>
      </c>
      <c r="J530" s="5" t="n">
        <v>0.1004</v>
      </c>
    </row>
    <row r="531">
      <c r="A531" s="4" t="inlineStr">
        <is>
          <t>2023-10</t>
        </is>
      </c>
      <c r="B531" s="4" t="inlineStr">
        <is>
          <t>免疫炎症領域</t>
        </is>
      </c>
      <c r="C531" s="4" t="inlineStr">
        <is>
          <t>インフリキシマブ</t>
        </is>
      </c>
      <c r="D531" s="4" t="inlineStr">
        <is>
          <t>自社</t>
        </is>
      </c>
      <c r="E531" s="4" t="inlineStr">
        <is>
          <t>インフリキシマブBS点滴静注用「サンド」（自社合計）</t>
        </is>
      </c>
      <c r="F531" s="4" t="inlineStr">
        <is>
          <t>注射剤</t>
        </is>
      </c>
      <c r="G531" s="4" t="n">
        <v>62</v>
      </c>
      <c r="H531" s="4" t="n">
        <v>36000</v>
      </c>
      <c r="I531" s="4" t="n">
        <v>2219474</v>
      </c>
      <c r="J531" s="4" t="n">
        <v>0.1004</v>
      </c>
    </row>
    <row r="532">
      <c r="A532" s="5" t="inlineStr">
        <is>
          <t>2023-10</t>
        </is>
      </c>
      <c r="B532" s="5" t="inlineStr">
        <is>
          <t>免疫炎症領域</t>
        </is>
      </c>
      <c r="C532" s="5" t="inlineStr">
        <is>
          <t>インフリキシマブ</t>
        </is>
      </c>
      <c r="D532" s="5" t="inlineStr">
        <is>
          <t>競合A</t>
        </is>
      </c>
      <c r="E532" s="5" t="inlineStr">
        <is>
          <t>競合A社製品</t>
        </is>
      </c>
      <c r="F532" s="5" t="inlineStr">
        <is>
          <t>注射剤</t>
        </is>
      </c>
      <c r="G532" s="5" t="n">
        <v>163</v>
      </c>
      <c r="H532" s="5" t="n">
        <v>36716.9</v>
      </c>
      <c r="I532" s="5" t="n">
        <v>5989789</v>
      </c>
      <c r="J532" s="5" t="n">
        <v>0.1004</v>
      </c>
    </row>
    <row r="533">
      <c r="A533" s="4" t="inlineStr">
        <is>
          <t>2023-10</t>
        </is>
      </c>
      <c r="B533" s="4" t="inlineStr">
        <is>
          <t>免疫炎症領域</t>
        </is>
      </c>
      <c r="C533" s="4" t="inlineStr">
        <is>
          <t>インフリキシマブ</t>
        </is>
      </c>
      <c r="D533" s="4" t="inlineStr">
        <is>
          <t>競合B</t>
        </is>
      </c>
      <c r="E533" s="4" t="inlineStr">
        <is>
          <t>競合B社製品</t>
        </is>
      </c>
      <c r="F533" s="4" t="inlineStr">
        <is>
          <t>注射剤</t>
        </is>
      </c>
      <c r="G533" s="4" t="n">
        <v>135</v>
      </c>
      <c r="H533" s="4" t="n">
        <v>36762.6</v>
      </c>
      <c r="I533" s="4" t="n">
        <v>4980302</v>
      </c>
      <c r="J533" s="4" t="n">
        <v>0.1004</v>
      </c>
    </row>
    <row r="534">
      <c r="A534" s="5" t="inlineStr">
        <is>
          <t>2023-11</t>
        </is>
      </c>
      <c r="B534" s="5" t="inlineStr">
        <is>
          <t>免疫炎症領域</t>
        </is>
      </c>
      <c r="C534" s="5" t="inlineStr">
        <is>
          <t>インフリキシマブ</t>
        </is>
      </c>
      <c r="D534" s="5" t="inlineStr">
        <is>
          <t>オリジナル</t>
        </is>
      </c>
      <c r="E534" s="5" t="inlineStr">
        <is>
          <t>レミケード（オリジナル）</t>
        </is>
      </c>
      <c r="F534" s="5" t="inlineStr">
        <is>
          <t>注射剤</t>
        </is>
      </c>
      <c r="G534" s="5" t="n">
        <v>3249</v>
      </c>
      <c r="H534" s="5" t="n">
        <v>48600</v>
      </c>
      <c r="I534" s="5" t="n">
        <v>157898664</v>
      </c>
      <c r="J534" s="5" t="n">
        <v>0.1053</v>
      </c>
    </row>
    <row r="535">
      <c r="A535" s="4" t="inlineStr">
        <is>
          <t>2023-11</t>
        </is>
      </c>
      <c r="B535" s="4" t="inlineStr">
        <is>
          <t>免疫炎症領域</t>
        </is>
      </c>
      <c r="C535" s="4" t="inlineStr">
        <is>
          <t>インフリキシマブ</t>
        </is>
      </c>
      <c r="D535" s="4" t="inlineStr">
        <is>
          <t>自社</t>
        </is>
      </c>
      <c r="E535" s="4" t="inlineStr">
        <is>
          <t>インフリキシマブBS点滴静注用「サンド」（自社合計）</t>
        </is>
      </c>
      <c r="F535" s="4" t="inlineStr">
        <is>
          <t>注射剤</t>
        </is>
      </c>
      <c r="G535" s="4" t="n">
        <v>69</v>
      </c>
      <c r="H535" s="4" t="n">
        <v>36000</v>
      </c>
      <c r="I535" s="4" t="n">
        <v>2498608</v>
      </c>
      <c r="J535" s="4" t="n">
        <v>0.1053</v>
      </c>
    </row>
    <row r="536">
      <c r="A536" s="5" t="inlineStr">
        <is>
          <t>2023-11</t>
        </is>
      </c>
      <c r="B536" s="5" t="inlineStr">
        <is>
          <t>免疫炎症領域</t>
        </is>
      </c>
      <c r="C536" s="5" t="inlineStr">
        <is>
          <t>インフリキシマブ</t>
        </is>
      </c>
      <c r="D536" s="5" t="inlineStr">
        <is>
          <t>競合A</t>
        </is>
      </c>
      <c r="E536" s="5" t="inlineStr">
        <is>
          <t>競合A社製品</t>
        </is>
      </c>
      <c r="F536" s="5" t="inlineStr">
        <is>
          <t>注射剤</t>
        </is>
      </c>
      <c r="G536" s="5" t="n">
        <v>162</v>
      </c>
      <c r="H536" s="5" t="n">
        <v>36248.1</v>
      </c>
      <c r="I536" s="5" t="n">
        <v>5869206</v>
      </c>
      <c r="J536" s="5" t="n">
        <v>0.1053</v>
      </c>
    </row>
    <row r="537">
      <c r="A537" s="4" t="inlineStr">
        <is>
          <t>2023-11</t>
        </is>
      </c>
      <c r="B537" s="4" t="inlineStr">
        <is>
          <t>免疫炎症領域</t>
        </is>
      </c>
      <c r="C537" s="4" t="inlineStr">
        <is>
          <t>インフリキシマブ</t>
        </is>
      </c>
      <c r="D537" s="4" t="inlineStr">
        <is>
          <t>競合B</t>
        </is>
      </c>
      <c r="E537" s="4" t="inlineStr">
        <is>
          <t>競合B社製品</t>
        </is>
      </c>
      <c r="F537" s="4" t="inlineStr">
        <is>
          <t>注射剤</t>
        </is>
      </c>
      <c r="G537" s="4" t="n">
        <v>151</v>
      </c>
      <c r="H537" s="4" t="n">
        <v>36273.1</v>
      </c>
      <c r="I537" s="4" t="n">
        <v>5476265</v>
      </c>
      <c r="J537" s="4" t="n">
        <v>0.1053</v>
      </c>
    </row>
    <row r="538">
      <c r="A538" s="5" t="inlineStr">
        <is>
          <t>2023-12</t>
        </is>
      </c>
      <c r="B538" s="5" t="inlineStr">
        <is>
          <t>免疫炎症領域</t>
        </is>
      </c>
      <c r="C538" s="5" t="inlineStr">
        <is>
          <t>インフリキシマブ</t>
        </is>
      </c>
      <c r="D538" s="5" t="inlineStr">
        <is>
          <t>オリジナル</t>
        </is>
      </c>
      <c r="E538" s="5" t="inlineStr">
        <is>
          <t>レミケード（オリジナル）</t>
        </is>
      </c>
      <c r="F538" s="5" t="inlineStr">
        <is>
          <t>注射剤</t>
        </is>
      </c>
      <c r="G538" s="5" t="n">
        <v>3200</v>
      </c>
      <c r="H538" s="5" t="n">
        <v>48600</v>
      </c>
      <c r="I538" s="5" t="n">
        <v>155504768</v>
      </c>
      <c r="J538" s="5" t="n">
        <v>0.1248</v>
      </c>
    </row>
    <row r="539">
      <c r="A539" s="4" t="inlineStr">
        <is>
          <t>2023-12</t>
        </is>
      </c>
      <c r="B539" s="4" t="inlineStr">
        <is>
          <t>免疫炎症領域</t>
        </is>
      </c>
      <c r="C539" s="4" t="inlineStr">
        <is>
          <t>インフリキシマブ</t>
        </is>
      </c>
      <c r="D539" s="4" t="inlineStr">
        <is>
          <t>自社</t>
        </is>
      </c>
      <c r="E539" s="4" t="inlineStr">
        <is>
          <t>インフリキシマブBS点滴静注用「サンド」（自社合計）</t>
        </is>
      </c>
      <c r="F539" s="4" t="inlineStr">
        <is>
          <t>注射剤</t>
        </is>
      </c>
      <c r="G539" s="4" t="n">
        <v>87</v>
      </c>
      <c r="H539" s="4" t="n">
        <v>36000</v>
      </c>
      <c r="I539" s="4" t="n">
        <v>3115053</v>
      </c>
      <c r="J539" s="4" t="n">
        <v>0.1248</v>
      </c>
    </row>
    <row r="540">
      <c r="A540" s="5" t="inlineStr">
        <is>
          <t>2023-12</t>
        </is>
      </c>
      <c r="B540" s="5" t="inlineStr">
        <is>
          <t>免疫炎症領域</t>
        </is>
      </c>
      <c r="C540" s="5" t="inlineStr">
        <is>
          <t>インフリキシマブ</t>
        </is>
      </c>
      <c r="D540" s="5" t="inlineStr">
        <is>
          <t>競合A</t>
        </is>
      </c>
      <c r="E540" s="5" t="inlineStr">
        <is>
          <t>競合A社製品</t>
        </is>
      </c>
      <c r="F540" s="5" t="inlineStr">
        <is>
          <t>注射剤</t>
        </is>
      </c>
      <c r="G540" s="5" t="n">
        <v>190</v>
      </c>
      <c r="H540" s="5" t="n">
        <v>35770.2</v>
      </c>
      <c r="I540" s="5" t="n">
        <v>6779028</v>
      </c>
      <c r="J540" s="5" t="n">
        <v>0.1248</v>
      </c>
    </row>
    <row r="541">
      <c r="A541" s="4" t="inlineStr">
        <is>
          <t>2023-12</t>
        </is>
      </c>
      <c r="B541" s="4" t="inlineStr">
        <is>
          <t>免疫炎症領域</t>
        </is>
      </c>
      <c r="C541" s="4" t="inlineStr">
        <is>
          <t>インフリキシマブ</t>
        </is>
      </c>
      <c r="D541" s="4" t="inlineStr">
        <is>
          <t>競合B</t>
        </is>
      </c>
      <c r="E541" s="4" t="inlineStr">
        <is>
          <t>競合B社製品</t>
        </is>
      </c>
      <c r="F541" s="4" t="inlineStr">
        <is>
          <t>注射剤</t>
        </is>
      </c>
      <c r="G541" s="4" t="n">
        <v>180</v>
      </c>
      <c r="H541" s="4" t="n">
        <v>36156.4</v>
      </c>
      <c r="I541" s="4" t="n">
        <v>6513424</v>
      </c>
      <c r="J541" s="4" t="n">
        <v>0.1248</v>
      </c>
    </row>
    <row r="542">
      <c r="A542" s="5" t="inlineStr">
        <is>
          <t>2024-01</t>
        </is>
      </c>
      <c r="B542" s="5" t="inlineStr">
        <is>
          <t>免疫炎症領域</t>
        </is>
      </c>
      <c r="C542" s="5" t="inlineStr">
        <is>
          <t>インフリキシマブ</t>
        </is>
      </c>
      <c r="D542" s="5" t="inlineStr">
        <is>
          <t>オリジナル</t>
        </is>
      </c>
      <c r="E542" s="5" t="inlineStr">
        <is>
          <t>レミケード（オリジナル）</t>
        </is>
      </c>
      <c r="F542" s="5" t="inlineStr">
        <is>
          <t>注射剤</t>
        </is>
      </c>
      <c r="G542" s="5" t="n">
        <v>3138</v>
      </c>
      <c r="H542" s="5" t="n">
        <v>48600</v>
      </c>
      <c r="I542" s="5" t="n">
        <v>152521604</v>
      </c>
      <c r="J542" s="5" t="n">
        <v>0.1174</v>
      </c>
    </row>
    <row r="543">
      <c r="A543" s="4" t="inlineStr">
        <is>
          <t>2024-01</t>
        </is>
      </c>
      <c r="B543" s="4" t="inlineStr">
        <is>
          <t>免疫炎症領域</t>
        </is>
      </c>
      <c r="C543" s="4" t="inlineStr">
        <is>
          <t>インフリキシマブ</t>
        </is>
      </c>
      <c r="D543" s="4" t="inlineStr">
        <is>
          <t>自社</t>
        </is>
      </c>
      <c r="E543" s="4" t="inlineStr">
        <is>
          <t>インフリキシマブBS点滴静注用「サンド」（自社合計）</t>
        </is>
      </c>
      <c r="F543" s="4" t="inlineStr">
        <is>
          <t>注射剤</t>
        </is>
      </c>
      <c r="G543" s="4" t="n">
        <v>81</v>
      </c>
      <c r="H543" s="4" t="n">
        <v>36000</v>
      </c>
      <c r="I543" s="4" t="n">
        <v>2922134</v>
      </c>
      <c r="J543" s="4" t="n">
        <v>0.1174</v>
      </c>
    </row>
    <row r="544">
      <c r="A544" s="5" t="inlineStr">
        <is>
          <t>2024-01</t>
        </is>
      </c>
      <c r="B544" s="5" t="inlineStr">
        <is>
          <t>免疫炎症領域</t>
        </is>
      </c>
      <c r="C544" s="5" t="inlineStr">
        <is>
          <t>インフリキシマブ</t>
        </is>
      </c>
      <c r="D544" s="5" t="inlineStr">
        <is>
          <t>競合A</t>
        </is>
      </c>
      <c r="E544" s="5" t="inlineStr">
        <is>
          <t>競合A社製品</t>
        </is>
      </c>
      <c r="F544" s="5" t="inlineStr">
        <is>
          <t>注射剤</t>
        </is>
      </c>
      <c r="G544" s="5" t="n">
        <v>180</v>
      </c>
      <c r="H544" s="5" t="n">
        <v>35547.8</v>
      </c>
      <c r="I544" s="5" t="n">
        <v>6390483</v>
      </c>
      <c r="J544" s="5" t="n">
        <v>0.1174</v>
      </c>
    </row>
    <row r="545">
      <c r="A545" s="4" t="inlineStr">
        <is>
          <t>2024-01</t>
        </is>
      </c>
      <c r="B545" s="4" t="inlineStr">
        <is>
          <t>免疫炎症領域</t>
        </is>
      </c>
      <c r="C545" s="4" t="inlineStr">
        <is>
          <t>インフリキシマブ</t>
        </is>
      </c>
      <c r="D545" s="4" t="inlineStr">
        <is>
          <t>競合B</t>
        </is>
      </c>
      <c r="E545" s="4" t="inlineStr">
        <is>
          <t>競合B社製品</t>
        </is>
      </c>
      <c r="F545" s="4" t="inlineStr">
        <is>
          <t>注射剤</t>
        </is>
      </c>
      <c r="G545" s="4" t="n">
        <v>156</v>
      </c>
      <c r="H545" s="4" t="n">
        <v>36224.2</v>
      </c>
      <c r="I545" s="4" t="n">
        <v>5662743</v>
      </c>
      <c r="J545" s="4" t="n">
        <v>0.1174</v>
      </c>
    </row>
    <row r="546">
      <c r="A546" s="5" t="inlineStr">
        <is>
          <t>2024-02</t>
        </is>
      </c>
      <c r="B546" s="5" t="inlineStr">
        <is>
          <t>免疫炎症領域</t>
        </is>
      </c>
      <c r="C546" s="5" t="inlineStr">
        <is>
          <t>インフリキシマブ</t>
        </is>
      </c>
      <c r="D546" s="5" t="inlineStr">
        <is>
          <t>オリジナル</t>
        </is>
      </c>
      <c r="E546" s="5" t="inlineStr">
        <is>
          <t>レミケード（オリジナル）</t>
        </is>
      </c>
      <c r="F546" s="5" t="inlineStr">
        <is>
          <t>注射剤</t>
        </is>
      </c>
      <c r="G546" s="5" t="n">
        <v>3067</v>
      </c>
      <c r="H546" s="5" t="n">
        <v>48600</v>
      </c>
      <c r="I546" s="5" t="n">
        <v>149056039</v>
      </c>
      <c r="J546" s="5" t="n">
        <v>0.1354</v>
      </c>
    </row>
    <row r="547">
      <c r="A547" s="4" t="inlineStr">
        <is>
          <t>2024-02</t>
        </is>
      </c>
      <c r="B547" s="4" t="inlineStr">
        <is>
          <t>免疫炎症領域</t>
        </is>
      </c>
      <c r="C547" s="4" t="inlineStr">
        <is>
          <t>インフリキシマブ</t>
        </is>
      </c>
      <c r="D547" s="4" t="inlineStr">
        <is>
          <t>自社</t>
        </is>
      </c>
      <c r="E547" s="4" t="inlineStr">
        <is>
          <t>インフリキシマブBS点滴静注用「サンド」（自社合計）</t>
        </is>
      </c>
      <c r="F547" s="4" t="inlineStr">
        <is>
          <t>注射剤</t>
        </is>
      </c>
      <c r="G547" s="4" t="n">
        <v>94</v>
      </c>
      <c r="H547" s="4" t="n">
        <v>36000</v>
      </c>
      <c r="I547" s="4" t="n">
        <v>3383305</v>
      </c>
      <c r="J547" s="4" t="n">
        <v>0.1354</v>
      </c>
    </row>
    <row r="548">
      <c r="A548" s="5" t="inlineStr">
        <is>
          <t>2024-02</t>
        </is>
      </c>
      <c r="B548" s="5" t="inlineStr">
        <is>
          <t>免疫炎症領域</t>
        </is>
      </c>
      <c r="C548" s="5" t="inlineStr">
        <is>
          <t>インフリキシマブ</t>
        </is>
      </c>
      <c r="D548" s="5" t="inlineStr">
        <is>
          <t>競合A</t>
        </is>
      </c>
      <c r="E548" s="5" t="inlineStr">
        <is>
          <t>競合A社製品</t>
        </is>
      </c>
      <c r="F548" s="5" t="inlineStr">
        <is>
          <t>注射剤</t>
        </is>
      </c>
      <c r="G548" s="5" t="n">
        <v>199</v>
      </c>
      <c r="H548" s="5" t="n">
        <v>35653.5</v>
      </c>
      <c r="I548" s="5" t="n">
        <v>7101916</v>
      </c>
      <c r="J548" s="5" t="n">
        <v>0.1354</v>
      </c>
    </row>
    <row r="549">
      <c r="A549" s="4" t="inlineStr">
        <is>
          <t>2024-02</t>
        </is>
      </c>
      <c r="B549" s="4" t="inlineStr">
        <is>
          <t>免疫炎症領域</t>
        </is>
      </c>
      <c r="C549" s="4" t="inlineStr">
        <is>
          <t>インフリキシマブ</t>
        </is>
      </c>
      <c r="D549" s="4" t="inlineStr">
        <is>
          <t>競合B</t>
        </is>
      </c>
      <c r="E549" s="4" t="inlineStr">
        <is>
          <t>競合B社製品</t>
        </is>
      </c>
      <c r="F549" s="4" t="inlineStr">
        <is>
          <t>注射剤</t>
        </is>
      </c>
      <c r="G549" s="4" t="n">
        <v>187</v>
      </c>
      <c r="H549" s="4" t="n">
        <v>37035.2</v>
      </c>
      <c r="I549" s="4" t="n">
        <v>6924710</v>
      </c>
      <c r="J549" s="4" t="n">
        <v>0.1354</v>
      </c>
    </row>
    <row r="550">
      <c r="A550" s="5" t="inlineStr">
        <is>
          <t>2024-03</t>
        </is>
      </c>
      <c r="B550" s="5" t="inlineStr">
        <is>
          <t>免疫炎症領域</t>
        </is>
      </c>
      <c r="C550" s="5" t="inlineStr">
        <is>
          <t>インフリキシマブ</t>
        </is>
      </c>
      <c r="D550" s="5" t="inlineStr">
        <is>
          <t>オリジナル</t>
        </is>
      </c>
      <c r="E550" s="5" t="inlineStr">
        <is>
          <t>レミケード（オリジナル）</t>
        </is>
      </c>
      <c r="F550" s="5" t="inlineStr">
        <is>
          <t>注射剤</t>
        </is>
      </c>
      <c r="G550" s="5" t="n">
        <v>3318</v>
      </c>
      <c r="H550" s="5" t="n">
        <v>48600</v>
      </c>
      <c r="I550" s="5" t="n">
        <v>161239310</v>
      </c>
      <c r="J550" s="5" t="n">
        <v>0.1219</v>
      </c>
    </row>
    <row r="551">
      <c r="A551" s="4" t="inlineStr">
        <is>
          <t>2024-03</t>
        </is>
      </c>
      <c r="B551" s="4" t="inlineStr">
        <is>
          <t>免疫炎症領域</t>
        </is>
      </c>
      <c r="C551" s="4" t="inlineStr">
        <is>
          <t>インフリキシマブ</t>
        </is>
      </c>
      <c r="D551" s="4" t="inlineStr">
        <is>
          <t>自社</t>
        </is>
      </c>
      <c r="E551" s="4" t="inlineStr">
        <is>
          <t>インフリキシマブBS点滴静注用「サンド」（自社合計）</t>
        </is>
      </c>
      <c r="F551" s="4" t="inlineStr">
        <is>
          <t>注射剤</t>
        </is>
      </c>
      <c r="G551" s="4" t="n">
        <v>81</v>
      </c>
      <c r="H551" s="4" t="n">
        <v>36000</v>
      </c>
      <c r="I551" s="4" t="n">
        <v>2909107</v>
      </c>
      <c r="J551" s="4" t="n">
        <v>0.1219</v>
      </c>
    </row>
    <row r="552">
      <c r="A552" s="5" t="inlineStr">
        <is>
          <t>2024-03</t>
        </is>
      </c>
      <c r="B552" s="5" t="inlineStr">
        <is>
          <t>免疫炎症領域</t>
        </is>
      </c>
      <c r="C552" s="5" t="inlineStr">
        <is>
          <t>インフリキシマブ</t>
        </is>
      </c>
      <c r="D552" s="5" t="inlineStr">
        <is>
          <t>競合A</t>
        </is>
      </c>
      <c r="E552" s="5" t="inlineStr">
        <is>
          <t>競合A社製品</t>
        </is>
      </c>
      <c r="F552" s="5" t="inlineStr">
        <is>
          <t>注射剤</t>
        </is>
      </c>
      <c r="G552" s="5" t="n">
        <v>209</v>
      </c>
      <c r="H552" s="5" t="n">
        <v>36022.3</v>
      </c>
      <c r="I552" s="5" t="n">
        <v>7539612</v>
      </c>
      <c r="J552" s="5" t="n">
        <v>0.1219</v>
      </c>
    </row>
    <row r="553">
      <c r="A553" s="4" t="inlineStr">
        <is>
          <t>2024-03</t>
        </is>
      </c>
      <c r="B553" s="4" t="inlineStr">
        <is>
          <t>免疫炎症領域</t>
        </is>
      </c>
      <c r="C553" s="4" t="inlineStr">
        <is>
          <t>インフリキシマブ</t>
        </is>
      </c>
      <c r="D553" s="4" t="inlineStr">
        <is>
          <t>競合B</t>
        </is>
      </c>
      <c r="E553" s="4" t="inlineStr">
        <is>
          <t>競合B社製品</t>
        </is>
      </c>
      <c r="F553" s="4" t="inlineStr">
        <is>
          <t>注射剤</t>
        </is>
      </c>
      <c r="G553" s="4" t="n">
        <v>171</v>
      </c>
      <c r="H553" s="4" t="n">
        <v>35915.3</v>
      </c>
      <c r="I553" s="4" t="n">
        <v>6128793</v>
      </c>
      <c r="J553" s="4" t="n">
        <v>0.1219</v>
      </c>
    </row>
    <row r="554">
      <c r="A554" s="5" t="inlineStr">
        <is>
          <t>2024-04</t>
        </is>
      </c>
      <c r="B554" s="5" t="inlineStr">
        <is>
          <t>免疫炎症領域</t>
        </is>
      </c>
      <c r="C554" s="5" t="inlineStr">
        <is>
          <t>インフリキシマブ</t>
        </is>
      </c>
      <c r="D554" s="5" t="inlineStr">
        <is>
          <t>オリジナル</t>
        </is>
      </c>
      <c r="E554" s="5" t="inlineStr">
        <is>
          <t>レミケード（オリジナル）</t>
        </is>
      </c>
      <c r="F554" s="5" t="inlineStr">
        <is>
          <t>注射剤</t>
        </is>
      </c>
      <c r="G554" s="5" t="n">
        <v>3048</v>
      </c>
      <c r="H554" s="5" t="n">
        <v>45927</v>
      </c>
      <c r="I554" s="5" t="n">
        <v>139983539</v>
      </c>
      <c r="J554" s="5" t="n">
        <v>0.1269</v>
      </c>
    </row>
    <row r="555">
      <c r="A555" s="4" t="inlineStr">
        <is>
          <t>2024-04</t>
        </is>
      </c>
      <c r="B555" s="4" t="inlineStr">
        <is>
          <t>免疫炎症領域</t>
        </is>
      </c>
      <c r="C555" s="4" t="inlineStr">
        <is>
          <t>インフリキシマブ</t>
        </is>
      </c>
      <c r="D555" s="4" t="inlineStr">
        <is>
          <t>自社</t>
        </is>
      </c>
      <c r="E555" s="4" t="inlineStr">
        <is>
          <t>インフリキシマブBS点滴静注用「サンド」（自社合計）</t>
        </is>
      </c>
      <c r="F555" s="4" t="inlineStr">
        <is>
          <t>注射剤</t>
        </is>
      </c>
      <c r="G555" s="4" t="n">
        <v>88</v>
      </c>
      <c r="H555" s="4" t="n">
        <v>34020</v>
      </c>
      <c r="I555" s="4" t="n">
        <v>2999447</v>
      </c>
      <c r="J555" s="4" t="n">
        <v>0.1269</v>
      </c>
    </row>
    <row r="556">
      <c r="A556" s="5" t="inlineStr">
        <is>
          <t>2024-04</t>
        </is>
      </c>
      <c r="B556" s="5" t="inlineStr">
        <is>
          <t>免疫炎症領域</t>
        </is>
      </c>
      <c r="C556" s="5" t="inlineStr">
        <is>
          <t>インフリキシマブ</t>
        </is>
      </c>
      <c r="D556" s="5" t="inlineStr">
        <is>
          <t>競合A</t>
        </is>
      </c>
      <c r="E556" s="5" t="inlineStr">
        <is>
          <t>競合A社製品</t>
        </is>
      </c>
      <c r="F556" s="5" t="inlineStr">
        <is>
          <t>注射剤</t>
        </is>
      </c>
      <c r="G556" s="5" t="n">
        <v>212</v>
      </c>
      <c r="H556" s="5" t="n">
        <v>33252.7</v>
      </c>
      <c r="I556" s="5" t="n">
        <v>7045044</v>
      </c>
      <c r="J556" s="5" t="n">
        <v>0.1269</v>
      </c>
    </row>
    <row r="557">
      <c r="A557" s="4" t="inlineStr">
        <is>
          <t>2024-04</t>
        </is>
      </c>
      <c r="B557" s="4" t="inlineStr">
        <is>
          <t>免疫炎症領域</t>
        </is>
      </c>
      <c r="C557" s="4" t="inlineStr">
        <is>
          <t>インフリキシマブ</t>
        </is>
      </c>
      <c r="D557" s="4" t="inlineStr">
        <is>
          <t>競合B</t>
        </is>
      </c>
      <c r="E557" s="4" t="inlineStr">
        <is>
          <t>競合B社製品</t>
        </is>
      </c>
      <c r="F557" s="4" t="inlineStr">
        <is>
          <t>注射剤</t>
        </is>
      </c>
      <c r="G557" s="4" t="n">
        <v>143</v>
      </c>
      <c r="H557" s="4" t="n">
        <v>33761.6</v>
      </c>
      <c r="I557" s="4" t="n">
        <v>4831633</v>
      </c>
      <c r="J557" s="4" t="n">
        <v>0.1269</v>
      </c>
    </row>
    <row r="558">
      <c r="A558" s="5" t="inlineStr">
        <is>
          <t>2024-05</t>
        </is>
      </c>
      <c r="B558" s="5" t="inlineStr">
        <is>
          <t>免疫炎症領域</t>
        </is>
      </c>
      <c r="C558" s="5" t="inlineStr">
        <is>
          <t>インフリキシマブ</t>
        </is>
      </c>
      <c r="D558" s="5" t="inlineStr">
        <is>
          <t>オリジナル</t>
        </is>
      </c>
      <c r="E558" s="5" t="inlineStr">
        <is>
          <t>レミケード（オリジナル）</t>
        </is>
      </c>
      <c r="F558" s="5" t="inlineStr">
        <is>
          <t>注射剤</t>
        </is>
      </c>
      <c r="G558" s="5" t="n">
        <v>2989</v>
      </c>
      <c r="H558" s="5" t="n">
        <v>45927</v>
      </c>
      <c r="I558" s="5" t="n">
        <v>137267673</v>
      </c>
      <c r="J558" s="5" t="n">
        <v>0.1556</v>
      </c>
    </row>
    <row r="559">
      <c r="A559" s="4" t="inlineStr">
        <is>
          <t>2024-05</t>
        </is>
      </c>
      <c r="B559" s="4" t="inlineStr">
        <is>
          <t>免疫炎症領域</t>
        </is>
      </c>
      <c r="C559" s="4" t="inlineStr">
        <is>
          <t>インフリキシマブ</t>
        </is>
      </c>
      <c r="D559" s="4" t="inlineStr">
        <is>
          <t>自社</t>
        </is>
      </c>
      <c r="E559" s="4" t="inlineStr">
        <is>
          <t>インフリキシマブBS点滴静注用「サンド」（自社合計）</t>
        </is>
      </c>
      <c r="F559" s="4" t="inlineStr">
        <is>
          <t>注射剤</t>
        </is>
      </c>
      <c r="G559" s="4" t="n">
        <v>106</v>
      </c>
      <c r="H559" s="4" t="n">
        <v>34020</v>
      </c>
      <c r="I559" s="4" t="n">
        <v>3610949</v>
      </c>
      <c r="J559" s="4" t="n">
        <v>0.1556</v>
      </c>
    </row>
    <row r="560">
      <c r="A560" s="5" t="inlineStr">
        <is>
          <t>2024-05</t>
        </is>
      </c>
      <c r="B560" s="5" t="inlineStr">
        <is>
          <t>免疫炎症領域</t>
        </is>
      </c>
      <c r="C560" s="5" t="inlineStr">
        <is>
          <t>インフリキシマブ</t>
        </is>
      </c>
      <c r="D560" s="5" t="inlineStr">
        <is>
          <t>競合A</t>
        </is>
      </c>
      <c r="E560" s="5" t="inlineStr">
        <is>
          <t>競合A社製品</t>
        </is>
      </c>
      <c r="F560" s="5" t="inlineStr">
        <is>
          <t>注射剤</t>
        </is>
      </c>
      <c r="G560" s="5" t="n">
        <v>264</v>
      </c>
      <c r="H560" s="5" t="n">
        <v>35270.2</v>
      </c>
      <c r="I560" s="5" t="n">
        <v>9295430</v>
      </c>
      <c r="J560" s="5" t="n">
        <v>0.1556</v>
      </c>
    </row>
    <row r="561">
      <c r="A561" s="4" t="inlineStr">
        <is>
          <t>2024-05</t>
        </is>
      </c>
      <c r="B561" s="4" t="inlineStr">
        <is>
          <t>免疫炎症領域</t>
        </is>
      </c>
      <c r="C561" s="4" t="inlineStr">
        <is>
          <t>インフリキシマブ</t>
        </is>
      </c>
      <c r="D561" s="4" t="inlineStr">
        <is>
          <t>競合B</t>
        </is>
      </c>
      <c r="E561" s="4" t="inlineStr">
        <is>
          <t>競合B社製品</t>
        </is>
      </c>
      <c r="F561" s="4" t="inlineStr">
        <is>
          <t>注射剤</t>
        </is>
      </c>
      <c r="G561" s="4" t="n">
        <v>181</v>
      </c>
      <c r="H561" s="4" t="n">
        <v>33791.4</v>
      </c>
      <c r="I561" s="4" t="n">
        <v>6116796</v>
      </c>
      <c r="J561" s="4" t="n">
        <v>0.1556</v>
      </c>
    </row>
    <row r="562">
      <c r="A562" s="5" t="inlineStr">
        <is>
          <t>2024-06</t>
        </is>
      </c>
      <c r="B562" s="5" t="inlineStr">
        <is>
          <t>免疫炎症領域</t>
        </is>
      </c>
      <c r="C562" s="5" t="inlineStr">
        <is>
          <t>インフリキシマブ</t>
        </is>
      </c>
      <c r="D562" s="5" t="inlineStr">
        <is>
          <t>オリジナル</t>
        </is>
      </c>
      <c r="E562" s="5" t="inlineStr">
        <is>
          <t>レミケード（オリジナル）</t>
        </is>
      </c>
      <c r="F562" s="5" t="inlineStr">
        <is>
          <t>注射剤</t>
        </is>
      </c>
      <c r="G562" s="5" t="n">
        <v>3079</v>
      </c>
      <c r="H562" s="5" t="n">
        <v>45927</v>
      </c>
      <c r="I562" s="5" t="n">
        <v>141409223</v>
      </c>
      <c r="J562" s="5" t="n">
        <v>0.176</v>
      </c>
    </row>
    <row r="563">
      <c r="A563" s="4" t="inlineStr">
        <is>
          <t>2024-06</t>
        </is>
      </c>
      <c r="B563" s="4" t="inlineStr">
        <is>
          <t>免疫炎症領域</t>
        </is>
      </c>
      <c r="C563" s="4" t="inlineStr">
        <is>
          <t>インフリキシマブ</t>
        </is>
      </c>
      <c r="D563" s="4" t="inlineStr">
        <is>
          <t>自社</t>
        </is>
      </c>
      <c r="E563" s="4" t="inlineStr">
        <is>
          <t>インフリキシマブBS点滴静注用「サンド」（自社合計）</t>
        </is>
      </c>
      <c r="F563" s="4" t="inlineStr">
        <is>
          <t>注射剤</t>
        </is>
      </c>
      <c r="G563" s="4" t="n">
        <v>141</v>
      </c>
      <c r="H563" s="4" t="n">
        <v>34020</v>
      </c>
      <c r="I563" s="4" t="n">
        <v>4800449</v>
      </c>
      <c r="J563" s="4" t="n">
        <v>0.176</v>
      </c>
    </row>
    <row r="564">
      <c r="A564" s="5" t="inlineStr">
        <is>
          <t>2024-06</t>
        </is>
      </c>
      <c r="B564" s="5" t="inlineStr">
        <is>
          <t>免疫炎症領域</t>
        </is>
      </c>
      <c r="C564" s="5" t="inlineStr">
        <is>
          <t>インフリキシマブ</t>
        </is>
      </c>
      <c r="D564" s="5" t="inlineStr">
        <is>
          <t>競合A</t>
        </is>
      </c>
      <c r="E564" s="5" t="inlineStr">
        <is>
          <t>競合A社製品</t>
        </is>
      </c>
      <c r="F564" s="5" t="inlineStr">
        <is>
          <t>注射剤</t>
        </is>
      </c>
      <c r="G564" s="5" t="n">
        <v>283</v>
      </c>
      <c r="H564" s="5" t="n">
        <v>34109.2</v>
      </c>
      <c r="I564" s="5" t="n">
        <v>9642494</v>
      </c>
      <c r="J564" s="5" t="n">
        <v>0.176</v>
      </c>
    </row>
    <row r="565">
      <c r="A565" s="4" t="inlineStr">
        <is>
          <t>2024-06</t>
        </is>
      </c>
      <c r="B565" s="4" t="inlineStr">
        <is>
          <t>免疫炎症領域</t>
        </is>
      </c>
      <c r="C565" s="4" t="inlineStr">
        <is>
          <t>インフリキシマブ</t>
        </is>
      </c>
      <c r="D565" s="4" t="inlineStr">
        <is>
          <t>競合B</t>
        </is>
      </c>
      <c r="E565" s="4" t="inlineStr">
        <is>
          <t>競合B社製品</t>
        </is>
      </c>
      <c r="F565" s="4" t="inlineStr">
        <is>
          <t>注射剤</t>
        </is>
      </c>
      <c r="G565" s="4" t="n">
        <v>234</v>
      </c>
      <c r="H565" s="4" t="n">
        <v>34268.7</v>
      </c>
      <c r="I565" s="4" t="n">
        <v>8016300</v>
      </c>
      <c r="J565" s="4" t="n">
        <v>0.176</v>
      </c>
    </row>
    <row r="566">
      <c r="A566" s="5" t="inlineStr">
        <is>
          <t>2024-07</t>
        </is>
      </c>
      <c r="B566" s="5" t="inlineStr">
        <is>
          <t>免疫炎症領域</t>
        </is>
      </c>
      <c r="C566" s="5" t="inlineStr">
        <is>
          <t>インフリキシマブ</t>
        </is>
      </c>
      <c r="D566" s="5" t="inlineStr">
        <is>
          <t>オリジナル</t>
        </is>
      </c>
      <c r="E566" s="5" t="inlineStr">
        <is>
          <t>レミケード（オリジナル）</t>
        </is>
      </c>
      <c r="F566" s="5" t="inlineStr">
        <is>
          <t>注射剤</t>
        </is>
      </c>
      <c r="G566" s="5" t="n">
        <v>3085</v>
      </c>
      <c r="H566" s="5" t="n">
        <v>45927</v>
      </c>
      <c r="I566" s="5" t="n">
        <v>141686471</v>
      </c>
      <c r="J566" s="5" t="n">
        <v>0.1955</v>
      </c>
    </row>
    <row r="567">
      <c r="A567" s="4" t="inlineStr">
        <is>
          <t>2024-07</t>
        </is>
      </c>
      <c r="B567" s="4" t="inlineStr">
        <is>
          <t>免疫炎症領域</t>
        </is>
      </c>
      <c r="C567" s="4" t="inlineStr">
        <is>
          <t>インフリキシマブ</t>
        </is>
      </c>
      <c r="D567" s="4" t="inlineStr">
        <is>
          <t>自社</t>
        </is>
      </c>
      <c r="E567" s="4" t="inlineStr">
        <is>
          <t>インフリキシマブBS点滴静注用「サンド」（自社合計）</t>
        </is>
      </c>
      <c r="F567" s="4" t="inlineStr">
        <is>
          <t>注射剤</t>
        </is>
      </c>
      <c r="G567" s="4" t="n">
        <v>143</v>
      </c>
      <c r="H567" s="4" t="n">
        <v>34020</v>
      </c>
      <c r="I567" s="4" t="n">
        <v>4869663</v>
      </c>
      <c r="J567" s="4" t="n">
        <v>0.1955</v>
      </c>
    </row>
    <row r="568">
      <c r="A568" s="5" t="inlineStr">
        <is>
          <t>2024-07</t>
        </is>
      </c>
      <c r="B568" s="5" t="inlineStr">
        <is>
          <t>免疫炎症領域</t>
        </is>
      </c>
      <c r="C568" s="5" t="inlineStr">
        <is>
          <t>インフリキシマブ</t>
        </is>
      </c>
      <c r="D568" s="5" t="inlineStr">
        <is>
          <t>競合A</t>
        </is>
      </c>
      <c r="E568" s="5" t="inlineStr">
        <is>
          <t>競合A社製品</t>
        </is>
      </c>
      <c r="F568" s="5" t="inlineStr">
        <is>
          <t>注射剤</t>
        </is>
      </c>
      <c r="G568" s="5" t="n">
        <v>351</v>
      </c>
      <c r="H568" s="5" t="n">
        <v>33773.8</v>
      </c>
      <c r="I568" s="5" t="n">
        <v>11863013</v>
      </c>
      <c r="J568" s="5" t="n">
        <v>0.1955</v>
      </c>
    </row>
    <row r="569">
      <c r="A569" s="4" t="inlineStr">
        <is>
          <t>2024-07</t>
        </is>
      </c>
      <c r="B569" s="4" t="inlineStr">
        <is>
          <t>免疫炎症領域</t>
        </is>
      </c>
      <c r="C569" s="4" t="inlineStr">
        <is>
          <t>インフリキシマブ</t>
        </is>
      </c>
      <c r="D569" s="4" t="inlineStr">
        <is>
          <t>競合B</t>
        </is>
      </c>
      <c r="E569" s="4" t="inlineStr">
        <is>
          <t>競合B社製品</t>
        </is>
      </c>
      <c r="F569" s="4" t="inlineStr">
        <is>
          <t>注射剤</t>
        </is>
      </c>
      <c r="G569" s="4" t="n">
        <v>255</v>
      </c>
      <c r="H569" s="4" t="n">
        <v>33686.8</v>
      </c>
      <c r="I569" s="4" t="n">
        <v>8601086</v>
      </c>
      <c r="J569" s="4" t="n">
        <v>0.1955</v>
      </c>
    </row>
    <row r="570">
      <c r="A570" s="5" t="inlineStr">
        <is>
          <t>2024-08</t>
        </is>
      </c>
      <c r="B570" s="5" t="inlineStr">
        <is>
          <t>免疫炎症領域</t>
        </is>
      </c>
      <c r="C570" s="5" t="inlineStr">
        <is>
          <t>インフリキシマブ</t>
        </is>
      </c>
      <c r="D570" s="5" t="inlineStr">
        <is>
          <t>オリジナル</t>
        </is>
      </c>
      <c r="E570" s="5" t="inlineStr">
        <is>
          <t>レミケード（オリジナル）</t>
        </is>
      </c>
      <c r="F570" s="5" t="inlineStr">
        <is>
          <t>注射剤</t>
        </is>
      </c>
      <c r="G570" s="5" t="n">
        <v>2946</v>
      </c>
      <c r="H570" s="5" t="n">
        <v>45927</v>
      </c>
      <c r="I570" s="5" t="n">
        <v>135310056</v>
      </c>
      <c r="J570" s="5" t="n">
        <v>0.1988</v>
      </c>
    </row>
    <row r="571">
      <c r="A571" s="4" t="inlineStr">
        <is>
          <t>2024-08</t>
        </is>
      </c>
      <c r="B571" s="4" t="inlineStr">
        <is>
          <t>免疫炎症領域</t>
        </is>
      </c>
      <c r="C571" s="4" t="inlineStr">
        <is>
          <t>インフリキシマブ</t>
        </is>
      </c>
      <c r="D571" s="4" t="inlineStr">
        <is>
          <t>自社</t>
        </is>
      </c>
      <c r="E571" s="4" t="inlineStr">
        <is>
          <t>インフリキシマブBS点滴静注用「サンド」（自社合計）</t>
        </is>
      </c>
      <c r="F571" s="4" t="inlineStr">
        <is>
          <t>注射剤</t>
        </is>
      </c>
      <c r="G571" s="4" t="n">
        <v>147</v>
      </c>
      <c r="H571" s="4" t="n">
        <v>34020</v>
      </c>
      <c r="I571" s="4" t="n">
        <v>5017498</v>
      </c>
      <c r="J571" s="4" t="n">
        <v>0.1988</v>
      </c>
    </row>
    <row r="572">
      <c r="A572" s="5" t="inlineStr">
        <is>
          <t>2024-08</t>
        </is>
      </c>
      <c r="B572" s="5" t="inlineStr">
        <is>
          <t>免疫炎症領域</t>
        </is>
      </c>
      <c r="C572" s="5" t="inlineStr">
        <is>
          <t>インフリキシマブ</t>
        </is>
      </c>
      <c r="D572" s="5" t="inlineStr">
        <is>
          <t>競合A</t>
        </is>
      </c>
      <c r="E572" s="5" t="inlineStr">
        <is>
          <t>競合A社製品</t>
        </is>
      </c>
      <c r="F572" s="5" t="inlineStr">
        <is>
          <t>注射剤</t>
        </is>
      </c>
      <c r="G572" s="5" t="n">
        <v>321</v>
      </c>
      <c r="H572" s="5" t="n">
        <v>34249</v>
      </c>
      <c r="I572" s="5" t="n">
        <v>10998255</v>
      </c>
      <c r="J572" s="5" t="n">
        <v>0.1988</v>
      </c>
    </row>
    <row r="573">
      <c r="A573" s="4" t="inlineStr">
        <is>
          <t>2024-08</t>
        </is>
      </c>
      <c r="B573" s="4" t="inlineStr">
        <is>
          <t>免疫炎症領域</t>
        </is>
      </c>
      <c r="C573" s="4" t="inlineStr">
        <is>
          <t>インフリキシマブ</t>
        </is>
      </c>
      <c r="D573" s="4" t="inlineStr">
        <is>
          <t>競合B</t>
        </is>
      </c>
      <c r="E573" s="4" t="inlineStr">
        <is>
          <t>競合B社製品</t>
        </is>
      </c>
      <c r="F573" s="4" t="inlineStr">
        <is>
          <t>注射剤</t>
        </is>
      </c>
      <c r="G573" s="4" t="n">
        <v>262</v>
      </c>
      <c r="H573" s="4" t="n">
        <v>34309.1</v>
      </c>
      <c r="I573" s="4" t="n">
        <v>8999103</v>
      </c>
      <c r="J573" s="4" t="n">
        <v>0.1988</v>
      </c>
    </row>
    <row r="574">
      <c r="A574" s="5" t="inlineStr">
        <is>
          <t>2024-09</t>
        </is>
      </c>
      <c r="B574" s="5" t="inlineStr">
        <is>
          <t>免疫炎症領域</t>
        </is>
      </c>
      <c r="C574" s="5" t="inlineStr">
        <is>
          <t>インフリキシマブ</t>
        </is>
      </c>
      <c r="D574" s="5" t="inlineStr">
        <is>
          <t>オリジナル</t>
        </is>
      </c>
      <c r="E574" s="5" t="inlineStr">
        <is>
          <t>レミケード（オリジナル）</t>
        </is>
      </c>
      <c r="F574" s="5" t="inlineStr">
        <is>
          <t>注射剤</t>
        </is>
      </c>
      <c r="G574" s="5" t="n">
        <v>2724</v>
      </c>
      <c r="H574" s="5" t="n">
        <v>45927</v>
      </c>
      <c r="I574" s="5" t="n">
        <v>125100210</v>
      </c>
      <c r="J574" s="5" t="n">
        <v>0.2167</v>
      </c>
    </row>
    <row r="575">
      <c r="A575" s="4" t="inlineStr">
        <is>
          <t>2024-09</t>
        </is>
      </c>
      <c r="B575" s="4" t="inlineStr">
        <is>
          <t>免疫炎症領域</t>
        </is>
      </c>
      <c r="C575" s="4" t="inlineStr">
        <is>
          <t>インフリキシマブ</t>
        </is>
      </c>
      <c r="D575" s="4" t="inlineStr">
        <is>
          <t>自社</t>
        </is>
      </c>
      <c r="E575" s="4" t="inlineStr">
        <is>
          <t>インフリキシマブBS点滴静注用「サンド」（自社合計）</t>
        </is>
      </c>
      <c r="F575" s="4" t="inlineStr">
        <is>
          <t>注射剤</t>
        </is>
      </c>
      <c r="G575" s="4" t="n">
        <v>143</v>
      </c>
      <c r="H575" s="4" t="n">
        <v>34020</v>
      </c>
      <c r="I575" s="4" t="n">
        <v>4874519</v>
      </c>
      <c r="J575" s="4" t="n">
        <v>0.2167</v>
      </c>
    </row>
    <row r="576">
      <c r="A576" s="5" t="inlineStr">
        <is>
          <t>2024-09</t>
        </is>
      </c>
      <c r="B576" s="5" t="inlineStr">
        <is>
          <t>免疫炎症領域</t>
        </is>
      </c>
      <c r="C576" s="5" t="inlineStr">
        <is>
          <t>インフリキシマブ</t>
        </is>
      </c>
      <c r="D576" s="5" t="inlineStr">
        <is>
          <t>競合A</t>
        </is>
      </c>
      <c r="E576" s="5" t="inlineStr">
        <is>
          <t>競合A社製品</t>
        </is>
      </c>
      <c r="F576" s="5" t="inlineStr">
        <is>
          <t>注射剤</t>
        </is>
      </c>
      <c r="G576" s="5" t="n">
        <v>309</v>
      </c>
      <c r="H576" s="5" t="n">
        <v>33980.3</v>
      </c>
      <c r="I576" s="5" t="n">
        <v>10505720</v>
      </c>
      <c r="J576" s="5" t="n">
        <v>0.2167</v>
      </c>
    </row>
    <row r="577">
      <c r="A577" s="4" t="inlineStr">
        <is>
          <t>2024-09</t>
        </is>
      </c>
      <c r="B577" s="4" t="inlineStr">
        <is>
          <t>免疫炎症領域</t>
        </is>
      </c>
      <c r="C577" s="4" t="inlineStr">
        <is>
          <t>インフリキシマブ</t>
        </is>
      </c>
      <c r="D577" s="4" t="inlineStr">
        <is>
          <t>競合B</t>
        </is>
      </c>
      <c r="E577" s="4" t="inlineStr">
        <is>
          <t>競合B社製品</t>
        </is>
      </c>
      <c r="F577" s="4" t="inlineStr">
        <is>
          <t>注射剤</t>
        </is>
      </c>
      <c r="G577" s="4" t="n">
        <v>301</v>
      </c>
      <c r="H577" s="4" t="n">
        <v>34077.1</v>
      </c>
      <c r="I577" s="4" t="n">
        <v>10255778</v>
      </c>
      <c r="J577" s="4" t="n">
        <v>0.2167</v>
      </c>
    </row>
    <row r="578">
      <c r="A578" s="5" t="inlineStr">
        <is>
          <t>2024-10</t>
        </is>
      </c>
      <c r="B578" s="5" t="inlineStr">
        <is>
          <t>免疫炎症領域</t>
        </is>
      </c>
      <c r="C578" s="5" t="inlineStr">
        <is>
          <t>インフリキシマブ</t>
        </is>
      </c>
      <c r="D578" s="5" t="inlineStr">
        <is>
          <t>オリジナル</t>
        </is>
      </c>
      <c r="E578" s="5" t="inlineStr">
        <is>
          <t>レミケード（オリジナル）</t>
        </is>
      </c>
      <c r="F578" s="5" t="inlineStr">
        <is>
          <t>注射剤</t>
        </is>
      </c>
      <c r="G578" s="5" t="n">
        <v>2752</v>
      </c>
      <c r="H578" s="5" t="n">
        <v>45927</v>
      </c>
      <c r="I578" s="5" t="n">
        <v>126385311</v>
      </c>
      <c r="J578" s="5" t="n">
        <v>0.2298</v>
      </c>
    </row>
    <row r="579">
      <c r="A579" s="4" t="inlineStr">
        <is>
          <t>2024-10</t>
        </is>
      </c>
      <c r="B579" s="4" t="inlineStr">
        <is>
          <t>免疫炎症領域</t>
        </is>
      </c>
      <c r="C579" s="4" t="inlineStr">
        <is>
          <t>インフリキシマブ</t>
        </is>
      </c>
      <c r="D579" s="4" t="inlineStr">
        <is>
          <t>自社</t>
        </is>
      </c>
      <c r="E579" s="4" t="inlineStr">
        <is>
          <t>インフリキシマブBS点滴静注用「サンド」（自社合計）</t>
        </is>
      </c>
      <c r="F579" s="4" t="inlineStr">
        <is>
          <t>注射剤</t>
        </is>
      </c>
      <c r="G579" s="4" t="n">
        <v>154</v>
      </c>
      <c r="H579" s="4" t="n">
        <v>34020</v>
      </c>
      <c r="I579" s="4" t="n">
        <v>5240965</v>
      </c>
      <c r="J579" s="4" t="n">
        <v>0.2298</v>
      </c>
    </row>
    <row r="580">
      <c r="A580" s="5" t="inlineStr">
        <is>
          <t>2024-10</t>
        </is>
      </c>
      <c r="B580" s="5" t="inlineStr">
        <is>
          <t>免疫炎症領域</t>
        </is>
      </c>
      <c r="C580" s="5" t="inlineStr">
        <is>
          <t>インフリキシマブ</t>
        </is>
      </c>
      <c r="D580" s="5" t="inlineStr">
        <is>
          <t>競合A</t>
        </is>
      </c>
      <c r="E580" s="5" t="inlineStr">
        <is>
          <t>競合A社製品</t>
        </is>
      </c>
      <c r="F580" s="5" t="inlineStr">
        <is>
          <t>注射剤</t>
        </is>
      </c>
      <c r="G580" s="5" t="n">
        <v>359</v>
      </c>
      <c r="H580" s="5" t="n">
        <v>33622.1</v>
      </c>
      <c r="I580" s="5" t="n">
        <v>12064639</v>
      </c>
      <c r="J580" s="5" t="n">
        <v>0.2298</v>
      </c>
    </row>
    <row r="581">
      <c r="A581" s="4" t="inlineStr">
        <is>
          <t>2024-10</t>
        </is>
      </c>
      <c r="B581" s="4" t="inlineStr">
        <is>
          <t>免疫炎症領域</t>
        </is>
      </c>
      <c r="C581" s="4" t="inlineStr">
        <is>
          <t>インフリキシマブ</t>
        </is>
      </c>
      <c r="D581" s="4" t="inlineStr">
        <is>
          <t>競合B</t>
        </is>
      </c>
      <c r="E581" s="4" t="inlineStr">
        <is>
          <t>競合B社製品</t>
        </is>
      </c>
      <c r="F581" s="4" t="inlineStr">
        <is>
          <t>注射剤</t>
        </is>
      </c>
      <c r="G581" s="4" t="n">
        <v>308</v>
      </c>
      <c r="H581" s="4" t="n">
        <v>33988.3</v>
      </c>
      <c r="I581" s="4" t="n">
        <v>10481978</v>
      </c>
      <c r="J581" s="4" t="n">
        <v>0.2298</v>
      </c>
    </row>
    <row r="582">
      <c r="A582" s="5" t="inlineStr">
        <is>
          <t>2024-11</t>
        </is>
      </c>
      <c r="B582" s="5" t="inlineStr">
        <is>
          <t>免疫炎症領域</t>
        </is>
      </c>
      <c r="C582" s="5" t="inlineStr">
        <is>
          <t>インフリキシマブ</t>
        </is>
      </c>
      <c r="D582" s="5" t="inlineStr">
        <is>
          <t>オリジナル</t>
        </is>
      </c>
      <c r="E582" s="5" t="inlineStr">
        <is>
          <t>レミケード（オリジナル）</t>
        </is>
      </c>
      <c r="F582" s="5" t="inlineStr">
        <is>
          <t>注射剤</t>
        </is>
      </c>
      <c r="G582" s="5" t="n">
        <v>2836</v>
      </c>
      <c r="H582" s="5" t="n">
        <v>45927</v>
      </c>
      <c r="I582" s="5" t="n">
        <v>130250567</v>
      </c>
      <c r="J582" s="5" t="n">
        <v>0.2229</v>
      </c>
    </row>
    <row r="583">
      <c r="A583" s="4" t="inlineStr">
        <is>
          <t>2024-11</t>
        </is>
      </c>
      <c r="B583" s="4" t="inlineStr">
        <is>
          <t>免疫炎症領域</t>
        </is>
      </c>
      <c r="C583" s="4" t="inlineStr">
        <is>
          <t>インフリキシマブ</t>
        </is>
      </c>
      <c r="D583" s="4" t="inlineStr">
        <is>
          <t>自社</t>
        </is>
      </c>
      <c r="E583" s="4" t="inlineStr">
        <is>
          <t>インフリキシマブBS点滴静注用「サンド」（自社合計）</t>
        </is>
      </c>
      <c r="F583" s="4" t="inlineStr">
        <is>
          <t>注射剤</t>
        </is>
      </c>
      <c r="G583" s="4" t="n">
        <v>170</v>
      </c>
      <c r="H583" s="4" t="n">
        <v>34020</v>
      </c>
      <c r="I583" s="4" t="n">
        <v>5791628</v>
      </c>
      <c r="J583" s="4" t="n">
        <v>0.2229</v>
      </c>
    </row>
    <row r="584">
      <c r="A584" s="5" t="inlineStr">
        <is>
          <t>2024-11</t>
        </is>
      </c>
      <c r="B584" s="5" t="inlineStr">
        <is>
          <t>免疫炎症領域</t>
        </is>
      </c>
      <c r="C584" s="5" t="inlineStr">
        <is>
          <t>インフリキシマブ</t>
        </is>
      </c>
      <c r="D584" s="5" t="inlineStr">
        <is>
          <t>競合A</t>
        </is>
      </c>
      <c r="E584" s="5" t="inlineStr">
        <is>
          <t>競合A社製品</t>
        </is>
      </c>
      <c r="F584" s="5" t="inlineStr">
        <is>
          <t>注射剤</t>
        </is>
      </c>
      <c r="G584" s="5" t="n">
        <v>355</v>
      </c>
      <c r="H584" s="5" t="n">
        <v>32732.7</v>
      </c>
      <c r="I584" s="5" t="n">
        <v>11622340</v>
      </c>
      <c r="J584" s="5" t="n">
        <v>0.2229</v>
      </c>
    </row>
    <row r="585">
      <c r="A585" s="4" t="inlineStr">
        <is>
          <t>2024-11</t>
        </is>
      </c>
      <c r="B585" s="4" t="inlineStr">
        <is>
          <t>免疫炎症領域</t>
        </is>
      </c>
      <c r="C585" s="4" t="inlineStr">
        <is>
          <t>インフリキシマブ</t>
        </is>
      </c>
      <c r="D585" s="4" t="inlineStr">
        <is>
          <t>競合B</t>
        </is>
      </c>
      <c r="E585" s="4" t="inlineStr">
        <is>
          <t>競合B社製品</t>
        </is>
      </c>
      <c r="F585" s="4" t="inlineStr">
        <is>
          <t>注射剤</t>
        </is>
      </c>
      <c r="G585" s="4" t="n">
        <v>288</v>
      </c>
      <c r="H585" s="4" t="n">
        <v>32687.4</v>
      </c>
      <c r="I585" s="4" t="n">
        <v>9423745</v>
      </c>
      <c r="J585" s="4" t="n">
        <v>0.2229</v>
      </c>
    </row>
    <row r="586">
      <c r="A586" s="5" t="inlineStr">
        <is>
          <t>2024-12</t>
        </is>
      </c>
      <c r="B586" s="5" t="inlineStr">
        <is>
          <t>免疫炎症領域</t>
        </is>
      </c>
      <c r="C586" s="5" t="inlineStr">
        <is>
          <t>インフリキシマブ</t>
        </is>
      </c>
      <c r="D586" s="5" t="inlineStr">
        <is>
          <t>オリジナル</t>
        </is>
      </c>
      <c r="E586" s="5" t="inlineStr">
        <is>
          <t>レミケード（オリジナル）</t>
        </is>
      </c>
      <c r="F586" s="5" t="inlineStr">
        <is>
          <t>注射剤</t>
        </is>
      </c>
      <c r="G586" s="5" t="n">
        <v>2754</v>
      </c>
      <c r="H586" s="5" t="n">
        <v>45927</v>
      </c>
      <c r="I586" s="5" t="n">
        <v>126505062</v>
      </c>
      <c r="J586" s="5" t="n">
        <v>0.2421</v>
      </c>
    </row>
    <row r="587">
      <c r="A587" s="4" t="inlineStr">
        <is>
          <t>2024-12</t>
        </is>
      </c>
      <c r="B587" s="4" t="inlineStr">
        <is>
          <t>免疫炎症領域</t>
        </is>
      </c>
      <c r="C587" s="4" t="inlineStr">
        <is>
          <t>インフリキシマブ</t>
        </is>
      </c>
      <c r="D587" s="4" t="inlineStr">
        <is>
          <t>自社</t>
        </is>
      </c>
      <c r="E587" s="4" t="inlineStr">
        <is>
          <t>インフリキシマブBS点滴静注用「サンド」（自社合計）</t>
        </is>
      </c>
      <c r="F587" s="4" t="inlineStr">
        <is>
          <t>注射剤</t>
        </is>
      </c>
      <c r="G587" s="4" t="n">
        <v>178</v>
      </c>
      <c r="H587" s="4" t="n">
        <v>34020</v>
      </c>
      <c r="I587" s="4" t="n">
        <v>6046501</v>
      </c>
      <c r="J587" s="4" t="n">
        <v>0.2421</v>
      </c>
    </row>
    <row r="588">
      <c r="A588" s="5" t="inlineStr">
        <is>
          <t>2024-12</t>
        </is>
      </c>
      <c r="B588" s="5" t="inlineStr">
        <is>
          <t>免疫炎症領域</t>
        </is>
      </c>
      <c r="C588" s="5" t="inlineStr">
        <is>
          <t>インフリキシマブ</t>
        </is>
      </c>
      <c r="D588" s="5" t="inlineStr">
        <is>
          <t>競合A</t>
        </is>
      </c>
      <c r="E588" s="5" t="inlineStr">
        <is>
          <t>競合A社製品</t>
        </is>
      </c>
      <c r="F588" s="5" t="inlineStr">
        <is>
          <t>注射剤</t>
        </is>
      </c>
      <c r="G588" s="5" t="n">
        <v>386</v>
      </c>
      <c r="H588" s="5" t="n">
        <v>34173.5</v>
      </c>
      <c r="I588" s="5" t="n">
        <v>13179589</v>
      </c>
      <c r="J588" s="5" t="n">
        <v>0.2421</v>
      </c>
    </row>
    <row r="589">
      <c r="A589" s="4" t="inlineStr">
        <is>
          <t>2024-12</t>
        </is>
      </c>
      <c r="B589" s="4" t="inlineStr">
        <is>
          <t>免疫炎症領域</t>
        </is>
      </c>
      <c r="C589" s="4" t="inlineStr">
        <is>
          <t>インフリキシマブ</t>
        </is>
      </c>
      <c r="D589" s="4" t="inlineStr">
        <is>
          <t>競合B</t>
        </is>
      </c>
      <c r="E589" s="4" t="inlineStr">
        <is>
          <t>競合B社製品</t>
        </is>
      </c>
      <c r="F589" s="4" t="inlineStr">
        <is>
          <t>注射剤</t>
        </is>
      </c>
      <c r="G589" s="4" t="n">
        <v>317</v>
      </c>
      <c r="H589" s="4" t="n">
        <v>34664.8</v>
      </c>
      <c r="I589" s="4" t="n">
        <v>10975489</v>
      </c>
      <c r="J589" s="4" t="n">
        <v>0.2421</v>
      </c>
    </row>
    <row r="590">
      <c r="A590" s="5" t="inlineStr">
        <is>
          <t>2025-01</t>
        </is>
      </c>
      <c r="B590" s="5" t="inlineStr">
        <is>
          <t>免疫炎症領域</t>
        </is>
      </c>
      <c r="C590" s="5" t="inlineStr">
        <is>
          <t>インフリキシマブ</t>
        </is>
      </c>
      <c r="D590" s="5" t="inlineStr">
        <is>
          <t>オリジナル</t>
        </is>
      </c>
      <c r="E590" s="5" t="inlineStr">
        <is>
          <t>レミケード（オリジナル）</t>
        </is>
      </c>
      <c r="F590" s="5" t="inlineStr">
        <is>
          <t>注射剤</t>
        </is>
      </c>
      <c r="G590" s="5" t="n">
        <v>2693</v>
      </c>
      <c r="H590" s="5" t="n">
        <v>45927</v>
      </c>
      <c r="I590" s="5" t="n">
        <v>123663804</v>
      </c>
      <c r="J590" s="5" t="n">
        <v>0.2437</v>
      </c>
    </row>
    <row r="591">
      <c r="A591" s="4" t="inlineStr">
        <is>
          <t>2025-01</t>
        </is>
      </c>
      <c r="B591" s="4" t="inlineStr">
        <is>
          <t>免疫炎症領域</t>
        </is>
      </c>
      <c r="C591" s="4" t="inlineStr">
        <is>
          <t>インフリキシマブ</t>
        </is>
      </c>
      <c r="D591" s="4" t="inlineStr">
        <is>
          <t>自社</t>
        </is>
      </c>
      <c r="E591" s="4" t="inlineStr">
        <is>
          <t>インフリキシマブBS点滴静注用「サンド」（自社合計）</t>
        </is>
      </c>
      <c r="F591" s="4" t="inlineStr">
        <is>
          <t>注射剤</t>
        </is>
      </c>
      <c r="G591" s="4" t="n">
        <v>168</v>
      </c>
      <c r="H591" s="4" t="n">
        <v>34020</v>
      </c>
      <c r="I591" s="4" t="n">
        <v>5700243</v>
      </c>
      <c r="J591" s="4" t="n">
        <v>0.2437</v>
      </c>
    </row>
    <row r="592">
      <c r="A592" s="5" t="inlineStr">
        <is>
          <t>2025-01</t>
        </is>
      </c>
      <c r="B592" s="5" t="inlineStr">
        <is>
          <t>免疫炎症領域</t>
        </is>
      </c>
      <c r="C592" s="5" t="inlineStr">
        <is>
          <t>インフリキシマブ</t>
        </is>
      </c>
      <c r="D592" s="5" t="inlineStr">
        <is>
          <t>競合A</t>
        </is>
      </c>
      <c r="E592" s="5" t="inlineStr">
        <is>
          <t>競合A社製品</t>
        </is>
      </c>
      <c r="F592" s="5" t="inlineStr">
        <is>
          <t>注射剤</t>
        </is>
      </c>
      <c r="G592" s="5" t="n">
        <v>391</v>
      </c>
      <c r="H592" s="5" t="n">
        <v>34867.1</v>
      </c>
      <c r="I592" s="5" t="n">
        <v>13641369</v>
      </c>
      <c r="J592" s="5" t="n">
        <v>0.2437</v>
      </c>
    </row>
    <row r="593">
      <c r="A593" s="4" t="inlineStr">
        <is>
          <t>2025-01</t>
        </is>
      </c>
      <c r="B593" s="4" t="inlineStr">
        <is>
          <t>免疫炎症領域</t>
        </is>
      </c>
      <c r="C593" s="4" t="inlineStr">
        <is>
          <t>インフリキシマブ</t>
        </is>
      </c>
      <c r="D593" s="4" t="inlineStr">
        <is>
          <t>競合B</t>
        </is>
      </c>
      <c r="E593" s="4" t="inlineStr">
        <is>
          <t>競合B社製品</t>
        </is>
      </c>
      <c r="F593" s="4" t="inlineStr">
        <is>
          <t>注射剤</t>
        </is>
      </c>
      <c r="G593" s="4" t="n">
        <v>309</v>
      </c>
      <c r="H593" s="4" t="n">
        <v>33726.5</v>
      </c>
      <c r="I593" s="4" t="n">
        <v>10423812</v>
      </c>
      <c r="J593" s="4" t="n">
        <v>0.2437</v>
      </c>
    </row>
    <row r="594">
      <c r="A594" s="5" t="inlineStr">
        <is>
          <t>2025-02</t>
        </is>
      </c>
      <c r="B594" s="5" t="inlineStr">
        <is>
          <t>免疫炎症領域</t>
        </is>
      </c>
      <c r="C594" s="5" t="inlineStr">
        <is>
          <t>インフリキシマブ</t>
        </is>
      </c>
      <c r="D594" s="5" t="inlineStr">
        <is>
          <t>オリジナル</t>
        </is>
      </c>
      <c r="E594" s="5" t="inlineStr">
        <is>
          <t>レミケード（オリジナル）</t>
        </is>
      </c>
      <c r="F594" s="5" t="inlineStr">
        <is>
          <t>注射剤</t>
        </is>
      </c>
      <c r="G594" s="5" t="n">
        <v>2601</v>
      </c>
      <c r="H594" s="5" t="n">
        <v>45927</v>
      </c>
      <c r="I594" s="5" t="n">
        <v>119461881</v>
      </c>
      <c r="J594" s="5" t="n">
        <v>0.2493</v>
      </c>
    </row>
    <row r="595">
      <c r="A595" s="4" t="inlineStr">
        <is>
          <t>2025-02</t>
        </is>
      </c>
      <c r="B595" s="4" t="inlineStr">
        <is>
          <t>免疫炎症領域</t>
        </is>
      </c>
      <c r="C595" s="4" t="inlineStr">
        <is>
          <t>インフリキシマブ</t>
        </is>
      </c>
      <c r="D595" s="4" t="inlineStr">
        <is>
          <t>自社</t>
        </is>
      </c>
      <c r="E595" s="4" t="inlineStr">
        <is>
          <t>インフリキシマブBS点滴静注用「サンド」（自社合計）</t>
        </is>
      </c>
      <c r="F595" s="4" t="inlineStr">
        <is>
          <t>注射剤</t>
        </is>
      </c>
      <c r="G595" s="4" t="n">
        <v>170</v>
      </c>
      <c r="H595" s="4" t="n">
        <v>34020</v>
      </c>
      <c r="I595" s="4" t="n">
        <v>5779388</v>
      </c>
      <c r="J595" s="4" t="n">
        <v>0.2493</v>
      </c>
    </row>
    <row r="596">
      <c r="A596" s="5" t="inlineStr">
        <is>
          <t>2025-02</t>
        </is>
      </c>
      <c r="B596" s="5" t="inlineStr">
        <is>
          <t>免疫炎症領域</t>
        </is>
      </c>
      <c r="C596" s="5" t="inlineStr">
        <is>
          <t>インフリキシマブ</t>
        </is>
      </c>
      <c r="D596" s="5" t="inlineStr">
        <is>
          <t>競合A</t>
        </is>
      </c>
      <c r="E596" s="5" t="inlineStr">
        <is>
          <t>競合A社製品</t>
        </is>
      </c>
      <c r="F596" s="5" t="inlineStr">
        <is>
          <t>注射剤</t>
        </is>
      </c>
      <c r="G596" s="5" t="n">
        <v>370</v>
      </c>
      <c r="H596" s="5" t="n">
        <v>33742.1</v>
      </c>
      <c r="I596" s="5" t="n">
        <v>12485978</v>
      </c>
      <c r="J596" s="5" t="n">
        <v>0.2493</v>
      </c>
    </row>
    <row r="597">
      <c r="A597" s="4" t="inlineStr">
        <is>
          <t>2025-02</t>
        </is>
      </c>
      <c r="B597" s="4" t="inlineStr">
        <is>
          <t>免疫炎症領域</t>
        </is>
      </c>
      <c r="C597" s="4" t="inlineStr">
        <is>
          <t>インフリキシマブ</t>
        </is>
      </c>
      <c r="D597" s="4" t="inlineStr">
        <is>
          <t>競合B</t>
        </is>
      </c>
      <c r="E597" s="4" t="inlineStr">
        <is>
          <t>競合B社製品</t>
        </is>
      </c>
      <c r="F597" s="4" t="inlineStr">
        <is>
          <t>注射剤</t>
        </is>
      </c>
      <c r="G597" s="4" t="n">
        <v>324</v>
      </c>
      <c r="H597" s="4" t="n">
        <v>34046.3</v>
      </c>
      <c r="I597" s="4" t="n">
        <v>11026588</v>
      </c>
      <c r="J597" s="4" t="n">
        <v>0.2493</v>
      </c>
    </row>
    <row r="598">
      <c r="A598" s="5" t="inlineStr">
        <is>
          <t>2025-03</t>
        </is>
      </c>
      <c r="B598" s="5" t="inlineStr">
        <is>
          <t>免疫炎症領域</t>
        </is>
      </c>
      <c r="C598" s="5" t="inlineStr">
        <is>
          <t>インフリキシマブ</t>
        </is>
      </c>
      <c r="D598" s="5" t="inlineStr">
        <is>
          <t>オリジナル</t>
        </is>
      </c>
      <c r="E598" s="5" t="inlineStr">
        <is>
          <t>レミケード（オリジナル）</t>
        </is>
      </c>
      <c r="F598" s="5" t="inlineStr">
        <is>
          <t>注射剤</t>
        </is>
      </c>
      <c r="G598" s="5" t="n">
        <v>2794</v>
      </c>
      <c r="H598" s="5" t="n">
        <v>45927</v>
      </c>
      <c r="I598" s="5" t="n">
        <v>128331608</v>
      </c>
      <c r="J598" s="5" t="n">
        <v>0.2874</v>
      </c>
    </row>
    <row r="599">
      <c r="A599" s="4" t="inlineStr">
        <is>
          <t>2025-03</t>
        </is>
      </c>
      <c r="B599" s="4" t="inlineStr">
        <is>
          <t>免疫炎症領域</t>
        </is>
      </c>
      <c r="C599" s="4" t="inlineStr">
        <is>
          <t>インフリキシマブ</t>
        </is>
      </c>
      <c r="D599" s="4" t="inlineStr">
        <is>
          <t>自社</t>
        </is>
      </c>
      <c r="E599" s="4" t="inlineStr">
        <is>
          <t>インフリキシマブBS点滴静注用「サンド」（自社合計）</t>
        </is>
      </c>
      <c r="F599" s="4" t="inlineStr">
        <is>
          <t>注射剤</t>
        </is>
      </c>
      <c r="G599" s="4" t="n">
        <v>225</v>
      </c>
      <c r="H599" s="4" t="n">
        <v>34020</v>
      </c>
      <c r="I599" s="4" t="n">
        <v>7638013</v>
      </c>
      <c r="J599" s="4" t="n">
        <v>0.2874</v>
      </c>
    </row>
    <row r="600">
      <c r="A600" s="5" t="inlineStr">
        <is>
          <t>2025-03</t>
        </is>
      </c>
      <c r="B600" s="5" t="inlineStr">
        <is>
          <t>免疫炎症領域</t>
        </is>
      </c>
      <c r="C600" s="5" t="inlineStr">
        <is>
          <t>インフリキシマブ</t>
        </is>
      </c>
      <c r="D600" s="5" t="inlineStr">
        <is>
          <t>競合A</t>
        </is>
      </c>
      <c r="E600" s="5" t="inlineStr">
        <is>
          <t>競合A社製品</t>
        </is>
      </c>
      <c r="F600" s="5" t="inlineStr">
        <is>
          <t>注射剤</t>
        </is>
      </c>
      <c r="G600" s="5" t="n">
        <v>473</v>
      </c>
      <c r="H600" s="5" t="n">
        <v>34345.8</v>
      </c>
      <c r="I600" s="5" t="n">
        <v>16243731</v>
      </c>
      <c r="J600" s="5" t="n">
        <v>0.2874</v>
      </c>
    </row>
    <row r="601">
      <c r="A601" s="4" t="inlineStr">
        <is>
          <t>2025-03</t>
        </is>
      </c>
      <c r="B601" s="4" t="inlineStr">
        <is>
          <t>免疫炎症領域</t>
        </is>
      </c>
      <c r="C601" s="4" t="inlineStr">
        <is>
          <t>インフリキシマブ</t>
        </is>
      </c>
      <c r="D601" s="4" t="inlineStr">
        <is>
          <t>競合B</t>
        </is>
      </c>
      <c r="E601" s="4" t="inlineStr">
        <is>
          <t>競合B社製品</t>
        </is>
      </c>
      <c r="F601" s="4" t="inlineStr">
        <is>
          <t>注射剤</t>
        </is>
      </c>
      <c r="G601" s="4" t="n">
        <v>429</v>
      </c>
      <c r="H601" s="4" t="n">
        <v>32975.1</v>
      </c>
      <c r="I601" s="4" t="n">
        <v>14159473</v>
      </c>
      <c r="J601" s="4" t="n">
        <v>0.2874</v>
      </c>
    </row>
    <row r="602">
      <c r="A602" s="5" t="inlineStr">
        <is>
          <t>2025-04</t>
        </is>
      </c>
      <c r="B602" s="5" t="inlineStr">
        <is>
          <t>免疫炎症領域</t>
        </is>
      </c>
      <c r="C602" s="5" t="inlineStr">
        <is>
          <t>インフリキシマブ</t>
        </is>
      </c>
      <c r="D602" s="5" t="inlineStr">
        <is>
          <t>オリジナル</t>
        </is>
      </c>
      <c r="E602" s="5" t="inlineStr">
        <is>
          <t>レミケード（オリジナル）</t>
        </is>
      </c>
      <c r="F602" s="5" t="inlineStr">
        <is>
          <t>注射剤</t>
        </is>
      </c>
      <c r="G602" s="5" t="n">
        <v>2494</v>
      </c>
      <c r="H602" s="5" t="n">
        <v>44549.2</v>
      </c>
      <c r="I602" s="5" t="n">
        <v>111114289</v>
      </c>
      <c r="J602" s="5" t="n">
        <v>0.2881</v>
      </c>
    </row>
    <row r="603">
      <c r="A603" s="4" t="inlineStr">
        <is>
          <t>2025-04</t>
        </is>
      </c>
      <c r="B603" s="4" t="inlineStr">
        <is>
          <t>免疫炎症領域</t>
        </is>
      </c>
      <c r="C603" s="4" t="inlineStr">
        <is>
          <t>インフリキシマブ</t>
        </is>
      </c>
      <c r="D603" s="4" t="inlineStr">
        <is>
          <t>自社</t>
        </is>
      </c>
      <c r="E603" s="4" t="inlineStr">
        <is>
          <t>インフリキシマブBS点滴静注用「サンド」（自社合計）</t>
        </is>
      </c>
      <c r="F603" s="4" t="inlineStr">
        <is>
          <t>注射剤</t>
        </is>
      </c>
      <c r="G603" s="4" t="n">
        <v>207</v>
      </c>
      <c r="H603" s="4" t="n">
        <v>32999.4</v>
      </c>
      <c r="I603" s="4" t="n">
        <v>6845976</v>
      </c>
      <c r="J603" s="4" t="n">
        <v>0.2881</v>
      </c>
    </row>
    <row r="604">
      <c r="A604" s="5" t="inlineStr">
        <is>
          <t>2025-04</t>
        </is>
      </c>
      <c r="B604" s="5" t="inlineStr">
        <is>
          <t>免疫炎症領域</t>
        </is>
      </c>
      <c r="C604" s="5" t="inlineStr">
        <is>
          <t>インフリキシマブ</t>
        </is>
      </c>
      <c r="D604" s="5" t="inlineStr">
        <is>
          <t>競合A</t>
        </is>
      </c>
      <c r="E604" s="5" t="inlineStr">
        <is>
          <t>競合A社製品</t>
        </is>
      </c>
      <c r="F604" s="5" t="inlineStr">
        <is>
          <t>注射剤</t>
        </is>
      </c>
      <c r="G604" s="5" t="n">
        <v>479</v>
      </c>
      <c r="H604" s="5" t="n">
        <v>32588.8</v>
      </c>
      <c r="I604" s="5" t="n">
        <v>15619128</v>
      </c>
      <c r="J604" s="5" t="n">
        <v>0.2881</v>
      </c>
    </row>
    <row r="605">
      <c r="A605" s="4" t="inlineStr">
        <is>
          <t>2025-04</t>
        </is>
      </c>
      <c r="B605" s="4" t="inlineStr">
        <is>
          <t>免疫炎症領域</t>
        </is>
      </c>
      <c r="C605" s="4" t="inlineStr">
        <is>
          <t>インフリキシマブ</t>
        </is>
      </c>
      <c r="D605" s="4" t="inlineStr">
        <is>
          <t>競合B</t>
        </is>
      </c>
      <c r="E605" s="4" t="inlineStr">
        <is>
          <t>競合B社製品</t>
        </is>
      </c>
      <c r="F605" s="4" t="inlineStr">
        <is>
          <t>注射剤</t>
        </is>
      </c>
      <c r="G605" s="4" t="n">
        <v>323</v>
      </c>
      <c r="H605" s="4" t="n">
        <v>34359.2</v>
      </c>
      <c r="I605" s="4" t="n">
        <v>11086436</v>
      </c>
      <c r="J605" s="4" t="n">
        <v>0.2881</v>
      </c>
    </row>
    <row r="606">
      <c r="A606" s="5" t="inlineStr">
        <is>
          <t>2025-05</t>
        </is>
      </c>
      <c r="B606" s="5" t="inlineStr">
        <is>
          <t>免疫炎症領域</t>
        </is>
      </c>
      <c r="C606" s="5" t="inlineStr">
        <is>
          <t>インフリキシマブ</t>
        </is>
      </c>
      <c r="D606" s="5" t="inlineStr">
        <is>
          <t>オリジナル</t>
        </is>
      </c>
      <c r="E606" s="5" t="inlineStr">
        <is>
          <t>レミケード（オリジナル）</t>
        </is>
      </c>
      <c r="F606" s="5" t="inlineStr">
        <is>
          <t>注射剤</t>
        </is>
      </c>
      <c r="G606" s="5" t="n">
        <v>2612</v>
      </c>
      <c r="H606" s="5" t="n">
        <v>44549.2</v>
      </c>
      <c r="I606" s="5" t="n">
        <v>116377150</v>
      </c>
      <c r="J606" s="5" t="n">
        <v>0.2841</v>
      </c>
    </row>
    <row r="607">
      <c r="A607" s="4" t="inlineStr">
        <is>
          <t>2025-05</t>
        </is>
      </c>
      <c r="B607" s="4" t="inlineStr">
        <is>
          <t>免疫炎症領域</t>
        </is>
      </c>
      <c r="C607" s="4" t="inlineStr">
        <is>
          <t>インフリキシマブ</t>
        </is>
      </c>
      <c r="D607" s="4" t="inlineStr">
        <is>
          <t>自社</t>
        </is>
      </c>
      <c r="E607" s="4" t="inlineStr">
        <is>
          <t>インフリキシマブBS点滴静注用「サンド」（自社合計）</t>
        </is>
      </c>
      <c r="F607" s="4" t="inlineStr">
        <is>
          <t>注射剤</t>
        </is>
      </c>
      <c r="G607" s="4" t="n">
        <v>216</v>
      </c>
      <c r="H607" s="4" t="n">
        <v>32999.4</v>
      </c>
      <c r="I607" s="4" t="n">
        <v>7139426</v>
      </c>
      <c r="J607" s="4" t="n">
        <v>0.2841</v>
      </c>
    </row>
    <row r="608">
      <c r="A608" s="5" t="inlineStr">
        <is>
          <t>2025-05</t>
        </is>
      </c>
      <c r="B608" s="5" t="inlineStr">
        <is>
          <t>免疫炎症領域</t>
        </is>
      </c>
      <c r="C608" s="5" t="inlineStr">
        <is>
          <t>インフリキシマブ</t>
        </is>
      </c>
      <c r="D608" s="5" t="inlineStr">
        <is>
          <t>競合A</t>
        </is>
      </c>
      <c r="E608" s="5" t="inlineStr">
        <is>
          <t>競合A社製品</t>
        </is>
      </c>
      <c r="F608" s="5" t="inlineStr">
        <is>
          <t>注射剤</t>
        </is>
      </c>
      <c r="G608" s="5" t="n">
        <v>425</v>
      </c>
      <c r="H608" s="5" t="n">
        <v>32503.3</v>
      </c>
      <c r="I608" s="5" t="n">
        <v>13803640</v>
      </c>
      <c r="J608" s="5" t="n">
        <v>0.2841</v>
      </c>
    </row>
    <row r="609">
      <c r="A609" s="4" t="inlineStr">
        <is>
          <t>2025-05</t>
        </is>
      </c>
      <c r="B609" s="4" t="inlineStr">
        <is>
          <t>免疫炎症領域</t>
        </is>
      </c>
      <c r="C609" s="4" t="inlineStr">
        <is>
          <t>インフリキシマブ</t>
        </is>
      </c>
      <c r="D609" s="4" t="inlineStr">
        <is>
          <t>競合B</t>
        </is>
      </c>
      <c r="E609" s="4" t="inlineStr">
        <is>
          <t>競合B社製品</t>
        </is>
      </c>
      <c r="F609" s="4" t="inlineStr">
        <is>
          <t>注射剤</t>
        </is>
      </c>
      <c r="G609" s="4" t="n">
        <v>396</v>
      </c>
      <c r="H609" s="4" t="n">
        <v>33261.4</v>
      </c>
      <c r="I609" s="4" t="n">
        <v>13159063</v>
      </c>
      <c r="J609" s="4" t="n">
        <v>0.2841</v>
      </c>
    </row>
    <row r="610">
      <c r="A610" s="5" t="inlineStr">
        <is>
          <t>2025-06</t>
        </is>
      </c>
      <c r="B610" s="5" t="inlineStr">
        <is>
          <t>免疫炎症領域</t>
        </is>
      </c>
      <c r="C610" s="5" t="inlineStr">
        <is>
          <t>インフリキシマブ</t>
        </is>
      </c>
      <c r="D610" s="5" t="inlineStr">
        <is>
          <t>オリジナル</t>
        </is>
      </c>
      <c r="E610" s="5" t="inlineStr">
        <is>
          <t>レミケード（オリジナル）</t>
        </is>
      </c>
      <c r="F610" s="5" t="inlineStr">
        <is>
          <t>注射剤</t>
        </is>
      </c>
      <c r="G610" s="5" t="n">
        <v>2599</v>
      </c>
      <c r="H610" s="5" t="n">
        <v>44549.2</v>
      </c>
      <c r="I610" s="5" t="n">
        <v>115768846</v>
      </c>
      <c r="J610" s="5" t="n">
        <v>0.3</v>
      </c>
    </row>
    <row r="611">
      <c r="A611" s="4" t="inlineStr">
        <is>
          <t>2025-06</t>
        </is>
      </c>
      <c r="B611" s="4" t="inlineStr">
        <is>
          <t>免疫炎症領域</t>
        </is>
      </c>
      <c r="C611" s="4" t="inlineStr">
        <is>
          <t>インフリキシマブ</t>
        </is>
      </c>
      <c r="D611" s="4" t="inlineStr">
        <is>
          <t>自社</t>
        </is>
      </c>
      <c r="E611" s="4" t="inlineStr">
        <is>
          <t>インフリキシマブBS点滴静注用「サンド」（自社合計）</t>
        </is>
      </c>
      <c r="F611" s="4" t="inlineStr">
        <is>
          <t>注射剤</t>
        </is>
      </c>
      <c r="G611" s="4" t="n">
        <v>244</v>
      </c>
      <c r="H611" s="4" t="n">
        <v>32999.4</v>
      </c>
      <c r="I611" s="4" t="n">
        <v>8043880</v>
      </c>
      <c r="J611" s="4" t="n">
        <v>0.3</v>
      </c>
    </row>
    <row r="612">
      <c r="A612" s="5" t="inlineStr">
        <is>
          <t>2025-06</t>
        </is>
      </c>
      <c r="B612" s="5" t="inlineStr">
        <is>
          <t>免疫炎症領域</t>
        </is>
      </c>
      <c r="C612" s="5" t="inlineStr">
        <is>
          <t>インフリキシマブ</t>
        </is>
      </c>
      <c r="D612" s="5" t="inlineStr">
        <is>
          <t>競合A</t>
        </is>
      </c>
      <c r="E612" s="5" t="inlineStr">
        <is>
          <t>競合A社製品</t>
        </is>
      </c>
      <c r="F612" s="5" t="inlineStr">
        <is>
          <t>注射剤</t>
        </is>
      </c>
      <c r="G612" s="5" t="n">
        <v>509</v>
      </c>
      <c r="H612" s="5" t="n">
        <v>33947.3</v>
      </c>
      <c r="I612" s="5" t="n">
        <v>17268076</v>
      </c>
      <c r="J612" s="5" t="n">
        <v>0.3</v>
      </c>
    </row>
    <row r="613">
      <c r="A613" s="4" t="inlineStr">
        <is>
          <t>2025-06</t>
        </is>
      </c>
      <c r="B613" s="4" t="inlineStr">
        <is>
          <t>免疫炎症領域</t>
        </is>
      </c>
      <c r="C613" s="4" t="inlineStr">
        <is>
          <t>インフリキシマブ</t>
        </is>
      </c>
      <c r="D613" s="4" t="inlineStr">
        <is>
          <t>競合B</t>
        </is>
      </c>
      <c r="E613" s="4" t="inlineStr">
        <is>
          <t>競合B社製品</t>
        </is>
      </c>
      <c r="F613" s="4" t="inlineStr">
        <is>
          <t>注射剤</t>
        </is>
      </c>
      <c r="G613" s="4" t="n">
        <v>361</v>
      </c>
      <c r="H613" s="4" t="n">
        <v>33348.8</v>
      </c>
      <c r="I613" s="4" t="n">
        <v>12047646</v>
      </c>
      <c r="J613" s="4" t="n">
        <v>0.3</v>
      </c>
    </row>
    <row r="614">
      <c r="A614" s="5" t="inlineStr">
        <is>
          <t>2025-07</t>
        </is>
      </c>
      <c r="B614" s="5" t="inlineStr">
        <is>
          <t>免疫炎症領域</t>
        </is>
      </c>
      <c r="C614" s="5" t="inlineStr">
        <is>
          <t>インフリキシマブ</t>
        </is>
      </c>
      <c r="D614" s="5" t="inlineStr">
        <is>
          <t>オリジナル</t>
        </is>
      </c>
      <c r="E614" s="5" t="inlineStr">
        <is>
          <t>レミケード（オリジナル）</t>
        </is>
      </c>
      <c r="F614" s="5" t="inlineStr">
        <is>
          <t>注射剤</t>
        </is>
      </c>
      <c r="G614" s="5" t="n">
        <v>2659</v>
      </c>
      <c r="H614" s="5" t="n">
        <v>44549.2</v>
      </c>
      <c r="I614" s="5" t="n">
        <v>118434727</v>
      </c>
      <c r="J614" s="5" t="n">
        <v>0.2963</v>
      </c>
    </row>
    <row r="615">
      <c r="A615" s="4" t="inlineStr">
        <is>
          <t>2025-07</t>
        </is>
      </c>
      <c r="B615" s="4" t="inlineStr">
        <is>
          <t>免疫炎症領域</t>
        </is>
      </c>
      <c r="C615" s="4" t="inlineStr">
        <is>
          <t>インフリキシマブ</t>
        </is>
      </c>
      <c r="D615" s="4" t="inlineStr">
        <is>
          <t>自社</t>
        </is>
      </c>
      <c r="E615" s="4" t="inlineStr">
        <is>
          <t>インフリキシマブBS点滴静注用「サンド」（自社合計）</t>
        </is>
      </c>
      <c r="F615" s="4" t="inlineStr">
        <is>
          <t>注射剤</t>
        </is>
      </c>
      <c r="G615" s="4" t="n">
        <v>232</v>
      </c>
      <c r="H615" s="4" t="n">
        <v>32999.4</v>
      </c>
      <c r="I615" s="4" t="n">
        <v>7639880</v>
      </c>
      <c r="J615" s="4" t="n">
        <v>0.2963</v>
      </c>
    </row>
    <row r="616">
      <c r="A616" s="5" t="inlineStr">
        <is>
          <t>2025-07</t>
        </is>
      </c>
      <c r="B616" s="5" t="inlineStr">
        <is>
          <t>免疫炎症領域</t>
        </is>
      </c>
      <c r="C616" s="5" t="inlineStr">
        <is>
          <t>インフリキシマブ</t>
        </is>
      </c>
      <c r="D616" s="5" t="inlineStr">
        <is>
          <t>競合A</t>
        </is>
      </c>
      <c r="E616" s="5" t="inlineStr">
        <is>
          <t>競合A社製品</t>
        </is>
      </c>
      <c r="F616" s="5" t="inlineStr">
        <is>
          <t>注射剤</t>
        </is>
      </c>
      <c r="G616" s="5" t="n">
        <v>465</v>
      </c>
      <c r="H616" s="5" t="n">
        <v>33078.1</v>
      </c>
      <c r="I616" s="5" t="n">
        <v>15389357</v>
      </c>
      <c r="J616" s="5" t="n">
        <v>0.2963</v>
      </c>
    </row>
    <row r="617">
      <c r="A617" s="4" t="inlineStr">
        <is>
          <t>2025-07</t>
        </is>
      </c>
      <c r="B617" s="4" t="inlineStr">
        <is>
          <t>免疫炎症領域</t>
        </is>
      </c>
      <c r="C617" s="4" t="inlineStr">
        <is>
          <t>インフリキシマブ</t>
        </is>
      </c>
      <c r="D617" s="4" t="inlineStr">
        <is>
          <t>競合B</t>
        </is>
      </c>
      <c r="E617" s="4" t="inlineStr">
        <is>
          <t>競合B社製品</t>
        </is>
      </c>
      <c r="F617" s="4" t="inlineStr">
        <is>
          <t>注射剤</t>
        </is>
      </c>
      <c r="G617" s="4" t="n">
        <v>423</v>
      </c>
      <c r="H617" s="4" t="n">
        <v>32622.3</v>
      </c>
      <c r="I617" s="4" t="n">
        <v>13787558</v>
      </c>
      <c r="J617" s="4" t="n">
        <v>0.2963</v>
      </c>
    </row>
    <row r="618">
      <c r="A618" s="5" t="inlineStr">
        <is>
          <t>2025-08</t>
        </is>
      </c>
      <c r="B618" s="5" t="inlineStr">
        <is>
          <t>免疫炎症領域</t>
        </is>
      </c>
      <c r="C618" s="5" t="inlineStr">
        <is>
          <t>インフリキシマブ</t>
        </is>
      </c>
      <c r="D618" s="5" t="inlineStr">
        <is>
          <t>オリジナル</t>
        </is>
      </c>
      <c r="E618" s="5" t="inlineStr">
        <is>
          <t>レミケード（オリジナル）</t>
        </is>
      </c>
      <c r="F618" s="5" t="inlineStr">
        <is>
          <t>注射剤</t>
        </is>
      </c>
      <c r="G618" s="5" t="n">
        <v>2415</v>
      </c>
      <c r="H618" s="5" t="n">
        <v>44549.2</v>
      </c>
      <c r="I618" s="5" t="n">
        <v>107566227</v>
      </c>
      <c r="J618" s="5" t="n">
        <v>0.3423</v>
      </c>
    </row>
    <row r="619">
      <c r="A619" s="4" t="inlineStr">
        <is>
          <t>2025-08</t>
        </is>
      </c>
      <c r="B619" s="4" t="inlineStr">
        <is>
          <t>免疫炎症領域</t>
        </is>
      </c>
      <c r="C619" s="4" t="inlineStr">
        <is>
          <t>インフリキシマブ</t>
        </is>
      </c>
      <c r="D619" s="4" t="inlineStr">
        <is>
          <t>自社</t>
        </is>
      </c>
      <c r="E619" s="4" t="inlineStr">
        <is>
          <t>インフリキシマブBS点滴静注用「サンド」（自社合計）</t>
        </is>
      </c>
      <c r="F619" s="4" t="inlineStr">
        <is>
          <t>注射剤</t>
        </is>
      </c>
      <c r="G619" s="4" t="n">
        <v>263</v>
      </c>
      <c r="H619" s="4" t="n">
        <v>32999.4</v>
      </c>
      <c r="I619" s="4" t="n">
        <v>8681355</v>
      </c>
      <c r="J619" s="4" t="n">
        <v>0.3423</v>
      </c>
    </row>
    <row r="620">
      <c r="A620" s="5" t="inlineStr">
        <is>
          <t>2025-08</t>
        </is>
      </c>
      <c r="B620" s="5" t="inlineStr">
        <is>
          <t>免疫炎症領域</t>
        </is>
      </c>
      <c r="C620" s="5" t="inlineStr">
        <is>
          <t>インフリキシマブ</t>
        </is>
      </c>
      <c r="D620" s="5" t="inlineStr">
        <is>
          <t>競合A</t>
        </is>
      </c>
      <c r="E620" s="5" t="inlineStr">
        <is>
          <t>競合A社製品</t>
        </is>
      </c>
      <c r="F620" s="5" t="inlineStr">
        <is>
          <t>注射剤</t>
        </is>
      </c>
      <c r="G620" s="5" t="n">
        <v>559</v>
      </c>
      <c r="H620" s="5" t="n">
        <v>32846.1</v>
      </c>
      <c r="I620" s="5" t="n">
        <v>18359314</v>
      </c>
      <c r="J620" s="5" t="n">
        <v>0.3423</v>
      </c>
    </row>
    <row r="621">
      <c r="A621" s="4" t="inlineStr">
        <is>
          <t>2025-08</t>
        </is>
      </c>
      <c r="B621" s="4" t="inlineStr">
        <is>
          <t>免疫炎症領域</t>
        </is>
      </c>
      <c r="C621" s="4" t="inlineStr">
        <is>
          <t>インフリキシマブ</t>
        </is>
      </c>
      <c r="D621" s="4" t="inlineStr">
        <is>
          <t>競合B</t>
        </is>
      </c>
      <c r="E621" s="4" t="inlineStr">
        <is>
          <t>競合B社製品</t>
        </is>
      </c>
      <c r="F621" s="4" t="inlineStr">
        <is>
          <t>注射剤</t>
        </is>
      </c>
      <c r="G621" s="4" t="n">
        <v>435</v>
      </c>
      <c r="H621" s="4" t="n">
        <v>33049.4</v>
      </c>
      <c r="I621" s="4" t="n">
        <v>14372869</v>
      </c>
      <c r="J621" s="4" t="n">
        <v>0.3423</v>
      </c>
    </row>
    <row r="622">
      <c r="A622" s="5" t="inlineStr">
        <is>
          <t>2025-09</t>
        </is>
      </c>
      <c r="B622" s="5" t="inlineStr">
        <is>
          <t>免疫炎症領域</t>
        </is>
      </c>
      <c r="C622" s="5" t="inlineStr">
        <is>
          <t>インフリキシマブ</t>
        </is>
      </c>
      <c r="D622" s="5" t="inlineStr">
        <is>
          <t>オリジナル</t>
        </is>
      </c>
      <c r="E622" s="5" t="inlineStr">
        <is>
          <t>レミケード（オリジナル）</t>
        </is>
      </c>
      <c r="F622" s="5" t="inlineStr">
        <is>
          <t>注射剤</t>
        </is>
      </c>
      <c r="G622" s="5" t="n">
        <v>2451</v>
      </c>
      <c r="H622" s="5" t="n">
        <v>44549.2</v>
      </c>
      <c r="I622" s="5" t="n">
        <v>109169549</v>
      </c>
      <c r="J622" s="5" t="n">
        <v>0.3359</v>
      </c>
    </row>
    <row r="623">
      <c r="A623" s="4" t="inlineStr">
        <is>
          <t>2025-09</t>
        </is>
      </c>
      <c r="B623" s="4" t="inlineStr">
        <is>
          <t>免疫炎症領域</t>
        </is>
      </c>
      <c r="C623" s="4" t="inlineStr">
        <is>
          <t>インフリキシマブ</t>
        </is>
      </c>
      <c r="D623" s="4" t="inlineStr">
        <is>
          <t>自社</t>
        </is>
      </c>
      <c r="E623" s="4" t="inlineStr">
        <is>
          <t>インフリキシマブBS点滴静注用「サンド」（自社合計）</t>
        </is>
      </c>
      <c r="F623" s="4" t="inlineStr">
        <is>
          <t>注射剤</t>
        </is>
      </c>
      <c r="G623" s="4" t="n">
        <v>277</v>
      </c>
      <c r="H623" s="4" t="n">
        <v>32999.4</v>
      </c>
      <c r="I623" s="4" t="n">
        <v>9149475</v>
      </c>
      <c r="J623" s="4" t="n">
        <v>0.3359</v>
      </c>
    </row>
    <row r="624">
      <c r="A624" s="5" t="inlineStr">
        <is>
          <t>2025-09</t>
        </is>
      </c>
      <c r="B624" s="5" t="inlineStr">
        <is>
          <t>免疫炎症領域</t>
        </is>
      </c>
      <c r="C624" s="5" t="inlineStr">
        <is>
          <t>インフリキシマブ</t>
        </is>
      </c>
      <c r="D624" s="5" t="inlineStr">
        <is>
          <t>競合A</t>
        </is>
      </c>
      <c r="E624" s="5" t="inlineStr">
        <is>
          <t>競合A社製品</t>
        </is>
      </c>
      <c r="F624" s="5" t="inlineStr">
        <is>
          <t>注射剤</t>
        </is>
      </c>
      <c r="G624" s="5" t="n">
        <v>577</v>
      </c>
      <c r="H624" s="5" t="n">
        <v>33203.7</v>
      </c>
      <c r="I624" s="5" t="n">
        <v>19155377</v>
      </c>
      <c r="J624" s="5" t="n">
        <v>0.3359</v>
      </c>
    </row>
    <row r="625">
      <c r="A625" s="4" t="inlineStr">
        <is>
          <t>2025-09</t>
        </is>
      </c>
      <c r="B625" s="4" t="inlineStr">
        <is>
          <t>免疫炎症領域</t>
        </is>
      </c>
      <c r="C625" s="4" t="inlineStr">
        <is>
          <t>インフリキシマブ</t>
        </is>
      </c>
      <c r="D625" s="4" t="inlineStr">
        <is>
          <t>競合B</t>
        </is>
      </c>
      <c r="E625" s="4" t="inlineStr">
        <is>
          <t>競合B社製品</t>
        </is>
      </c>
      <c r="F625" s="4" t="inlineStr">
        <is>
          <t>注射剤</t>
        </is>
      </c>
      <c r="G625" s="4" t="n">
        <v>386</v>
      </c>
      <c r="H625" s="4" t="n">
        <v>33388.5</v>
      </c>
      <c r="I625" s="4" t="n">
        <v>12872272</v>
      </c>
      <c r="J625" s="4" t="n">
        <v>0.3359</v>
      </c>
    </row>
    <row r="626">
      <c r="A626" s="5" t="inlineStr">
        <is>
          <t>2025-10</t>
        </is>
      </c>
      <c r="B626" s="5" t="inlineStr">
        <is>
          <t>免疫炎症領域</t>
        </is>
      </c>
      <c r="C626" s="5" t="inlineStr">
        <is>
          <t>インフリキシマブ</t>
        </is>
      </c>
      <c r="D626" s="5" t="inlineStr">
        <is>
          <t>オリジナル</t>
        </is>
      </c>
      <c r="E626" s="5" t="inlineStr">
        <is>
          <t>レミケード（オリジナル）</t>
        </is>
      </c>
      <c r="F626" s="5" t="inlineStr">
        <is>
          <t>注射剤</t>
        </is>
      </c>
      <c r="G626" s="5" t="n">
        <v>2390</v>
      </c>
      <c r="H626" s="5" t="n">
        <v>44549.2</v>
      </c>
      <c r="I626" s="5" t="n">
        <v>106485437</v>
      </c>
      <c r="J626" s="5" t="n">
        <v>0.338</v>
      </c>
    </row>
    <row r="627">
      <c r="A627" s="4" t="inlineStr">
        <is>
          <t>2025-10</t>
        </is>
      </c>
      <c r="B627" s="4" t="inlineStr">
        <is>
          <t>免疫炎症領域</t>
        </is>
      </c>
      <c r="C627" s="4" t="inlineStr">
        <is>
          <t>インフリキシマブ</t>
        </is>
      </c>
      <c r="D627" s="4" t="inlineStr">
        <is>
          <t>自社</t>
        </is>
      </c>
      <c r="E627" s="4" t="inlineStr">
        <is>
          <t>インフリキシマブBS点滴静注用「サンド」（自社合計）</t>
        </is>
      </c>
      <c r="F627" s="4" t="inlineStr">
        <is>
          <t>注射剤</t>
        </is>
      </c>
      <c r="G627" s="4" t="n">
        <v>271</v>
      </c>
      <c r="H627" s="4" t="n">
        <v>32999.4</v>
      </c>
      <c r="I627" s="4" t="n">
        <v>8957648</v>
      </c>
      <c r="J627" s="4" t="n">
        <v>0.338</v>
      </c>
    </row>
    <row r="628">
      <c r="A628" s="5" t="inlineStr">
        <is>
          <t>2025-10</t>
        </is>
      </c>
      <c r="B628" s="5" t="inlineStr">
        <is>
          <t>免疫炎症領域</t>
        </is>
      </c>
      <c r="C628" s="5" t="inlineStr">
        <is>
          <t>インフリキシマブ</t>
        </is>
      </c>
      <c r="D628" s="5" t="inlineStr">
        <is>
          <t>競合A</t>
        </is>
      </c>
      <c r="E628" s="5" t="inlineStr">
        <is>
          <t>競合A社製品</t>
        </is>
      </c>
      <c r="F628" s="5" t="inlineStr">
        <is>
          <t>注射剤</t>
        </is>
      </c>
      <c r="G628" s="5" t="n">
        <v>547</v>
      </c>
      <c r="H628" s="5" t="n">
        <v>33139.1</v>
      </c>
      <c r="I628" s="5" t="n">
        <v>18115446</v>
      </c>
      <c r="J628" s="5" t="n">
        <v>0.338</v>
      </c>
    </row>
    <row r="629">
      <c r="A629" s="4" t="inlineStr">
        <is>
          <t>2025-10</t>
        </is>
      </c>
      <c r="B629" s="4" t="inlineStr">
        <is>
          <t>免疫炎症領域</t>
        </is>
      </c>
      <c r="C629" s="4" t="inlineStr">
        <is>
          <t>インフリキシマブ</t>
        </is>
      </c>
      <c r="D629" s="4" t="inlineStr">
        <is>
          <t>競合B</t>
        </is>
      </c>
      <c r="E629" s="4" t="inlineStr">
        <is>
          <t>競合B社製品</t>
        </is>
      </c>
      <c r="F629" s="4" t="inlineStr">
        <is>
          <t>注射剤</t>
        </is>
      </c>
      <c r="G629" s="4" t="n">
        <v>402</v>
      </c>
      <c r="H629" s="4" t="n">
        <v>33584.4</v>
      </c>
      <c r="I629" s="4" t="n">
        <v>13515346</v>
      </c>
      <c r="J629" s="4" t="n">
        <v>0.338</v>
      </c>
    </row>
    <row r="630">
      <c r="A630" s="5" t="inlineStr">
        <is>
          <t>2025-11</t>
        </is>
      </c>
      <c r="B630" s="5" t="inlineStr">
        <is>
          <t>免疫炎症領域</t>
        </is>
      </c>
      <c r="C630" s="5" t="inlineStr">
        <is>
          <t>インフリキシマブ</t>
        </is>
      </c>
      <c r="D630" s="5" t="inlineStr">
        <is>
          <t>オリジナル</t>
        </is>
      </c>
      <c r="E630" s="5" t="inlineStr">
        <is>
          <t>レミケード（オリジナル）</t>
        </is>
      </c>
      <c r="F630" s="5" t="inlineStr">
        <is>
          <t>注射剤</t>
        </is>
      </c>
      <c r="G630" s="5" t="n">
        <v>2401</v>
      </c>
      <c r="H630" s="5" t="n">
        <v>44549.2</v>
      </c>
      <c r="I630" s="5" t="n">
        <v>106941896</v>
      </c>
      <c r="J630" s="5" t="n">
        <v>0.3579</v>
      </c>
    </row>
    <row r="631">
      <c r="A631" s="4" t="inlineStr">
        <is>
          <t>2025-11</t>
        </is>
      </c>
      <c r="B631" s="4" t="inlineStr">
        <is>
          <t>免疫炎症領域</t>
        </is>
      </c>
      <c r="C631" s="4" t="inlineStr">
        <is>
          <t>インフリキシマブ</t>
        </is>
      </c>
      <c r="D631" s="4" t="inlineStr">
        <is>
          <t>自社</t>
        </is>
      </c>
      <c r="E631" s="4" t="inlineStr">
        <is>
          <t>インフリキシマブBS点滴静注用「サンド」（自社合計）</t>
        </is>
      </c>
      <c r="F631" s="4" t="inlineStr">
        <is>
          <t>注射剤</t>
        </is>
      </c>
      <c r="G631" s="4" t="n">
        <v>290</v>
      </c>
      <c r="H631" s="4" t="n">
        <v>32999.4</v>
      </c>
      <c r="I631" s="4" t="n">
        <v>9575048</v>
      </c>
      <c r="J631" s="4" t="n">
        <v>0.3579</v>
      </c>
    </row>
    <row r="632">
      <c r="A632" s="5" t="inlineStr">
        <is>
          <t>2025-11</t>
        </is>
      </c>
      <c r="B632" s="5" t="inlineStr">
        <is>
          <t>免疫炎症領域</t>
        </is>
      </c>
      <c r="C632" s="5" t="inlineStr">
        <is>
          <t>インフリキシマブ</t>
        </is>
      </c>
      <c r="D632" s="5" t="inlineStr">
        <is>
          <t>競合A</t>
        </is>
      </c>
      <c r="E632" s="5" t="inlineStr">
        <is>
          <t>競合A社製品</t>
        </is>
      </c>
      <c r="F632" s="5" t="inlineStr">
        <is>
          <t>注射剤</t>
        </is>
      </c>
      <c r="G632" s="5" t="n">
        <v>565</v>
      </c>
      <c r="H632" s="5" t="n">
        <v>33221.1</v>
      </c>
      <c r="I632" s="5" t="n">
        <v>18770513</v>
      </c>
      <c r="J632" s="5" t="n">
        <v>0.3579</v>
      </c>
    </row>
    <row r="633">
      <c r="A633" s="4" t="inlineStr">
        <is>
          <t>2025-11</t>
        </is>
      </c>
      <c r="B633" s="4" t="inlineStr">
        <is>
          <t>免疫炎症領域</t>
        </is>
      </c>
      <c r="C633" s="4" t="inlineStr">
        <is>
          <t>インフリキシマブ</t>
        </is>
      </c>
      <c r="D633" s="4" t="inlineStr">
        <is>
          <t>競合B</t>
        </is>
      </c>
      <c r="E633" s="4" t="inlineStr">
        <is>
          <t>競合B社製品</t>
        </is>
      </c>
      <c r="F633" s="4" t="inlineStr">
        <is>
          <t>注射剤</t>
        </is>
      </c>
      <c r="G633" s="4" t="n">
        <v>483</v>
      </c>
      <c r="H633" s="4" t="n">
        <v>31065.2</v>
      </c>
      <c r="I633" s="4" t="n">
        <v>14992517</v>
      </c>
      <c r="J633" s="4" t="n">
        <v>0.3579</v>
      </c>
    </row>
    <row r="634">
      <c r="A634" s="5" t="inlineStr">
        <is>
          <t>2025-12</t>
        </is>
      </c>
      <c r="B634" s="5" t="inlineStr">
        <is>
          <t>免疫炎症領域</t>
        </is>
      </c>
      <c r="C634" s="5" t="inlineStr">
        <is>
          <t>インフリキシマブ</t>
        </is>
      </c>
      <c r="D634" s="5" t="inlineStr">
        <is>
          <t>オリジナル</t>
        </is>
      </c>
      <c r="E634" s="5" t="inlineStr">
        <is>
          <t>レミケード（オリジナル）</t>
        </is>
      </c>
      <c r="F634" s="5" t="inlineStr">
        <is>
          <t>注射剤</t>
        </is>
      </c>
      <c r="G634" s="5" t="n">
        <v>2556</v>
      </c>
      <c r="H634" s="5" t="n">
        <v>44549.2</v>
      </c>
      <c r="I634" s="5" t="n">
        <v>113882236</v>
      </c>
      <c r="J634" s="5" t="n">
        <v>0.3159</v>
      </c>
    </row>
    <row r="635">
      <c r="A635" s="4" t="inlineStr">
        <is>
          <t>2025-12</t>
        </is>
      </c>
      <c r="B635" s="4" t="inlineStr">
        <is>
          <t>免疫炎症領域</t>
        </is>
      </c>
      <c r="C635" s="4" t="inlineStr">
        <is>
          <t>インフリキシマブ</t>
        </is>
      </c>
      <c r="D635" s="4" t="inlineStr">
        <is>
          <t>自社</t>
        </is>
      </c>
      <c r="E635" s="4" t="inlineStr">
        <is>
          <t>インフリキシマブBS点滴静注用「サンド」（自社合計）</t>
        </is>
      </c>
      <c r="F635" s="4" t="inlineStr">
        <is>
          <t>注射剤</t>
        </is>
      </c>
      <c r="G635" s="4" t="n">
        <v>233</v>
      </c>
      <c r="H635" s="4" t="n">
        <v>32999.4</v>
      </c>
      <c r="I635" s="4" t="n">
        <v>7701977</v>
      </c>
      <c r="J635" s="4" t="n">
        <v>0.3159</v>
      </c>
    </row>
    <row r="636">
      <c r="A636" s="5" t="inlineStr">
        <is>
          <t>2025-12</t>
        </is>
      </c>
      <c r="B636" s="5" t="inlineStr">
        <is>
          <t>免疫炎症領域</t>
        </is>
      </c>
      <c r="C636" s="5" t="inlineStr">
        <is>
          <t>インフリキシマブ</t>
        </is>
      </c>
      <c r="D636" s="5" t="inlineStr">
        <is>
          <t>競合A</t>
        </is>
      </c>
      <c r="E636" s="5" t="inlineStr">
        <is>
          <t>競合A社製品</t>
        </is>
      </c>
      <c r="F636" s="5" t="inlineStr">
        <is>
          <t>注射剤</t>
        </is>
      </c>
      <c r="G636" s="5" t="n">
        <v>534</v>
      </c>
      <c r="H636" s="5" t="n">
        <v>33314.6</v>
      </c>
      <c r="I636" s="5" t="n">
        <v>17775274</v>
      </c>
      <c r="J636" s="5" t="n">
        <v>0.3159</v>
      </c>
    </row>
    <row r="637">
      <c r="A637" s="4" t="inlineStr">
        <is>
          <t>2025-12</t>
        </is>
      </c>
      <c r="B637" s="4" t="inlineStr">
        <is>
          <t>免疫炎症領域</t>
        </is>
      </c>
      <c r="C637" s="4" t="inlineStr">
        <is>
          <t>インフリキシマブ</t>
        </is>
      </c>
      <c r="D637" s="4" t="inlineStr">
        <is>
          <t>競合B</t>
        </is>
      </c>
      <c r="E637" s="4" t="inlineStr">
        <is>
          <t>競合B社製品</t>
        </is>
      </c>
      <c r="F637" s="4" t="inlineStr">
        <is>
          <t>注射剤</t>
        </is>
      </c>
      <c r="G637" s="4" t="n">
        <v>413</v>
      </c>
      <c r="H637" s="4" t="n">
        <v>32232.2</v>
      </c>
      <c r="I637" s="4" t="n">
        <v>13318917</v>
      </c>
      <c r="J637" s="4" t="n">
        <v>0.3159</v>
      </c>
    </row>
    <row r="638">
      <c r="A638" s="5" t="inlineStr">
        <is>
          <t>2026-01</t>
        </is>
      </c>
      <c r="B638" s="5" t="inlineStr">
        <is>
          <t>免疫炎症領域</t>
        </is>
      </c>
      <c r="C638" s="5" t="inlineStr">
        <is>
          <t>インフリキシマブ</t>
        </is>
      </c>
      <c r="D638" s="5" t="inlineStr">
        <is>
          <t>オリジナル</t>
        </is>
      </c>
      <c r="E638" s="5" t="inlineStr">
        <is>
          <t>レミケード（オリジナル）</t>
        </is>
      </c>
      <c r="F638" s="5" t="inlineStr">
        <is>
          <t>注射剤</t>
        </is>
      </c>
      <c r="G638" s="5" t="n">
        <v>2299</v>
      </c>
      <c r="H638" s="5" t="n">
        <v>44549.2</v>
      </c>
      <c r="I638" s="5" t="n">
        <v>102423905</v>
      </c>
      <c r="J638" s="5" t="n">
        <v>0.3721</v>
      </c>
    </row>
    <row r="639">
      <c r="A639" s="4" t="inlineStr">
        <is>
          <t>2026-01</t>
        </is>
      </c>
      <c r="B639" s="4" t="inlineStr">
        <is>
          <t>免疫炎症領域</t>
        </is>
      </c>
      <c r="C639" s="4" t="inlineStr">
        <is>
          <t>インフリキシマブ</t>
        </is>
      </c>
      <c r="D639" s="4" t="inlineStr">
        <is>
          <t>自社</t>
        </is>
      </c>
      <c r="E639" s="4" t="inlineStr">
        <is>
          <t>インフリキシマブBS点滴静注用「サンド」（自社合計）</t>
        </is>
      </c>
      <c r="F639" s="4" t="inlineStr">
        <is>
          <t>注射剤</t>
        </is>
      </c>
      <c r="G639" s="4" t="n">
        <v>288</v>
      </c>
      <c r="H639" s="4" t="n">
        <v>32999.4</v>
      </c>
      <c r="I639" s="4" t="n">
        <v>9492078</v>
      </c>
      <c r="J639" s="4" t="n">
        <v>0.3721</v>
      </c>
    </row>
    <row r="640">
      <c r="A640" s="5" t="inlineStr">
        <is>
          <t>2026-01</t>
        </is>
      </c>
      <c r="B640" s="5" t="inlineStr">
        <is>
          <t>免疫炎症領域</t>
        </is>
      </c>
      <c r="C640" s="5" t="inlineStr">
        <is>
          <t>インフリキシマブ</t>
        </is>
      </c>
      <c r="D640" s="5" t="inlineStr">
        <is>
          <t>競合A</t>
        </is>
      </c>
      <c r="E640" s="5" t="inlineStr">
        <is>
          <t>競合A社製品</t>
        </is>
      </c>
      <c r="F640" s="5" t="inlineStr">
        <is>
          <t>注射剤</t>
        </is>
      </c>
      <c r="G640" s="5" t="n">
        <v>663</v>
      </c>
      <c r="H640" s="5" t="n">
        <v>32998.1</v>
      </c>
      <c r="I640" s="5" t="n">
        <v>21888209</v>
      </c>
      <c r="J640" s="5" t="n">
        <v>0.3721</v>
      </c>
    </row>
    <row r="641">
      <c r="A641" s="4" t="inlineStr">
        <is>
          <t>2026-01</t>
        </is>
      </c>
      <c r="B641" s="4" t="inlineStr">
        <is>
          <t>免疫炎症領域</t>
        </is>
      </c>
      <c r="C641" s="4" t="inlineStr">
        <is>
          <t>インフリキシマブ</t>
        </is>
      </c>
      <c r="D641" s="4" t="inlineStr">
        <is>
          <t>競合B</t>
        </is>
      </c>
      <c r="E641" s="4" t="inlineStr">
        <is>
          <t>競合B社製品</t>
        </is>
      </c>
      <c r="F641" s="4" t="inlineStr">
        <is>
          <t>注射剤</t>
        </is>
      </c>
      <c r="G641" s="4" t="n">
        <v>411</v>
      </c>
      <c r="H641" s="4" t="n">
        <v>33268.7</v>
      </c>
      <c r="I641" s="4" t="n">
        <v>13681750</v>
      </c>
      <c r="J641" s="4" t="n">
        <v>0.3721</v>
      </c>
    </row>
    <row r="642">
      <c r="A642" s="5" t="inlineStr">
        <is>
          <t>2026-02</t>
        </is>
      </c>
      <c r="B642" s="5" t="inlineStr">
        <is>
          <t>免疫炎症領域</t>
        </is>
      </c>
      <c r="C642" s="5" t="inlineStr">
        <is>
          <t>インフリキシマブ</t>
        </is>
      </c>
      <c r="D642" s="5" t="inlineStr">
        <is>
          <t>オリジナル</t>
        </is>
      </c>
      <c r="E642" s="5" t="inlineStr">
        <is>
          <t>レミケード（オリジナル）</t>
        </is>
      </c>
      <c r="F642" s="5" t="inlineStr">
        <is>
          <t>注射剤</t>
        </is>
      </c>
      <c r="G642" s="5" t="n">
        <v>2438</v>
      </c>
      <c r="H642" s="5" t="n">
        <v>44549.2</v>
      </c>
      <c r="I642" s="5" t="n">
        <v>108609573</v>
      </c>
      <c r="J642" s="5" t="n">
        <v>0.3652</v>
      </c>
    </row>
    <row r="643">
      <c r="A643" s="4" t="inlineStr">
        <is>
          <t>2026-02</t>
        </is>
      </c>
      <c r="B643" s="4" t="inlineStr">
        <is>
          <t>免疫炎症領域</t>
        </is>
      </c>
      <c r="C643" s="4" t="inlineStr">
        <is>
          <t>インフリキシマブ</t>
        </is>
      </c>
      <c r="D643" s="4" t="inlineStr">
        <is>
          <t>自社</t>
        </is>
      </c>
      <c r="E643" s="4" t="inlineStr">
        <is>
          <t>インフリキシマブBS点滴静注用「サンド」（自社合計）</t>
        </is>
      </c>
      <c r="F643" s="4" t="inlineStr">
        <is>
          <t>注射剤</t>
        </is>
      </c>
      <c r="G643" s="4" t="n">
        <v>290</v>
      </c>
      <c r="H643" s="4" t="n">
        <v>32999.4</v>
      </c>
      <c r="I643" s="4" t="n">
        <v>9580584</v>
      </c>
      <c r="J643" s="4" t="n">
        <v>0.3652</v>
      </c>
    </row>
    <row r="644">
      <c r="A644" s="5" t="inlineStr">
        <is>
          <t>2026-02</t>
        </is>
      </c>
      <c r="B644" s="5" t="inlineStr">
        <is>
          <t>免疫炎症領域</t>
        </is>
      </c>
      <c r="C644" s="5" t="inlineStr">
        <is>
          <t>インフリキシマブ</t>
        </is>
      </c>
      <c r="D644" s="5" t="inlineStr">
        <is>
          <t>競合A</t>
        </is>
      </c>
      <c r="E644" s="5" t="inlineStr">
        <is>
          <t>競合A社製品</t>
        </is>
      </c>
      <c r="F644" s="5" t="inlineStr">
        <is>
          <t>注射剤</t>
        </is>
      </c>
      <c r="G644" s="5" t="n">
        <v>608</v>
      </c>
      <c r="H644" s="5" t="n">
        <v>32975.9</v>
      </c>
      <c r="I644" s="5" t="n">
        <v>20054091</v>
      </c>
      <c r="J644" s="5" t="n">
        <v>0.3652</v>
      </c>
    </row>
    <row r="645">
      <c r="A645" s="4" t="inlineStr">
        <is>
          <t>2026-02</t>
        </is>
      </c>
      <c r="B645" s="4" t="inlineStr">
        <is>
          <t>免疫炎症領域</t>
        </is>
      </c>
      <c r="C645" s="4" t="inlineStr">
        <is>
          <t>インフリキシマブ</t>
        </is>
      </c>
      <c r="D645" s="4" t="inlineStr">
        <is>
          <t>競合B</t>
        </is>
      </c>
      <c r="E645" s="4" t="inlineStr">
        <is>
          <t>競合B社製品</t>
        </is>
      </c>
      <c r="F645" s="4" t="inlineStr">
        <is>
          <t>注射剤</t>
        </is>
      </c>
      <c r="G645" s="4" t="n">
        <v>504</v>
      </c>
      <c r="H645" s="4" t="n">
        <v>32098.7</v>
      </c>
      <c r="I645" s="4" t="n">
        <v>16185120</v>
      </c>
      <c r="J645" s="4" t="n">
        <v>0.3652</v>
      </c>
    </row>
    <row r="646">
      <c r="A646" s="5" t="inlineStr">
        <is>
          <t>2026-03</t>
        </is>
      </c>
      <c r="B646" s="5" t="inlineStr">
        <is>
          <t>免疫炎症領域</t>
        </is>
      </c>
      <c r="C646" s="5" t="inlineStr">
        <is>
          <t>インフリキシマブ</t>
        </is>
      </c>
      <c r="D646" s="5" t="inlineStr">
        <is>
          <t>オリジナル</t>
        </is>
      </c>
      <c r="E646" s="5" t="inlineStr">
        <is>
          <t>レミケード（オリジナル）</t>
        </is>
      </c>
      <c r="F646" s="5" t="inlineStr">
        <is>
          <t>注射剤</t>
        </is>
      </c>
      <c r="G646" s="5" t="n">
        <v>2556</v>
      </c>
      <c r="H646" s="5" t="n">
        <v>44549.2</v>
      </c>
      <c r="I646" s="5" t="n">
        <v>113871251</v>
      </c>
      <c r="J646" s="5" t="n">
        <v>0.3616</v>
      </c>
    </row>
    <row r="647">
      <c r="A647" s="4" t="inlineStr">
        <is>
          <t>2026-03</t>
        </is>
      </c>
      <c r="B647" s="4" t="inlineStr">
        <is>
          <t>免疫炎症領域</t>
        </is>
      </c>
      <c r="C647" s="4" t="inlineStr">
        <is>
          <t>インフリキシマブ</t>
        </is>
      </c>
      <c r="D647" s="4" t="inlineStr">
        <is>
          <t>自社</t>
        </is>
      </c>
      <c r="E647" s="4" t="inlineStr">
        <is>
          <t>インフリキシマブBS点滴静注用「サンド」（自社合計）</t>
        </is>
      </c>
      <c r="F647" s="4" t="inlineStr">
        <is>
          <t>注射剤</t>
        </is>
      </c>
      <c r="G647" s="4" t="n">
        <v>329</v>
      </c>
      <c r="H647" s="4" t="n">
        <v>32999.4</v>
      </c>
      <c r="I647" s="4" t="n">
        <v>10858078</v>
      </c>
      <c r="J647" s="4" t="n">
        <v>0.3616</v>
      </c>
    </row>
    <row r="648">
      <c r="A648" s="5" t="inlineStr">
        <is>
          <t>2026-03</t>
        </is>
      </c>
      <c r="B648" s="5" t="inlineStr">
        <is>
          <t>免疫炎症領域</t>
        </is>
      </c>
      <c r="C648" s="5" t="inlineStr">
        <is>
          <t>インフリキシマブ</t>
        </is>
      </c>
      <c r="D648" s="5" t="inlineStr">
        <is>
          <t>競合A</t>
        </is>
      </c>
      <c r="E648" s="5" t="inlineStr">
        <is>
          <t>競合A社製品</t>
        </is>
      </c>
      <c r="F648" s="5" t="inlineStr">
        <is>
          <t>注射剤</t>
        </is>
      </c>
      <c r="G648" s="5" t="n">
        <v>617</v>
      </c>
      <c r="H648" s="5" t="n">
        <v>32812.8</v>
      </c>
      <c r="I648" s="5" t="n">
        <v>20231239</v>
      </c>
      <c r="J648" s="5" t="n">
        <v>0.3616</v>
      </c>
    </row>
    <row r="649">
      <c r="A649" s="4" t="inlineStr">
        <is>
          <t>2026-03</t>
        </is>
      </c>
      <c r="B649" s="4" t="inlineStr">
        <is>
          <t>免疫炎症領域</t>
        </is>
      </c>
      <c r="C649" s="4" t="inlineStr">
        <is>
          <t>インフリキシマブ</t>
        </is>
      </c>
      <c r="D649" s="4" t="inlineStr">
        <is>
          <t>競合B</t>
        </is>
      </c>
      <c r="E649" s="4" t="inlineStr">
        <is>
          <t>競合B社製品</t>
        </is>
      </c>
      <c r="F649" s="4" t="inlineStr">
        <is>
          <t>注射剤</t>
        </is>
      </c>
      <c r="G649" s="4" t="n">
        <v>502</v>
      </c>
      <c r="H649" s="4" t="n">
        <v>32929.3</v>
      </c>
      <c r="I649" s="4" t="n">
        <v>16542073</v>
      </c>
      <c r="J649" s="4" t="n">
        <v>0.3616</v>
      </c>
    </row>
    <row r="650">
      <c r="A650" s="5" t="inlineStr">
        <is>
          <t>2026-04</t>
        </is>
      </c>
      <c r="B650" s="5" t="inlineStr">
        <is>
          <t>免疫炎症領域</t>
        </is>
      </c>
      <c r="C650" s="5" t="inlineStr">
        <is>
          <t>インフリキシマブ</t>
        </is>
      </c>
      <c r="D650" s="5" t="inlineStr">
        <is>
          <t>オリジナル</t>
        </is>
      </c>
      <c r="E650" s="5" t="inlineStr">
        <is>
          <t>レミケード（オリジナル）</t>
        </is>
      </c>
      <c r="F650" s="5" t="inlineStr">
        <is>
          <t>注射剤</t>
        </is>
      </c>
      <c r="G650" s="5" t="n">
        <v>2209</v>
      </c>
      <c r="H650" s="5" t="n">
        <v>41876.2</v>
      </c>
      <c r="I650" s="5" t="n">
        <v>92486625</v>
      </c>
      <c r="J650" s="5" t="n">
        <v>0.3799</v>
      </c>
    </row>
    <row r="651">
      <c r="A651" s="4" t="inlineStr">
        <is>
          <t>2026-04</t>
        </is>
      </c>
      <c r="B651" s="4" t="inlineStr">
        <is>
          <t>免疫炎症領域</t>
        </is>
      </c>
      <c r="C651" s="4" t="inlineStr">
        <is>
          <t>インフリキシマブ</t>
        </is>
      </c>
      <c r="D651" s="4" t="inlineStr">
        <is>
          <t>自社</t>
        </is>
      </c>
      <c r="E651" s="4" t="inlineStr">
        <is>
          <t>インフリキシマブBS点滴静注用「サンド」（自社合計）</t>
        </is>
      </c>
      <c r="F651" s="4" t="inlineStr">
        <is>
          <t>注射剤</t>
        </is>
      </c>
      <c r="G651" s="4" t="n">
        <v>283</v>
      </c>
      <c r="H651" s="4" t="n">
        <v>31019.4</v>
      </c>
      <c r="I651" s="4" t="n">
        <v>8773531</v>
      </c>
      <c r="J651" s="4" t="n">
        <v>0.3799</v>
      </c>
    </row>
    <row r="652">
      <c r="A652" s="5" t="inlineStr">
        <is>
          <t>2026-04</t>
        </is>
      </c>
      <c r="B652" s="5" t="inlineStr">
        <is>
          <t>免疫炎症領域</t>
        </is>
      </c>
      <c r="C652" s="5" t="inlineStr">
        <is>
          <t>インフリキシマブ</t>
        </is>
      </c>
      <c r="D652" s="5" t="inlineStr">
        <is>
          <t>競合A</t>
        </is>
      </c>
      <c r="E652" s="5" t="inlineStr">
        <is>
          <t>競合A社製品</t>
        </is>
      </c>
      <c r="F652" s="5" t="inlineStr">
        <is>
          <t>注射剤</t>
        </is>
      </c>
      <c r="G652" s="5" t="n">
        <v>555</v>
      </c>
      <c r="H652" s="5" t="n">
        <v>31704.8</v>
      </c>
      <c r="I652" s="5" t="n">
        <v>17605478</v>
      </c>
      <c r="J652" s="5" t="n">
        <v>0.3799</v>
      </c>
    </row>
    <row r="653">
      <c r="A653" s="4" t="inlineStr">
        <is>
          <t>2026-04</t>
        </is>
      </c>
      <c r="B653" s="4" t="inlineStr">
        <is>
          <t>免疫炎症領域</t>
        </is>
      </c>
      <c r="C653" s="4" t="inlineStr">
        <is>
          <t>インフリキシマブ</t>
        </is>
      </c>
      <c r="D653" s="4" t="inlineStr">
        <is>
          <t>競合B</t>
        </is>
      </c>
      <c r="E653" s="4" t="inlineStr">
        <is>
          <t>競合B社製品</t>
        </is>
      </c>
      <c r="F653" s="4" t="inlineStr">
        <is>
          <t>注射剤</t>
        </is>
      </c>
      <c r="G653" s="4" t="n">
        <v>515</v>
      </c>
      <c r="H653" s="4" t="n">
        <v>30763.6</v>
      </c>
      <c r="I653" s="4" t="n">
        <v>15847811</v>
      </c>
      <c r="J653" s="4" t="n">
        <v>0.3799</v>
      </c>
    </row>
    <row r="654">
      <c r="A654" s="5" t="inlineStr">
        <is>
          <t>2026-05</t>
        </is>
      </c>
      <c r="B654" s="5" t="inlineStr">
        <is>
          <t>免疫炎症領域</t>
        </is>
      </c>
      <c r="C654" s="5" t="inlineStr">
        <is>
          <t>インフリキシマブ</t>
        </is>
      </c>
      <c r="D654" s="5" t="inlineStr">
        <is>
          <t>オリジナル</t>
        </is>
      </c>
      <c r="E654" s="5" t="inlineStr">
        <is>
          <t>レミケード（オリジナル）</t>
        </is>
      </c>
      <c r="F654" s="5" t="inlineStr">
        <is>
          <t>注射剤</t>
        </is>
      </c>
      <c r="G654" s="5" t="n">
        <v>2243</v>
      </c>
      <c r="H654" s="5" t="n">
        <v>41876.2</v>
      </c>
      <c r="I654" s="5" t="n">
        <v>93934572</v>
      </c>
      <c r="J654" s="5" t="n">
        <v>0.3825</v>
      </c>
    </row>
    <row r="655">
      <c r="A655" s="4" t="inlineStr">
        <is>
          <t>2026-05</t>
        </is>
      </c>
      <c r="B655" s="4" t="inlineStr">
        <is>
          <t>免疫炎症領域</t>
        </is>
      </c>
      <c r="C655" s="4" t="inlineStr">
        <is>
          <t>インフリキシマブ</t>
        </is>
      </c>
      <c r="D655" s="4" t="inlineStr">
        <is>
          <t>自社</t>
        </is>
      </c>
      <c r="E655" s="4" t="inlineStr">
        <is>
          <t>インフリキシマブBS点滴静注用「サンド」（自社合計）</t>
        </is>
      </c>
      <c r="F655" s="4" t="inlineStr">
        <is>
          <t>注射剤</t>
        </is>
      </c>
      <c r="G655" s="4" t="n">
        <v>312</v>
      </c>
      <c r="H655" s="4" t="n">
        <v>31019.4</v>
      </c>
      <c r="I655" s="4" t="n">
        <v>9683670</v>
      </c>
      <c r="J655" s="4" t="n">
        <v>0.3825</v>
      </c>
    </row>
    <row r="656">
      <c r="A656" s="5" t="inlineStr">
        <is>
          <t>2026-05</t>
        </is>
      </c>
      <c r="B656" s="5" t="inlineStr">
        <is>
          <t>免疫炎症領域</t>
        </is>
      </c>
      <c r="C656" s="5" t="inlineStr">
        <is>
          <t>インフリキシマブ</t>
        </is>
      </c>
      <c r="D656" s="5" t="inlineStr">
        <is>
          <t>競合A</t>
        </is>
      </c>
      <c r="E656" s="5" t="inlineStr">
        <is>
          <t>競合A社製品</t>
        </is>
      </c>
      <c r="F656" s="5" t="inlineStr">
        <is>
          <t>注射剤</t>
        </is>
      </c>
      <c r="G656" s="5" t="n">
        <v>543</v>
      </c>
      <c r="H656" s="5" t="n">
        <v>31161.8</v>
      </c>
      <c r="I656" s="5" t="n">
        <v>16926178</v>
      </c>
      <c r="J656" s="5" t="n">
        <v>0.3825</v>
      </c>
    </row>
    <row r="657">
      <c r="A657" s="4" t="inlineStr">
        <is>
          <t>2026-05</t>
        </is>
      </c>
      <c r="B657" s="4" t="inlineStr">
        <is>
          <t>免疫炎症領域</t>
        </is>
      </c>
      <c r="C657" s="4" t="inlineStr">
        <is>
          <t>インフリキシマブ</t>
        </is>
      </c>
      <c r="D657" s="4" t="inlineStr">
        <is>
          <t>競合B</t>
        </is>
      </c>
      <c r="E657" s="4" t="inlineStr">
        <is>
          <t>競合B社製品</t>
        </is>
      </c>
      <c r="F657" s="4" t="inlineStr">
        <is>
          <t>注射剤</t>
        </is>
      </c>
      <c r="G657" s="4" t="n">
        <v>534</v>
      </c>
      <c r="H657" s="4" t="n">
        <v>31475.8</v>
      </c>
      <c r="I657" s="4" t="n">
        <v>16820061</v>
      </c>
      <c r="J657" s="4" t="n">
        <v>0.3825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375623"/>
    <outlinePr summaryBelow="1" summaryRight="1"/>
    <pageSetUpPr/>
  </sheetPr>
  <dimension ref="A1:F8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4" customWidth="1" min="3" max="3"/>
    <col width="15" customWidth="1" min="4" max="4"/>
    <col width="12" customWidth="1" min="5" max="5"/>
    <col width="14" customWidth="1" min="6" max="6"/>
  </cols>
  <sheetData>
    <row r="1">
      <c r="A1" s="27" t="inlineStr">
        <is>
          <t>period</t>
        </is>
      </c>
      <c r="B1" s="27" t="inlineStr">
        <is>
          <t>sku_id</t>
        </is>
      </c>
      <c r="C1" s="27" t="inlineStr">
        <is>
          <t>product_name</t>
        </is>
      </c>
      <c r="D1" s="27" t="inlineStr">
        <is>
          <t>distributor</t>
        </is>
      </c>
      <c r="E1" s="27" t="inlineStr">
        <is>
          <t>quantity</t>
        </is>
      </c>
      <c r="F1" s="27" t="inlineStr">
        <is>
          <t>amount_jpy</t>
        </is>
      </c>
    </row>
    <row r="2">
      <c r="A2" s="5" t="inlineStr">
        <is>
          <t>2023-01</t>
        </is>
      </c>
      <c r="B2" s="5" t="inlineStr">
        <is>
          <t>SKU0101</t>
        </is>
      </c>
      <c r="C2" s="5" t="inlineStr">
        <is>
          <t>メトグルコGE「サンド」</t>
        </is>
      </c>
      <c r="D2" s="5" t="inlineStr">
        <is>
          <t>卸A</t>
        </is>
      </c>
      <c r="E2" s="5" t="n">
        <v>14429</v>
      </c>
      <c r="F2" s="5" t="n">
        <v>138515</v>
      </c>
    </row>
    <row r="3">
      <c r="A3" s="4" t="inlineStr">
        <is>
          <t>2023-01</t>
        </is>
      </c>
      <c r="B3" s="4" t="inlineStr">
        <is>
          <t>SKU0101</t>
        </is>
      </c>
      <c r="C3" s="4" t="inlineStr">
        <is>
          <t>メトグルコGE「サンド」</t>
        </is>
      </c>
      <c r="D3" s="4" t="inlineStr">
        <is>
          <t>卸B</t>
        </is>
      </c>
      <c r="E3" s="4" t="n">
        <v>9914</v>
      </c>
      <c r="F3" s="4" t="n">
        <v>95170</v>
      </c>
    </row>
    <row r="4">
      <c r="A4" s="5" t="inlineStr">
        <is>
          <t>2023-01</t>
        </is>
      </c>
      <c r="B4" s="5" t="inlineStr">
        <is>
          <t>SKU0101</t>
        </is>
      </c>
      <c r="C4" s="5" t="inlineStr">
        <is>
          <t>メトグルコGE「サンド」</t>
        </is>
      </c>
      <c r="D4" s="5" t="inlineStr">
        <is>
          <t>卸C</t>
        </is>
      </c>
      <c r="E4" s="5" t="n">
        <v>5135</v>
      </c>
      <c r="F4" s="5" t="n">
        <v>49296</v>
      </c>
    </row>
    <row r="5">
      <c r="A5" s="4" t="inlineStr">
        <is>
          <t>2023-02</t>
        </is>
      </c>
      <c r="B5" s="4" t="inlineStr">
        <is>
          <t>SKU0101</t>
        </is>
      </c>
      <c r="C5" s="4" t="inlineStr">
        <is>
          <t>メトグルコGE「サンド」</t>
        </is>
      </c>
      <c r="D5" s="4" t="inlineStr">
        <is>
          <t>卸A</t>
        </is>
      </c>
      <c r="E5" s="4" t="n">
        <v>13653</v>
      </c>
      <c r="F5" s="4" t="n">
        <v>131067</v>
      </c>
    </row>
    <row r="6">
      <c r="A6" s="5" t="inlineStr">
        <is>
          <t>2023-02</t>
        </is>
      </c>
      <c r="B6" s="5" t="inlineStr">
        <is>
          <t>SKU0101</t>
        </is>
      </c>
      <c r="C6" s="5" t="inlineStr">
        <is>
          <t>メトグルコGE「サンド」</t>
        </is>
      </c>
      <c r="D6" s="5" t="inlineStr">
        <is>
          <t>卸B</t>
        </is>
      </c>
      <c r="E6" s="5" t="n">
        <v>8535</v>
      </c>
      <c r="F6" s="5" t="n">
        <v>81933</v>
      </c>
    </row>
    <row r="7">
      <c r="A7" s="4" t="inlineStr">
        <is>
          <t>2023-02</t>
        </is>
      </c>
      <c r="B7" s="4" t="inlineStr">
        <is>
          <t>SKU0101</t>
        </is>
      </c>
      <c r="C7" s="4" t="inlineStr">
        <is>
          <t>メトグルコGE「サンド」</t>
        </is>
      </c>
      <c r="D7" s="4" t="inlineStr">
        <is>
          <t>卸C</t>
        </is>
      </c>
      <c r="E7" s="4" t="n">
        <v>4917</v>
      </c>
      <c r="F7" s="4" t="n">
        <v>47207</v>
      </c>
    </row>
    <row r="8">
      <c r="A8" s="5" t="inlineStr">
        <is>
          <t>2023-03</t>
        </is>
      </c>
      <c r="B8" s="5" t="inlineStr">
        <is>
          <t>SKU0101</t>
        </is>
      </c>
      <c r="C8" s="5" t="inlineStr">
        <is>
          <t>メトグルコGE「サンド」</t>
        </is>
      </c>
      <c r="D8" s="5" t="inlineStr">
        <is>
          <t>卸A</t>
        </is>
      </c>
      <c r="E8" s="5" t="n">
        <v>18067</v>
      </c>
      <c r="F8" s="5" t="n">
        <v>173441</v>
      </c>
    </row>
    <row r="9">
      <c r="A9" s="4" t="inlineStr">
        <is>
          <t>2023-03</t>
        </is>
      </c>
      <c r="B9" s="4" t="inlineStr">
        <is>
          <t>SKU0101</t>
        </is>
      </c>
      <c r="C9" s="4" t="inlineStr">
        <is>
          <t>メトグルコGE「サンド」</t>
        </is>
      </c>
      <c r="D9" s="4" t="inlineStr">
        <is>
          <t>卸B</t>
        </is>
      </c>
      <c r="E9" s="4" t="n">
        <v>10892</v>
      </c>
      <c r="F9" s="4" t="n">
        <v>104563</v>
      </c>
    </row>
    <row r="10">
      <c r="A10" s="5" t="inlineStr">
        <is>
          <t>2023-03</t>
        </is>
      </c>
      <c r="B10" s="5" t="inlineStr">
        <is>
          <t>SKU0101</t>
        </is>
      </c>
      <c r="C10" s="5" t="inlineStr">
        <is>
          <t>メトグルコGE「サンド」</t>
        </is>
      </c>
      <c r="D10" s="5" t="inlineStr">
        <is>
          <t>卸C</t>
        </is>
      </c>
      <c r="E10" s="5" t="n">
        <v>6950</v>
      </c>
      <c r="F10" s="5" t="n">
        <v>66720</v>
      </c>
    </row>
    <row r="11">
      <c r="A11" s="4" t="inlineStr">
        <is>
          <t>2023-04</t>
        </is>
      </c>
      <c r="B11" s="4" t="inlineStr">
        <is>
          <t>SKU0101</t>
        </is>
      </c>
      <c r="C11" s="4" t="inlineStr">
        <is>
          <t>メトグルコGE「サンド」</t>
        </is>
      </c>
      <c r="D11" s="4" t="inlineStr">
        <is>
          <t>卸A</t>
        </is>
      </c>
      <c r="E11" s="4" t="n">
        <v>13000</v>
      </c>
      <c r="F11" s="4" t="n">
        <v>124796</v>
      </c>
    </row>
    <row r="12">
      <c r="A12" s="5" t="inlineStr">
        <is>
          <t>2023-04</t>
        </is>
      </c>
      <c r="B12" s="5" t="inlineStr">
        <is>
          <t>SKU0101</t>
        </is>
      </c>
      <c r="C12" s="5" t="inlineStr">
        <is>
          <t>メトグルコGE「サンド」</t>
        </is>
      </c>
      <c r="D12" s="5" t="inlineStr">
        <is>
          <t>卸B</t>
        </is>
      </c>
      <c r="E12" s="5" t="n">
        <v>8345</v>
      </c>
      <c r="F12" s="5" t="n">
        <v>80111</v>
      </c>
    </row>
    <row r="13">
      <c r="A13" s="4" t="inlineStr">
        <is>
          <t>2023-04</t>
        </is>
      </c>
      <c r="B13" s="4" t="inlineStr">
        <is>
          <t>SKU0101</t>
        </is>
      </c>
      <c r="C13" s="4" t="inlineStr">
        <is>
          <t>メトグルコGE「サンド」</t>
        </is>
      </c>
      <c r="D13" s="4" t="inlineStr">
        <is>
          <t>卸C</t>
        </is>
      </c>
      <c r="E13" s="4" t="n">
        <v>4565</v>
      </c>
      <c r="F13" s="4" t="n">
        <v>43820</v>
      </c>
    </row>
    <row r="14">
      <c r="A14" s="5" t="inlineStr">
        <is>
          <t>2023-05</t>
        </is>
      </c>
      <c r="B14" s="5" t="inlineStr">
        <is>
          <t>SKU0101</t>
        </is>
      </c>
      <c r="C14" s="5" t="inlineStr">
        <is>
          <t>メトグルコGE「サンド」</t>
        </is>
      </c>
      <c r="D14" s="5" t="inlineStr">
        <is>
          <t>卸A</t>
        </is>
      </c>
      <c r="E14" s="5" t="n">
        <v>15803</v>
      </c>
      <c r="F14" s="5" t="n">
        <v>151709</v>
      </c>
    </row>
    <row r="15">
      <c r="A15" s="4" t="inlineStr">
        <is>
          <t>2023-05</t>
        </is>
      </c>
      <c r="B15" s="4" t="inlineStr">
        <is>
          <t>SKU0101</t>
        </is>
      </c>
      <c r="C15" s="4" t="inlineStr">
        <is>
          <t>メトグルコGE「サンド」</t>
        </is>
      </c>
      <c r="D15" s="4" t="inlineStr">
        <is>
          <t>卸B</t>
        </is>
      </c>
      <c r="E15" s="4" t="n">
        <v>11292</v>
      </c>
      <c r="F15" s="4" t="n">
        <v>108404</v>
      </c>
    </row>
    <row r="16">
      <c r="A16" s="5" t="inlineStr">
        <is>
          <t>2023-05</t>
        </is>
      </c>
      <c r="B16" s="5" t="inlineStr">
        <is>
          <t>SKU0101</t>
        </is>
      </c>
      <c r="C16" s="5" t="inlineStr">
        <is>
          <t>メトグルコGE「サンド」</t>
        </is>
      </c>
      <c r="D16" s="5" t="inlineStr">
        <is>
          <t>卸C</t>
        </is>
      </c>
      <c r="E16" s="5" t="n">
        <v>5777</v>
      </c>
      <c r="F16" s="5" t="n">
        <v>55462</v>
      </c>
    </row>
    <row r="17">
      <c r="A17" s="4" t="inlineStr">
        <is>
          <t>2023-06</t>
        </is>
      </c>
      <c r="B17" s="4" t="inlineStr">
        <is>
          <t>SKU0101</t>
        </is>
      </c>
      <c r="C17" s="4" t="inlineStr">
        <is>
          <t>メトグルコGE「サンド」</t>
        </is>
      </c>
      <c r="D17" s="4" t="inlineStr">
        <is>
          <t>卸A</t>
        </is>
      </c>
      <c r="E17" s="4" t="n">
        <v>14831</v>
      </c>
      <c r="F17" s="4" t="n">
        <v>142375</v>
      </c>
    </row>
    <row r="18">
      <c r="A18" s="5" t="inlineStr">
        <is>
          <t>2023-06</t>
        </is>
      </c>
      <c r="B18" s="5" t="inlineStr">
        <is>
          <t>SKU0101</t>
        </is>
      </c>
      <c r="C18" s="5" t="inlineStr">
        <is>
          <t>メトグルコGE「サンド」</t>
        </is>
      </c>
      <c r="D18" s="5" t="inlineStr">
        <is>
          <t>卸B</t>
        </is>
      </c>
      <c r="E18" s="5" t="n">
        <v>10901</v>
      </c>
      <c r="F18" s="5" t="n">
        <v>104654</v>
      </c>
    </row>
    <row r="19">
      <c r="A19" s="4" t="inlineStr">
        <is>
          <t>2023-06</t>
        </is>
      </c>
      <c r="B19" s="4" t="inlineStr">
        <is>
          <t>SKU0101</t>
        </is>
      </c>
      <c r="C19" s="4" t="inlineStr">
        <is>
          <t>メトグルコGE「サンド」</t>
        </is>
      </c>
      <c r="D19" s="4" t="inlineStr">
        <is>
          <t>卸C</t>
        </is>
      </c>
      <c r="E19" s="4" t="n">
        <v>7438</v>
      </c>
      <c r="F19" s="4" t="n">
        <v>71407</v>
      </c>
    </row>
    <row r="20">
      <c r="A20" s="5" t="inlineStr">
        <is>
          <t>2023-07</t>
        </is>
      </c>
      <c r="B20" s="5" t="inlineStr">
        <is>
          <t>SKU0101</t>
        </is>
      </c>
      <c r="C20" s="5" t="inlineStr">
        <is>
          <t>メトグルコGE「サンド」</t>
        </is>
      </c>
      <c r="D20" s="5" t="inlineStr">
        <is>
          <t>卸A</t>
        </is>
      </c>
      <c r="E20" s="5" t="n">
        <v>13997</v>
      </c>
      <c r="F20" s="5" t="n">
        <v>134370</v>
      </c>
    </row>
    <row r="21">
      <c r="A21" s="4" t="inlineStr">
        <is>
          <t>2023-07</t>
        </is>
      </c>
      <c r="B21" s="4" t="inlineStr">
        <is>
          <t>SKU0101</t>
        </is>
      </c>
      <c r="C21" s="4" t="inlineStr">
        <is>
          <t>メトグルコGE「サンド」</t>
        </is>
      </c>
      <c r="D21" s="4" t="inlineStr">
        <is>
          <t>卸B</t>
        </is>
      </c>
      <c r="E21" s="4" t="n">
        <v>7358</v>
      </c>
      <c r="F21" s="4" t="n">
        <v>70635</v>
      </c>
    </row>
    <row r="22">
      <c r="A22" s="5" t="inlineStr">
        <is>
          <t>2023-07</t>
        </is>
      </c>
      <c r="B22" s="5" t="inlineStr">
        <is>
          <t>SKU0101</t>
        </is>
      </c>
      <c r="C22" s="5" t="inlineStr">
        <is>
          <t>メトグルコGE「サンド」</t>
        </is>
      </c>
      <c r="D22" s="5" t="inlineStr">
        <is>
          <t>卸C</t>
        </is>
      </c>
      <c r="E22" s="5" t="n">
        <v>3460</v>
      </c>
      <c r="F22" s="5" t="n">
        <v>33214</v>
      </c>
    </row>
    <row r="23">
      <c r="A23" s="4" t="inlineStr">
        <is>
          <t>2023-08</t>
        </is>
      </c>
      <c r="B23" s="4" t="inlineStr">
        <is>
          <t>SKU0101</t>
        </is>
      </c>
      <c r="C23" s="4" t="inlineStr">
        <is>
          <t>メトグルコGE「サンド」</t>
        </is>
      </c>
      <c r="D23" s="4" t="inlineStr">
        <is>
          <t>卸A</t>
        </is>
      </c>
      <c r="E23" s="4" t="n">
        <v>16439</v>
      </c>
      <c r="F23" s="4" t="n">
        <v>157813</v>
      </c>
    </row>
    <row r="24">
      <c r="A24" s="5" t="inlineStr">
        <is>
          <t>2023-08</t>
        </is>
      </c>
      <c r="B24" s="5" t="inlineStr">
        <is>
          <t>SKU0101</t>
        </is>
      </c>
      <c r="C24" s="5" t="inlineStr">
        <is>
          <t>メトグルコGE「サンド」</t>
        </is>
      </c>
      <c r="D24" s="5" t="inlineStr">
        <is>
          <t>卸B</t>
        </is>
      </c>
      <c r="E24" s="5" t="n">
        <v>11356</v>
      </c>
      <c r="F24" s="5" t="n">
        <v>109016</v>
      </c>
    </row>
    <row r="25">
      <c r="A25" s="4" t="inlineStr">
        <is>
          <t>2023-08</t>
        </is>
      </c>
      <c r="B25" s="4" t="inlineStr">
        <is>
          <t>SKU0101</t>
        </is>
      </c>
      <c r="C25" s="4" t="inlineStr">
        <is>
          <t>メトグルコGE「サンド」</t>
        </is>
      </c>
      <c r="D25" s="4" t="inlineStr">
        <is>
          <t>卸C</t>
        </is>
      </c>
      <c r="E25" s="4" t="n">
        <v>7206</v>
      </c>
      <c r="F25" s="4" t="n">
        <v>69178</v>
      </c>
    </row>
    <row r="26">
      <c r="A26" s="5" t="inlineStr">
        <is>
          <t>2023-09</t>
        </is>
      </c>
      <c r="B26" s="5" t="inlineStr">
        <is>
          <t>SKU0101</t>
        </is>
      </c>
      <c r="C26" s="5" t="inlineStr">
        <is>
          <t>メトグルコGE「サンド」</t>
        </is>
      </c>
      <c r="D26" s="5" t="inlineStr">
        <is>
          <t>卸A</t>
        </is>
      </c>
      <c r="E26" s="5" t="n">
        <v>17943</v>
      </c>
      <c r="F26" s="5" t="n">
        <v>172257</v>
      </c>
    </row>
    <row r="27">
      <c r="A27" s="4" t="inlineStr">
        <is>
          <t>2023-09</t>
        </is>
      </c>
      <c r="B27" s="4" t="inlineStr">
        <is>
          <t>SKU0101</t>
        </is>
      </c>
      <c r="C27" s="4" t="inlineStr">
        <is>
          <t>メトグルコGE「サンド」</t>
        </is>
      </c>
      <c r="D27" s="4" t="inlineStr">
        <is>
          <t>卸B</t>
        </is>
      </c>
      <c r="E27" s="4" t="n">
        <v>11385</v>
      </c>
      <c r="F27" s="4" t="n">
        <v>109292</v>
      </c>
    </row>
    <row r="28">
      <c r="A28" s="5" t="inlineStr">
        <is>
          <t>2023-09</t>
        </is>
      </c>
      <c r="B28" s="5" t="inlineStr">
        <is>
          <t>SKU0101</t>
        </is>
      </c>
      <c r="C28" s="5" t="inlineStr">
        <is>
          <t>メトグルコGE「サンド」</t>
        </is>
      </c>
      <c r="D28" s="5" t="inlineStr">
        <is>
          <t>卸C</t>
        </is>
      </c>
      <c r="E28" s="5" t="n">
        <v>6666</v>
      </c>
      <c r="F28" s="5" t="n">
        <v>63990</v>
      </c>
    </row>
    <row r="29">
      <c r="A29" s="4" t="inlineStr">
        <is>
          <t>2023-10</t>
        </is>
      </c>
      <c r="B29" s="4" t="inlineStr">
        <is>
          <t>SKU0101</t>
        </is>
      </c>
      <c r="C29" s="4" t="inlineStr">
        <is>
          <t>メトグルコGE「サンド」</t>
        </is>
      </c>
      <c r="D29" s="4" t="inlineStr">
        <is>
          <t>卸A</t>
        </is>
      </c>
      <c r="E29" s="4" t="n">
        <v>14734</v>
      </c>
      <c r="F29" s="4" t="n">
        <v>141448</v>
      </c>
    </row>
    <row r="30">
      <c r="A30" s="5" t="inlineStr">
        <is>
          <t>2023-10</t>
        </is>
      </c>
      <c r="B30" s="5" t="inlineStr">
        <is>
          <t>SKU0101</t>
        </is>
      </c>
      <c r="C30" s="5" t="inlineStr">
        <is>
          <t>メトグルコGE「サンド」</t>
        </is>
      </c>
      <c r="D30" s="5" t="inlineStr">
        <is>
          <t>卸B</t>
        </is>
      </c>
      <c r="E30" s="5" t="n">
        <v>9520</v>
      </c>
      <c r="F30" s="5" t="n">
        <v>91393</v>
      </c>
    </row>
    <row r="31">
      <c r="A31" s="4" t="inlineStr">
        <is>
          <t>2023-10</t>
        </is>
      </c>
      <c r="B31" s="4" t="inlineStr">
        <is>
          <t>SKU0101</t>
        </is>
      </c>
      <c r="C31" s="4" t="inlineStr">
        <is>
          <t>メトグルコGE「サンド」</t>
        </is>
      </c>
      <c r="D31" s="4" t="inlineStr">
        <is>
          <t>卸C</t>
        </is>
      </c>
      <c r="E31" s="4" t="n">
        <v>5630</v>
      </c>
      <c r="F31" s="4" t="n">
        <v>54050</v>
      </c>
    </row>
    <row r="32">
      <c r="A32" s="5" t="inlineStr">
        <is>
          <t>2023-11</t>
        </is>
      </c>
      <c r="B32" s="5" t="inlineStr">
        <is>
          <t>SKU0101</t>
        </is>
      </c>
      <c r="C32" s="5" t="inlineStr">
        <is>
          <t>メトグルコGE「サンド」</t>
        </is>
      </c>
      <c r="D32" s="5" t="inlineStr">
        <is>
          <t>卸A</t>
        </is>
      </c>
      <c r="E32" s="5" t="n">
        <v>14572</v>
      </c>
      <c r="F32" s="5" t="n">
        <v>139892</v>
      </c>
    </row>
    <row r="33">
      <c r="A33" s="4" t="inlineStr">
        <is>
          <t>2023-11</t>
        </is>
      </c>
      <c r="B33" s="4" t="inlineStr">
        <is>
          <t>SKU0101</t>
        </is>
      </c>
      <c r="C33" s="4" t="inlineStr">
        <is>
          <t>メトグルコGE「サンド」</t>
        </is>
      </c>
      <c r="D33" s="4" t="inlineStr">
        <is>
          <t>卸B</t>
        </is>
      </c>
      <c r="E33" s="4" t="n">
        <v>11991</v>
      </c>
      <c r="F33" s="4" t="n">
        <v>115117</v>
      </c>
    </row>
    <row r="34">
      <c r="A34" s="5" t="inlineStr">
        <is>
          <t>2023-11</t>
        </is>
      </c>
      <c r="B34" s="5" t="inlineStr">
        <is>
          <t>SKU0101</t>
        </is>
      </c>
      <c r="C34" s="5" t="inlineStr">
        <is>
          <t>メトグルコGE「サンド」</t>
        </is>
      </c>
      <c r="D34" s="5" t="inlineStr">
        <is>
          <t>卸C</t>
        </is>
      </c>
      <c r="E34" s="5" t="n">
        <v>6087</v>
      </c>
      <c r="F34" s="5" t="n">
        <v>58436</v>
      </c>
    </row>
    <row r="35">
      <c r="A35" s="4" t="inlineStr">
        <is>
          <t>2023-12</t>
        </is>
      </c>
      <c r="B35" s="4" t="inlineStr">
        <is>
          <t>SKU0101</t>
        </is>
      </c>
      <c r="C35" s="4" t="inlineStr">
        <is>
          <t>メトグルコGE「サンド」</t>
        </is>
      </c>
      <c r="D35" s="4" t="inlineStr">
        <is>
          <t>卸A</t>
        </is>
      </c>
      <c r="E35" s="4" t="n">
        <v>21924</v>
      </c>
      <c r="F35" s="4" t="n">
        <v>210475</v>
      </c>
    </row>
    <row r="36">
      <c r="A36" s="5" t="inlineStr">
        <is>
          <t>2023-12</t>
        </is>
      </c>
      <c r="B36" s="5" t="inlineStr">
        <is>
          <t>SKU0101</t>
        </is>
      </c>
      <c r="C36" s="5" t="inlineStr">
        <is>
          <t>メトグルコGE「サンド」</t>
        </is>
      </c>
      <c r="D36" s="5" t="inlineStr">
        <is>
          <t>卸B</t>
        </is>
      </c>
      <c r="E36" s="5" t="n">
        <v>10497</v>
      </c>
      <c r="F36" s="5" t="n">
        <v>100772</v>
      </c>
    </row>
    <row r="37">
      <c r="A37" s="4" t="inlineStr">
        <is>
          <t>2023-12</t>
        </is>
      </c>
      <c r="B37" s="4" t="inlineStr">
        <is>
          <t>SKU0101</t>
        </is>
      </c>
      <c r="C37" s="4" t="inlineStr">
        <is>
          <t>メトグルコGE「サンド」</t>
        </is>
      </c>
      <c r="D37" s="4" t="inlineStr">
        <is>
          <t>卸C</t>
        </is>
      </c>
      <c r="E37" s="4" t="n">
        <v>7555</v>
      </c>
      <c r="F37" s="4" t="n">
        <v>72532</v>
      </c>
    </row>
    <row r="38">
      <c r="A38" s="5" t="inlineStr">
        <is>
          <t>2024-01</t>
        </is>
      </c>
      <c r="B38" s="5" t="inlineStr">
        <is>
          <t>SKU0101</t>
        </is>
      </c>
      <c r="C38" s="5" t="inlineStr">
        <is>
          <t>メトグルコGE「サンド」</t>
        </is>
      </c>
      <c r="D38" s="5" t="inlineStr">
        <is>
          <t>卸A</t>
        </is>
      </c>
      <c r="E38" s="5" t="n">
        <v>14626</v>
      </c>
      <c r="F38" s="5" t="n">
        <v>140411</v>
      </c>
    </row>
    <row r="39">
      <c r="A39" s="4" t="inlineStr">
        <is>
          <t>2024-01</t>
        </is>
      </c>
      <c r="B39" s="4" t="inlineStr">
        <is>
          <t>SKU0101</t>
        </is>
      </c>
      <c r="C39" s="4" t="inlineStr">
        <is>
          <t>メトグルコGE「サンド」</t>
        </is>
      </c>
      <c r="D39" s="4" t="inlineStr">
        <is>
          <t>卸B</t>
        </is>
      </c>
      <c r="E39" s="4" t="n">
        <v>11508</v>
      </c>
      <c r="F39" s="4" t="n">
        <v>110475</v>
      </c>
    </row>
    <row r="40">
      <c r="A40" s="5" t="inlineStr">
        <is>
          <t>2024-01</t>
        </is>
      </c>
      <c r="B40" s="5" t="inlineStr">
        <is>
          <t>SKU0101</t>
        </is>
      </c>
      <c r="C40" s="5" t="inlineStr">
        <is>
          <t>メトグルコGE「サンド」</t>
        </is>
      </c>
      <c r="D40" s="5" t="inlineStr">
        <is>
          <t>卸C</t>
        </is>
      </c>
      <c r="E40" s="5" t="n">
        <v>5857</v>
      </c>
      <c r="F40" s="5" t="n">
        <v>56231</v>
      </c>
    </row>
    <row r="41">
      <c r="A41" s="4" t="inlineStr">
        <is>
          <t>2024-02</t>
        </is>
      </c>
      <c r="B41" s="4" t="inlineStr">
        <is>
          <t>SKU0101</t>
        </is>
      </c>
      <c r="C41" s="4" t="inlineStr">
        <is>
          <t>メトグルコGE「サンド」</t>
        </is>
      </c>
      <c r="D41" s="4" t="inlineStr">
        <is>
          <t>卸A</t>
        </is>
      </c>
      <c r="E41" s="4" t="n">
        <v>20952</v>
      </c>
      <c r="F41" s="4" t="n">
        <v>201144</v>
      </c>
    </row>
    <row r="42">
      <c r="A42" s="5" t="inlineStr">
        <is>
          <t>2024-02</t>
        </is>
      </c>
      <c r="B42" s="5" t="inlineStr">
        <is>
          <t>SKU0101</t>
        </is>
      </c>
      <c r="C42" s="5" t="inlineStr">
        <is>
          <t>メトグルコGE「サンド」</t>
        </is>
      </c>
      <c r="D42" s="5" t="inlineStr">
        <is>
          <t>卸B</t>
        </is>
      </c>
      <c r="E42" s="5" t="n">
        <v>12548</v>
      </c>
      <c r="F42" s="5" t="n">
        <v>120458</v>
      </c>
    </row>
    <row r="43">
      <c r="A43" s="4" t="inlineStr">
        <is>
          <t>2024-02</t>
        </is>
      </c>
      <c r="B43" s="4" t="inlineStr">
        <is>
          <t>SKU0101</t>
        </is>
      </c>
      <c r="C43" s="4" t="inlineStr">
        <is>
          <t>メトグルコGE「サンド」</t>
        </is>
      </c>
      <c r="D43" s="4" t="inlineStr">
        <is>
          <t>卸C</t>
        </is>
      </c>
      <c r="E43" s="4" t="n">
        <v>6959</v>
      </c>
      <c r="F43" s="4" t="n">
        <v>66806</v>
      </c>
    </row>
    <row r="44">
      <c r="A44" s="5" t="inlineStr">
        <is>
          <t>2024-03</t>
        </is>
      </c>
      <c r="B44" s="5" t="inlineStr">
        <is>
          <t>SKU0101</t>
        </is>
      </c>
      <c r="C44" s="5" t="inlineStr">
        <is>
          <t>メトグルコGE「サンド」</t>
        </is>
      </c>
      <c r="D44" s="5" t="inlineStr">
        <is>
          <t>卸A</t>
        </is>
      </c>
      <c r="E44" s="5" t="n">
        <v>23581</v>
      </c>
      <c r="F44" s="5" t="n">
        <v>226374</v>
      </c>
    </row>
    <row r="45">
      <c r="A45" s="4" t="inlineStr">
        <is>
          <t>2024-03</t>
        </is>
      </c>
      <c r="B45" s="4" t="inlineStr">
        <is>
          <t>SKU0101</t>
        </is>
      </c>
      <c r="C45" s="4" t="inlineStr">
        <is>
          <t>メトグルコGE「サンド」</t>
        </is>
      </c>
      <c r="D45" s="4" t="inlineStr">
        <is>
          <t>卸B</t>
        </is>
      </c>
      <c r="E45" s="4" t="n">
        <v>16856</v>
      </c>
      <c r="F45" s="4" t="n">
        <v>161820</v>
      </c>
    </row>
    <row r="46">
      <c r="A46" s="5" t="inlineStr">
        <is>
          <t>2024-03</t>
        </is>
      </c>
      <c r="B46" s="5" t="inlineStr">
        <is>
          <t>SKU0101</t>
        </is>
      </c>
      <c r="C46" s="5" t="inlineStr">
        <is>
          <t>メトグルコGE「サンド」</t>
        </is>
      </c>
      <c r="D46" s="5" t="inlineStr">
        <is>
          <t>卸C</t>
        </is>
      </c>
      <c r="E46" s="5" t="n">
        <v>7831</v>
      </c>
      <c r="F46" s="5" t="n">
        <v>75174</v>
      </c>
    </row>
    <row r="47">
      <c r="A47" s="4" t="inlineStr">
        <is>
          <t>2024-04</t>
        </is>
      </c>
      <c r="B47" s="4" t="inlineStr">
        <is>
          <t>SKU0101</t>
        </is>
      </c>
      <c r="C47" s="4" t="inlineStr">
        <is>
          <t>メトグルコGE「サンド」</t>
        </is>
      </c>
      <c r="D47" s="4" t="inlineStr">
        <is>
          <t>卸A</t>
        </is>
      </c>
      <c r="E47" s="4" t="n">
        <v>9625</v>
      </c>
      <c r="F47" s="4" t="n">
        <v>87319</v>
      </c>
    </row>
    <row r="48">
      <c r="A48" s="5" t="inlineStr">
        <is>
          <t>2024-04</t>
        </is>
      </c>
      <c r="B48" s="5" t="inlineStr">
        <is>
          <t>SKU0101</t>
        </is>
      </c>
      <c r="C48" s="5" t="inlineStr">
        <is>
          <t>メトグルコGE「サンド」</t>
        </is>
      </c>
      <c r="D48" s="5" t="inlineStr">
        <is>
          <t>卸B</t>
        </is>
      </c>
      <c r="E48" s="5" t="n">
        <v>3453</v>
      </c>
      <c r="F48" s="5" t="n">
        <v>31326</v>
      </c>
    </row>
    <row r="49">
      <c r="A49" s="4" t="inlineStr">
        <is>
          <t>2024-04</t>
        </is>
      </c>
      <c r="B49" s="4" t="inlineStr">
        <is>
          <t>SKU0101</t>
        </is>
      </c>
      <c r="C49" s="4" t="inlineStr">
        <is>
          <t>メトグルコGE「サンド」</t>
        </is>
      </c>
      <c r="D49" s="4" t="inlineStr">
        <is>
          <t>卸C</t>
        </is>
      </c>
      <c r="E49" s="4" t="n">
        <v>3613</v>
      </c>
      <c r="F49" s="4" t="n">
        <v>32776</v>
      </c>
    </row>
    <row r="50">
      <c r="A50" s="5" t="inlineStr">
        <is>
          <t>2024-05</t>
        </is>
      </c>
      <c r="B50" s="5" t="inlineStr">
        <is>
          <t>SKU0101</t>
        </is>
      </c>
      <c r="C50" s="5" t="inlineStr">
        <is>
          <t>メトグルコGE「サンド」</t>
        </is>
      </c>
      <c r="D50" s="5" t="inlineStr">
        <is>
          <t>卸A</t>
        </is>
      </c>
      <c r="E50" s="5" t="n">
        <v>20006</v>
      </c>
      <c r="F50" s="5" t="n">
        <v>181494</v>
      </c>
    </row>
    <row r="51">
      <c r="A51" s="4" t="inlineStr">
        <is>
          <t>2024-05</t>
        </is>
      </c>
      <c r="B51" s="4" t="inlineStr">
        <is>
          <t>SKU0101</t>
        </is>
      </c>
      <c r="C51" s="4" t="inlineStr">
        <is>
          <t>メトグルコGE「サンド」</t>
        </is>
      </c>
      <c r="D51" s="4" t="inlineStr">
        <is>
          <t>卸B</t>
        </is>
      </c>
      <c r="E51" s="4" t="n">
        <v>11460</v>
      </c>
      <c r="F51" s="4" t="n">
        <v>103967</v>
      </c>
    </row>
    <row r="52">
      <c r="A52" s="5" t="inlineStr">
        <is>
          <t>2024-05</t>
        </is>
      </c>
      <c r="B52" s="5" t="inlineStr">
        <is>
          <t>SKU0101</t>
        </is>
      </c>
      <c r="C52" s="5" t="inlineStr">
        <is>
          <t>メトグルコGE「サンド」</t>
        </is>
      </c>
      <c r="D52" s="5" t="inlineStr">
        <is>
          <t>卸C</t>
        </is>
      </c>
      <c r="E52" s="5" t="n">
        <v>7621</v>
      </c>
      <c r="F52" s="5" t="n">
        <v>69133</v>
      </c>
    </row>
    <row r="53">
      <c r="A53" s="4" t="inlineStr">
        <is>
          <t>2024-06</t>
        </is>
      </c>
      <c r="B53" s="4" t="inlineStr">
        <is>
          <t>SKU0101</t>
        </is>
      </c>
      <c r="C53" s="4" t="inlineStr">
        <is>
          <t>メトグルコGE「サンド」</t>
        </is>
      </c>
      <c r="D53" s="4" t="inlineStr">
        <is>
          <t>卸A</t>
        </is>
      </c>
      <c r="E53" s="4" t="n">
        <v>20642</v>
      </c>
      <c r="F53" s="4" t="n">
        <v>187263</v>
      </c>
    </row>
    <row r="54">
      <c r="A54" s="5" t="inlineStr">
        <is>
          <t>2024-06</t>
        </is>
      </c>
      <c r="B54" s="5" t="inlineStr">
        <is>
          <t>SKU0101</t>
        </is>
      </c>
      <c r="C54" s="5" t="inlineStr">
        <is>
          <t>メトグルコGE「サンド」</t>
        </is>
      </c>
      <c r="D54" s="5" t="inlineStr">
        <is>
          <t>卸B</t>
        </is>
      </c>
      <c r="E54" s="5" t="n">
        <v>16303</v>
      </c>
      <c r="F54" s="5" t="n">
        <v>147898</v>
      </c>
    </row>
    <row r="55">
      <c r="A55" s="4" t="inlineStr">
        <is>
          <t>2024-06</t>
        </is>
      </c>
      <c r="B55" s="4" t="inlineStr">
        <is>
          <t>SKU0101</t>
        </is>
      </c>
      <c r="C55" s="4" t="inlineStr">
        <is>
          <t>メトグルコGE「サンド」</t>
        </is>
      </c>
      <c r="D55" s="4" t="inlineStr">
        <is>
          <t>卸C</t>
        </is>
      </c>
      <c r="E55" s="4" t="n">
        <v>7479</v>
      </c>
      <c r="F55" s="4" t="n">
        <v>67850</v>
      </c>
    </row>
    <row r="56">
      <c r="A56" s="5" t="inlineStr">
        <is>
          <t>2024-07</t>
        </is>
      </c>
      <c r="B56" s="5" t="inlineStr">
        <is>
          <t>SKU0101</t>
        </is>
      </c>
      <c r="C56" s="5" t="inlineStr">
        <is>
          <t>メトグルコGE「サンド」</t>
        </is>
      </c>
      <c r="D56" s="5" t="inlineStr">
        <is>
          <t>卸A</t>
        </is>
      </c>
      <c r="E56" s="5" t="n">
        <v>22754</v>
      </c>
      <c r="F56" s="5" t="n">
        <v>206426</v>
      </c>
    </row>
    <row r="57">
      <c r="A57" s="4" t="inlineStr">
        <is>
          <t>2024-07</t>
        </is>
      </c>
      <c r="B57" s="4" t="inlineStr">
        <is>
          <t>SKU0101</t>
        </is>
      </c>
      <c r="C57" s="4" t="inlineStr">
        <is>
          <t>メトグルコGE「サンド」</t>
        </is>
      </c>
      <c r="D57" s="4" t="inlineStr">
        <is>
          <t>卸B</t>
        </is>
      </c>
      <c r="E57" s="4" t="n">
        <v>12223</v>
      </c>
      <c r="F57" s="4" t="n">
        <v>110890</v>
      </c>
    </row>
    <row r="58">
      <c r="A58" s="5" t="inlineStr">
        <is>
          <t>2024-07</t>
        </is>
      </c>
      <c r="B58" s="5" t="inlineStr">
        <is>
          <t>SKU0101</t>
        </is>
      </c>
      <c r="C58" s="5" t="inlineStr">
        <is>
          <t>メトグルコGE「サンド」</t>
        </is>
      </c>
      <c r="D58" s="5" t="inlineStr">
        <is>
          <t>卸C</t>
        </is>
      </c>
      <c r="E58" s="5" t="n">
        <v>8795</v>
      </c>
      <c r="F58" s="5" t="n">
        <v>79786</v>
      </c>
    </row>
    <row r="59">
      <c r="A59" s="4" t="inlineStr">
        <is>
          <t>2024-08</t>
        </is>
      </c>
      <c r="B59" s="4" t="inlineStr">
        <is>
          <t>SKU0101</t>
        </is>
      </c>
      <c r="C59" s="4" t="inlineStr">
        <is>
          <t>メトグルコGE「サンド」</t>
        </is>
      </c>
      <c r="D59" s="4" t="inlineStr">
        <is>
          <t>卸A</t>
        </is>
      </c>
      <c r="E59" s="4" t="n">
        <v>20213</v>
      </c>
      <c r="F59" s="4" t="n">
        <v>183371</v>
      </c>
    </row>
    <row r="60">
      <c r="A60" s="5" t="inlineStr">
        <is>
          <t>2024-08</t>
        </is>
      </c>
      <c r="B60" s="5" t="inlineStr">
        <is>
          <t>SKU0101</t>
        </is>
      </c>
      <c r="C60" s="5" t="inlineStr">
        <is>
          <t>メトグルコGE「サンド」</t>
        </is>
      </c>
      <c r="D60" s="5" t="inlineStr">
        <is>
          <t>卸B</t>
        </is>
      </c>
      <c r="E60" s="5" t="n">
        <v>14287</v>
      </c>
      <c r="F60" s="5" t="n">
        <v>129612</v>
      </c>
    </row>
    <row r="61">
      <c r="A61" s="4" t="inlineStr">
        <is>
          <t>2024-08</t>
        </is>
      </c>
      <c r="B61" s="4" t="inlineStr">
        <is>
          <t>SKU0101</t>
        </is>
      </c>
      <c r="C61" s="4" t="inlineStr">
        <is>
          <t>メトグルコGE「サンド」</t>
        </is>
      </c>
      <c r="D61" s="4" t="inlineStr">
        <is>
          <t>卸C</t>
        </is>
      </c>
      <c r="E61" s="4" t="n">
        <v>6833</v>
      </c>
      <c r="F61" s="4" t="n">
        <v>61988</v>
      </c>
    </row>
    <row r="62">
      <c r="A62" s="5" t="inlineStr">
        <is>
          <t>2024-09</t>
        </is>
      </c>
      <c r="B62" s="5" t="inlineStr">
        <is>
          <t>SKU0101</t>
        </is>
      </c>
      <c r="C62" s="5" t="inlineStr">
        <is>
          <t>メトグルコGE「サンド」</t>
        </is>
      </c>
      <c r="D62" s="5" t="inlineStr">
        <is>
          <t>卸A</t>
        </is>
      </c>
      <c r="E62" s="5" t="n">
        <v>20755</v>
      </c>
      <c r="F62" s="5" t="n">
        <v>188290</v>
      </c>
    </row>
    <row r="63">
      <c r="A63" s="4" t="inlineStr">
        <is>
          <t>2024-09</t>
        </is>
      </c>
      <c r="B63" s="4" t="inlineStr">
        <is>
          <t>SKU0101</t>
        </is>
      </c>
      <c r="C63" s="4" t="inlineStr">
        <is>
          <t>メトグルコGE「サンド」</t>
        </is>
      </c>
      <c r="D63" s="4" t="inlineStr">
        <is>
          <t>卸B</t>
        </is>
      </c>
      <c r="E63" s="4" t="n">
        <v>10684</v>
      </c>
      <c r="F63" s="4" t="n">
        <v>96925</v>
      </c>
    </row>
    <row r="64">
      <c r="A64" s="5" t="inlineStr">
        <is>
          <t>2024-09</t>
        </is>
      </c>
      <c r="B64" s="5" t="inlineStr">
        <is>
          <t>SKU0101</t>
        </is>
      </c>
      <c r="C64" s="5" t="inlineStr">
        <is>
          <t>メトグルコGE「サンド」</t>
        </is>
      </c>
      <c r="D64" s="5" t="inlineStr">
        <is>
          <t>卸C</t>
        </is>
      </c>
      <c r="E64" s="5" t="n">
        <v>7159</v>
      </c>
      <c r="F64" s="5" t="n">
        <v>64945</v>
      </c>
    </row>
    <row r="65">
      <c r="A65" s="4" t="inlineStr">
        <is>
          <t>2024-10</t>
        </is>
      </c>
      <c r="B65" s="4" t="inlineStr">
        <is>
          <t>SKU0101</t>
        </is>
      </c>
      <c r="C65" s="4" t="inlineStr">
        <is>
          <t>メトグルコGE「サンド」</t>
        </is>
      </c>
      <c r="D65" s="4" t="inlineStr">
        <is>
          <t>卸A</t>
        </is>
      </c>
      <c r="E65" s="4" t="n">
        <v>20566</v>
      </c>
      <c r="F65" s="4" t="n">
        <v>186579</v>
      </c>
    </row>
    <row r="66">
      <c r="A66" s="5" t="inlineStr">
        <is>
          <t>2024-10</t>
        </is>
      </c>
      <c r="B66" s="5" t="inlineStr">
        <is>
          <t>SKU0101</t>
        </is>
      </c>
      <c r="C66" s="5" t="inlineStr">
        <is>
          <t>メトグルコGE「サンド」</t>
        </is>
      </c>
      <c r="D66" s="5" t="inlineStr">
        <is>
          <t>卸B</t>
        </is>
      </c>
      <c r="E66" s="5" t="n">
        <v>14002</v>
      </c>
      <c r="F66" s="5" t="n">
        <v>127030</v>
      </c>
    </row>
    <row r="67">
      <c r="A67" s="4" t="inlineStr">
        <is>
          <t>2024-10</t>
        </is>
      </c>
      <c r="B67" s="4" t="inlineStr">
        <is>
          <t>SKU0101</t>
        </is>
      </c>
      <c r="C67" s="4" t="inlineStr">
        <is>
          <t>メトグルコGE「サンド」</t>
        </is>
      </c>
      <c r="D67" s="4" t="inlineStr">
        <is>
          <t>卸C</t>
        </is>
      </c>
      <c r="E67" s="4" t="n">
        <v>7694</v>
      </c>
      <c r="F67" s="4" t="n">
        <v>69796</v>
      </c>
    </row>
    <row r="68">
      <c r="A68" s="5" t="inlineStr">
        <is>
          <t>2024-11</t>
        </is>
      </c>
      <c r="B68" s="5" t="inlineStr">
        <is>
          <t>SKU0101</t>
        </is>
      </c>
      <c r="C68" s="5" t="inlineStr">
        <is>
          <t>メトグルコGE「サンド」</t>
        </is>
      </c>
      <c r="D68" s="5" t="inlineStr">
        <is>
          <t>卸A</t>
        </is>
      </c>
      <c r="E68" s="5" t="n">
        <v>18662</v>
      </c>
      <c r="F68" s="5" t="n">
        <v>169303</v>
      </c>
    </row>
    <row r="69">
      <c r="A69" s="4" t="inlineStr">
        <is>
          <t>2024-11</t>
        </is>
      </c>
      <c r="B69" s="4" t="inlineStr">
        <is>
          <t>SKU0101</t>
        </is>
      </c>
      <c r="C69" s="4" t="inlineStr">
        <is>
          <t>メトグルコGE「サンド」</t>
        </is>
      </c>
      <c r="D69" s="4" t="inlineStr">
        <is>
          <t>卸B</t>
        </is>
      </c>
      <c r="E69" s="4" t="n">
        <v>12352</v>
      </c>
      <c r="F69" s="4" t="n">
        <v>112053</v>
      </c>
    </row>
    <row r="70">
      <c r="A70" s="5" t="inlineStr">
        <is>
          <t>2024-11</t>
        </is>
      </c>
      <c r="B70" s="5" t="inlineStr">
        <is>
          <t>SKU0101</t>
        </is>
      </c>
      <c r="C70" s="5" t="inlineStr">
        <is>
          <t>メトグルコGE「サンド」</t>
        </is>
      </c>
      <c r="D70" s="5" t="inlineStr">
        <is>
          <t>卸C</t>
        </is>
      </c>
      <c r="E70" s="5" t="n">
        <v>6158</v>
      </c>
      <c r="F70" s="5" t="n">
        <v>55862</v>
      </c>
    </row>
    <row r="71">
      <c r="A71" s="4" t="inlineStr">
        <is>
          <t>2024-12</t>
        </is>
      </c>
      <c r="B71" s="4" t="inlineStr">
        <is>
          <t>SKU0101</t>
        </is>
      </c>
      <c r="C71" s="4" t="inlineStr">
        <is>
          <t>メトグルコGE「サンド」</t>
        </is>
      </c>
      <c r="D71" s="4" t="inlineStr">
        <is>
          <t>卸A</t>
        </is>
      </c>
      <c r="E71" s="4" t="n">
        <v>26886</v>
      </c>
      <c r="F71" s="4" t="n">
        <v>243907</v>
      </c>
    </row>
    <row r="72">
      <c r="A72" s="5" t="inlineStr">
        <is>
          <t>2024-12</t>
        </is>
      </c>
      <c r="B72" s="5" t="inlineStr">
        <is>
          <t>SKU0101</t>
        </is>
      </c>
      <c r="C72" s="5" t="inlineStr">
        <is>
          <t>メトグルコGE「サンド」</t>
        </is>
      </c>
      <c r="D72" s="5" t="inlineStr">
        <is>
          <t>卸B</t>
        </is>
      </c>
      <c r="E72" s="5" t="n">
        <v>19428</v>
      </c>
      <c r="F72" s="5" t="n">
        <v>176255</v>
      </c>
    </row>
    <row r="73">
      <c r="A73" s="4" t="inlineStr">
        <is>
          <t>2024-12</t>
        </is>
      </c>
      <c r="B73" s="4" t="inlineStr">
        <is>
          <t>SKU0101</t>
        </is>
      </c>
      <c r="C73" s="4" t="inlineStr">
        <is>
          <t>メトグルコGE「サンド」</t>
        </is>
      </c>
      <c r="D73" s="4" t="inlineStr">
        <is>
          <t>卸C</t>
        </is>
      </c>
      <c r="E73" s="4" t="n">
        <v>10836</v>
      </c>
      <c r="F73" s="4" t="n">
        <v>98308</v>
      </c>
    </row>
    <row r="74">
      <c r="A74" s="5" t="inlineStr">
        <is>
          <t>2025-01</t>
        </is>
      </c>
      <c r="B74" s="5" t="inlineStr">
        <is>
          <t>SKU0101</t>
        </is>
      </c>
      <c r="C74" s="5" t="inlineStr">
        <is>
          <t>メトグルコGE「サンド」</t>
        </is>
      </c>
      <c r="D74" s="5" t="inlineStr">
        <is>
          <t>卸A</t>
        </is>
      </c>
      <c r="E74" s="5" t="n">
        <v>19110</v>
      </c>
      <c r="F74" s="5" t="n">
        <v>173364</v>
      </c>
    </row>
    <row r="75">
      <c r="A75" s="4" t="inlineStr">
        <is>
          <t>2025-01</t>
        </is>
      </c>
      <c r="B75" s="4" t="inlineStr">
        <is>
          <t>SKU0101</t>
        </is>
      </c>
      <c r="C75" s="4" t="inlineStr">
        <is>
          <t>メトグルコGE「サンド」</t>
        </is>
      </c>
      <c r="D75" s="4" t="inlineStr">
        <is>
          <t>卸B</t>
        </is>
      </c>
      <c r="E75" s="4" t="n">
        <v>9749</v>
      </c>
      <c r="F75" s="4" t="n">
        <v>88447</v>
      </c>
    </row>
    <row r="76">
      <c r="A76" s="5" t="inlineStr">
        <is>
          <t>2025-01</t>
        </is>
      </c>
      <c r="B76" s="5" t="inlineStr">
        <is>
          <t>SKU0101</t>
        </is>
      </c>
      <c r="C76" s="5" t="inlineStr">
        <is>
          <t>メトグルコGE「サンド」</t>
        </is>
      </c>
      <c r="D76" s="5" t="inlineStr">
        <is>
          <t>卸C</t>
        </is>
      </c>
      <c r="E76" s="5" t="n">
        <v>6339</v>
      </c>
      <c r="F76" s="5" t="n">
        <v>57510</v>
      </c>
    </row>
    <row r="77">
      <c r="A77" s="4" t="inlineStr">
        <is>
          <t>2025-02</t>
        </is>
      </c>
      <c r="B77" s="4" t="inlineStr">
        <is>
          <t>SKU0101</t>
        </is>
      </c>
      <c r="C77" s="4" t="inlineStr">
        <is>
          <t>メトグルコGE「サンド」</t>
        </is>
      </c>
      <c r="D77" s="4" t="inlineStr">
        <is>
          <t>卸A</t>
        </is>
      </c>
      <c r="E77" s="4" t="n">
        <v>16980</v>
      </c>
      <c r="F77" s="4" t="n">
        <v>154039</v>
      </c>
    </row>
    <row r="78">
      <c r="A78" s="5" t="inlineStr">
        <is>
          <t>2025-02</t>
        </is>
      </c>
      <c r="B78" s="5" t="inlineStr">
        <is>
          <t>SKU0101</t>
        </is>
      </c>
      <c r="C78" s="5" t="inlineStr">
        <is>
          <t>メトグルコGE「サンド」</t>
        </is>
      </c>
      <c r="D78" s="5" t="inlineStr">
        <is>
          <t>卸B</t>
        </is>
      </c>
      <c r="E78" s="5" t="n">
        <v>9984</v>
      </c>
      <c r="F78" s="5" t="n">
        <v>90573</v>
      </c>
    </row>
    <row r="79">
      <c r="A79" s="4" t="inlineStr">
        <is>
          <t>2025-02</t>
        </is>
      </c>
      <c r="B79" s="4" t="inlineStr">
        <is>
          <t>SKU0101</t>
        </is>
      </c>
      <c r="C79" s="4" t="inlineStr">
        <is>
          <t>メトグルコGE「サンド」</t>
        </is>
      </c>
      <c r="D79" s="4" t="inlineStr">
        <is>
          <t>卸C</t>
        </is>
      </c>
      <c r="E79" s="4" t="n">
        <v>7599</v>
      </c>
      <c r="F79" s="4" t="n">
        <v>68938</v>
      </c>
    </row>
    <row r="80">
      <c r="A80" s="5" t="inlineStr">
        <is>
          <t>2025-03</t>
        </is>
      </c>
      <c r="B80" s="5" t="inlineStr">
        <is>
          <t>SKU0101</t>
        </is>
      </c>
      <c r="C80" s="5" t="inlineStr">
        <is>
          <t>メトグルコGE「サンド」</t>
        </is>
      </c>
      <c r="D80" s="5" t="inlineStr">
        <is>
          <t>卸A</t>
        </is>
      </c>
      <c r="E80" s="5" t="n">
        <v>33248</v>
      </c>
      <c r="F80" s="5" t="n">
        <v>301625</v>
      </c>
    </row>
    <row r="81">
      <c r="A81" s="4" t="inlineStr">
        <is>
          <t>2025-03</t>
        </is>
      </c>
      <c r="B81" s="4" t="inlineStr">
        <is>
          <t>SKU0101</t>
        </is>
      </c>
      <c r="C81" s="4" t="inlineStr">
        <is>
          <t>メトグルコGE「サンド」</t>
        </is>
      </c>
      <c r="D81" s="4" t="inlineStr">
        <is>
          <t>卸B</t>
        </is>
      </c>
      <c r="E81" s="4" t="n">
        <v>25596</v>
      </c>
      <c r="F81" s="4" t="n">
        <v>232205</v>
      </c>
    </row>
    <row r="82">
      <c r="A82" s="5" t="inlineStr">
        <is>
          <t>2025-03</t>
        </is>
      </c>
      <c r="B82" s="5" t="inlineStr">
        <is>
          <t>SKU0101</t>
        </is>
      </c>
      <c r="C82" s="5" t="inlineStr">
        <is>
          <t>メトグルコGE「サンド」</t>
        </is>
      </c>
      <c r="D82" s="5" t="inlineStr">
        <is>
          <t>卸C</t>
        </is>
      </c>
      <c r="E82" s="5" t="n">
        <v>12007</v>
      </c>
      <c r="F82" s="5" t="n">
        <v>108926</v>
      </c>
    </row>
    <row r="83">
      <c r="A83" s="4" t="inlineStr">
        <is>
          <t>2025-04</t>
        </is>
      </c>
      <c r="B83" s="4" t="inlineStr">
        <is>
          <t>SKU0101</t>
        </is>
      </c>
      <c r="C83" s="4" t="inlineStr">
        <is>
          <t>メトグルコGE「サンド」</t>
        </is>
      </c>
      <c r="D83" s="4" t="inlineStr">
        <is>
          <t>卸A</t>
        </is>
      </c>
      <c r="E83" s="4" t="n">
        <v>12246</v>
      </c>
      <c r="F83" s="4" t="n">
        <v>107760</v>
      </c>
    </row>
    <row r="84">
      <c r="A84" s="5" t="inlineStr">
        <is>
          <t>2025-04</t>
        </is>
      </c>
      <c r="B84" s="5" t="inlineStr">
        <is>
          <t>SKU0101</t>
        </is>
      </c>
      <c r="C84" s="5" t="inlineStr">
        <is>
          <t>メトグルコGE「サンド」</t>
        </is>
      </c>
      <c r="D84" s="5" t="inlineStr">
        <is>
          <t>卸B</t>
        </is>
      </c>
      <c r="E84" s="5" t="n">
        <v>4107</v>
      </c>
      <c r="F84" s="5" t="n">
        <v>36144</v>
      </c>
    </row>
    <row r="85">
      <c r="A85" s="4" t="inlineStr">
        <is>
          <t>2025-04</t>
        </is>
      </c>
      <c r="B85" s="4" t="inlineStr">
        <is>
          <t>SKU0101</t>
        </is>
      </c>
      <c r="C85" s="4" t="inlineStr">
        <is>
          <t>メトグルコGE「サンド」</t>
        </is>
      </c>
      <c r="D85" s="4" t="inlineStr">
        <is>
          <t>卸C</t>
        </is>
      </c>
      <c r="E85" s="4" t="n">
        <v>2287</v>
      </c>
      <c r="F85" s="4" t="n">
        <v>20123</v>
      </c>
    </row>
    <row r="86">
      <c r="A86" s="5" t="inlineStr">
        <is>
          <t>2025-05</t>
        </is>
      </c>
      <c r="B86" s="5" t="inlineStr">
        <is>
          <t>SKU0101</t>
        </is>
      </c>
      <c r="C86" s="5" t="inlineStr">
        <is>
          <t>メトグルコGE「サンド」</t>
        </is>
      </c>
      <c r="D86" s="5" t="inlineStr">
        <is>
          <t>卸A</t>
        </is>
      </c>
      <c r="E86" s="5" t="n">
        <v>23012</v>
      </c>
      <c r="F86" s="5" t="n">
        <v>202499</v>
      </c>
    </row>
    <row r="87">
      <c r="A87" s="4" t="inlineStr">
        <is>
          <t>2025-05</t>
        </is>
      </c>
      <c r="B87" s="4" t="inlineStr">
        <is>
          <t>SKU0101</t>
        </is>
      </c>
      <c r="C87" s="4" t="inlineStr">
        <is>
          <t>メトグルコGE「サンド」</t>
        </is>
      </c>
      <c r="D87" s="4" t="inlineStr">
        <is>
          <t>卸B</t>
        </is>
      </c>
      <c r="E87" s="4" t="n">
        <v>11978</v>
      </c>
      <c r="F87" s="4" t="n">
        <v>105402</v>
      </c>
    </row>
    <row r="88">
      <c r="A88" s="5" t="inlineStr">
        <is>
          <t>2025-05</t>
        </is>
      </c>
      <c r="B88" s="5" t="inlineStr">
        <is>
          <t>SKU0101</t>
        </is>
      </c>
      <c r="C88" s="5" t="inlineStr">
        <is>
          <t>メトグルコGE「サンド」</t>
        </is>
      </c>
      <c r="D88" s="5" t="inlineStr">
        <is>
          <t>卸C</t>
        </is>
      </c>
      <c r="E88" s="5" t="n">
        <v>7474</v>
      </c>
      <c r="F88" s="5" t="n">
        <v>65773</v>
      </c>
    </row>
    <row r="89">
      <c r="A89" s="4" t="inlineStr">
        <is>
          <t>2025-06</t>
        </is>
      </c>
      <c r="B89" s="4" t="inlineStr">
        <is>
          <t>SKU0101</t>
        </is>
      </c>
      <c r="C89" s="4" t="inlineStr">
        <is>
          <t>メトグルコGE「サンド」</t>
        </is>
      </c>
      <c r="D89" s="4" t="inlineStr">
        <is>
          <t>卸A</t>
        </is>
      </c>
      <c r="E89" s="4" t="n">
        <v>29007</v>
      </c>
      <c r="F89" s="4" t="n">
        <v>255257</v>
      </c>
    </row>
    <row r="90">
      <c r="A90" s="5" t="inlineStr">
        <is>
          <t>2025-06</t>
        </is>
      </c>
      <c r="B90" s="5" t="inlineStr">
        <is>
          <t>SKU0101</t>
        </is>
      </c>
      <c r="C90" s="5" t="inlineStr">
        <is>
          <t>メトグルコGE「サンド」</t>
        </is>
      </c>
      <c r="D90" s="5" t="inlineStr">
        <is>
          <t>卸B</t>
        </is>
      </c>
      <c r="E90" s="5" t="n">
        <v>21412</v>
      </c>
      <c r="F90" s="5" t="n">
        <v>188422</v>
      </c>
    </row>
    <row r="91">
      <c r="A91" s="4" t="inlineStr">
        <is>
          <t>2025-06</t>
        </is>
      </c>
      <c r="B91" s="4" t="inlineStr">
        <is>
          <t>SKU0101</t>
        </is>
      </c>
      <c r="C91" s="4" t="inlineStr">
        <is>
          <t>メトグルコGE「サンド」</t>
        </is>
      </c>
      <c r="D91" s="4" t="inlineStr">
        <is>
          <t>卸C</t>
        </is>
      </c>
      <c r="E91" s="4" t="n">
        <v>12940</v>
      </c>
      <c r="F91" s="4" t="n">
        <v>113871</v>
      </c>
    </row>
    <row r="92">
      <c r="A92" s="5" t="inlineStr">
        <is>
          <t>2025-07</t>
        </is>
      </c>
      <c r="B92" s="5" t="inlineStr">
        <is>
          <t>SKU0101</t>
        </is>
      </c>
      <c r="C92" s="5" t="inlineStr">
        <is>
          <t>メトグルコGE「サンド」</t>
        </is>
      </c>
      <c r="D92" s="5" t="inlineStr">
        <is>
          <t>卸A</t>
        </is>
      </c>
      <c r="E92" s="5" t="n">
        <v>24423</v>
      </c>
      <c r="F92" s="5" t="n">
        <v>214921</v>
      </c>
    </row>
    <row r="93">
      <c r="A93" s="4" t="inlineStr">
        <is>
          <t>2025-07</t>
        </is>
      </c>
      <c r="B93" s="4" t="inlineStr">
        <is>
          <t>SKU0101</t>
        </is>
      </c>
      <c r="C93" s="4" t="inlineStr">
        <is>
          <t>メトグルコGE「サンド」</t>
        </is>
      </c>
      <c r="D93" s="4" t="inlineStr">
        <is>
          <t>卸B</t>
        </is>
      </c>
      <c r="E93" s="4" t="n">
        <v>15382</v>
      </c>
      <c r="F93" s="4" t="n">
        <v>135362</v>
      </c>
    </row>
    <row r="94">
      <c r="A94" s="5" t="inlineStr">
        <is>
          <t>2025-07</t>
        </is>
      </c>
      <c r="B94" s="5" t="inlineStr">
        <is>
          <t>SKU0101</t>
        </is>
      </c>
      <c r="C94" s="5" t="inlineStr">
        <is>
          <t>メトグルコGE「サンド」</t>
        </is>
      </c>
      <c r="D94" s="5" t="inlineStr">
        <is>
          <t>卸C</t>
        </is>
      </c>
      <c r="E94" s="5" t="n">
        <v>7875</v>
      </c>
      <c r="F94" s="5" t="n">
        <v>69296</v>
      </c>
    </row>
    <row r="95">
      <c r="A95" s="4" t="inlineStr">
        <is>
          <t>2025-08</t>
        </is>
      </c>
      <c r="B95" s="4" t="inlineStr">
        <is>
          <t>SKU0101</t>
        </is>
      </c>
      <c r="C95" s="4" t="inlineStr">
        <is>
          <t>メトグルコGE「サンド」</t>
        </is>
      </c>
      <c r="D95" s="4" t="inlineStr">
        <is>
          <t>卸A</t>
        </is>
      </c>
      <c r="E95" s="4" t="n">
        <v>19921</v>
      </c>
      <c r="F95" s="4" t="n">
        <v>175304</v>
      </c>
    </row>
    <row r="96">
      <c r="A96" s="5" t="inlineStr">
        <is>
          <t>2025-08</t>
        </is>
      </c>
      <c r="B96" s="5" t="inlineStr">
        <is>
          <t>SKU0101</t>
        </is>
      </c>
      <c r="C96" s="5" t="inlineStr">
        <is>
          <t>メトグルコGE「サンド」</t>
        </is>
      </c>
      <c r="D96" s="5" t="inlineStr">
        <is>
          <t>卸B</t>
        </is>
      </c>
      <c r="E96" s="5" t="n">
        <v>12773</v>
      </c>
      <c r="F96" s="5" t="n">
        <v>112396</v>
      </c>
    </row>
    <row r="97">
      <c r="A97" s="4" t="inlineStr">
        <is>
          <t>2025-08</t>
        </is>
      </c>
      <c r="B97" s="4" t="inlineStr">
        <is>
          <t>SKU0101</t>
        </is>
      </c>
      <c r="C97" s="4" t="inlineStr">
        <is>
          <t>メトグルコGE「サンド」</t>
        </is>
      </c>
      <c r="D97" s="4" t="inlineStr">
        <is>
          <t>卸C</t>
        </is>
      </c>
      <c r="E97" s="4" t="n">
        <v>6202</v>
      </c>
      <c r="F97" s="4" t="n">
        <v>54581</v>
      </c>
    </row>
    <row r="98">
      <c r="A98" s="5" t="inlineStr">
        <is>
          <t>2025-09</t>
        </is>
      </c>
      <c r="B98" s="5" t="inlineStr">
        <is>
          <t>SKU0101</t>
        </is>
      </c>
      <c r="C98" s="5" t="inlineStr">
        <is>
          <t>メトグルコGE「サンド」</t>
        </is>
      </c>
      <c r="D98" s="5" t="inlineStr">
        <is>
          <t>卸A</t>
        </is>
      </c>
      <c r="E98" s="5" t="n">
        <v>23165</v>
      </c>
      <c r="F98" s="5" t="n">
        <v>203850</v>
      </c>
    </row>
    <row r="99">
      <c r="A99" s="4" t="inlineStr">
        <is>
          <t>2025-09</t>
        </is>
      </c>
      <c r="B99" s="4" t="inlineStr">
        <is>
          <t>SKU0101</t>
        </is>
      </c>
      <c r="C99" s="4" t="inlineStr">
        <is>
          <t>メトグルコGE「サンド」</t>
        </is>
      </c>
      <c r="D99" s="4" t="inlineStr">
        <is>
          <t>卸B</t>
        </is>
      </c>
      <c r="E99" s="4" t="n">
        <v>15333</v>
      </c>
      <c r="F99" s="4" t="n">
        <v>134931</v>
      </c>
    </row>
    <row r="100">
      <c r="A100" s="5" t="inlineStr">
        <is>
          <t>2025-09</t>
        </is>
      </c>
      <c r="B100" s="5" t="inlineStr">
        <is>
          <t>SKU0101</t>
        </is>
      </c>
      <c r="C100" s="5" t="inlineStr">
        <is>
          <t>メトグルコGE「サンド」</t>
        </is>
      </c>
      <c r="D100" s="5" t="inlineStr">
        <is>
          <t>卸C</t>
        </is>
      </c>
      <c r="E100" s="5" t="n">
        <v>8870</v>
      </c>
      <c r="F100" s="5" t="n">
        <v>78051</v>
      </c>
    </row>
    <row r="101">
      <c r="A101" s="4" t="inlineStr">
        <is>
          <t>2025-10</t>
        </is>
      </c>
      <c r="B101" s="4" t="inlineStr">
        <is>
          <t>SKU0101</t>
        </is>
      </c>
      <c r="C101" s="4" t="inlineStr">
        <is>
          <t>メトグルコGE「サンド」</t>
        </is>
      </c>
      <c r="D101" s="4" t="inlineStr">
        <is>
          <t>卸A</t>
        </is>
      </c>
      <c r="E101" s="4" t="n">
        <v>27240</v>
      </c>
      <c r="F101" s="4" t="n">
        <v>239703</v>
      </c>
    </row>
    <row r="102">
      <c r="A102" s="5" t="inlineStr">
        <is>
          <t>2025-10</t>
        </is>
      </c>
      <c r="B102" s="5" t="inlineStr">
        <is>
          <t>SKU0101</t>
        </is>
      </c>
      <c r="C102" s="5" t="inlineStr">
        <is>
          <t>メトグルコGE「サンド」</t>
        </is>
      </c>
      <c r="D102" s="5" t="inlineStr">
        <is>
          <t>卸B</t>
        </is>
      </c>
      <c r="E102" s="5" t="n">
        <v>15565</v>
      </c>
      <c r="F102" s="5" t="n">
        <v>136974</v>
      </c>
    </row>
    <row r="103">
      <c r="A103" s="4" t="inlineStr">
        <is>
          <t>2025-10</t>
        </is>
      </c>
      <c r="B103" s="4" t="inlineStr">
        <is>
          <t>SKU0101</t>
        </is>
      </c>
      <c r="C103" s="4" t="inlineStr">
        <is>
          <t>メトグルコGE「サンド」</t>
        </is>
      </c>
      <c r="D103" s="4" t="inlineStr">
        <is>
          <t>卸C</t>
        </is>
      </c>
      <c r="E103" s="4" t="n">
        <v>10081</v>
      </c>
      <c r="F103" s="4" t="n">
        <v>88707</v>
      </c>
    </row>
    <row r="104">
      <c r="A104" s="5" t="inlineStr">
        <is>
          <t>2025-11</t>
        </is>
      </c>
      <c r="B104" s="5" t="inlineStr">
        <is>
          <t>SKU0101</t>
        </is>
      </c>
      <c r="C104" s="5" t="inlineStr">
        <is>
          <t>メトグルコGE「サンド」</t>
        </is>
      </c>
      <c r="D104" s="5" t="inlineStr">
        <is>
          <t>卸A</t>
        </is>
      </c>
      <c r="E104" s="5" t="n">
        <v>19718</v>
      </c>
      <c r="F104" s="5" t="n">
        <v>173516</v>
      </c>
    </row>
    <row r="105">
      <c r="A105" s="4" t="inlineStr">
        <is>
          <t>2025-11</t>
        </is>
      </c>
      <c r="B105" s="4" t="inlineStr">
        <is>
          <t>SKU0101</t>
        </is>
      </c>
      <c r="C105" s="4" t="inlineStr">
        <is>
          <t>メトグルコGE「サンド」</t>
        </is>
      </c>
      <c r="D105" s="4" t="inlineStr">
        <is>
          <t>卸B</t>
        </is>
      </c>
      <c r="E105" s="4" t="n">
        <v>15004</v>
      </c>
      <c r="F105" s="4" t="n">
        <v>132033</v>
      </c>
    </row>
    <row r="106">
      <c r="A106" s="5" t="inlineStr">
        <is>
          <t>2025-11</t>
        </is>
      </c>
      <c r="B106" s="5" t="inlineStr">
        <is>
          <t>SKU0101</t>
        </is>
      </c>
      <c r="C106" s="5" t="inlineStr">
        <is>
          <t>メトグルコGE「サンド」</t>
        </is>
      </c>
      <c r="D106" s="5" t="inlineStr">
        <is>
          <t>卸C</t>
        </is>
      </c>
      <c r="E106" s="5" t="n">
        <v>6599</v>
      </c>
      <c r="F106" s="5" t="n">
        <v>58071</v>
      </c>
    </row>
    <row r="107">
      <c r="A107" s="4" t="inlineStr">
        <is>
          <t>2025-12</t>
        </is>
      </c>
      <c r="B107" s="4" t="inlineStr">
        <is>
          <t>SKU0101</t>
        </is>
      </c>
      <c r="C107" s="4" t="inlineStr">
        <is>
          <t>メトグルコGE「サンド」</t>
        </is>
      </c>
      <c r="D107" s="4" t="inlineStr">
        <is>
          <t>卸A</t>
        </is>
      </c>
      <c r="E107" s="4" t="n">
        <v>27846</v>
      </c>
      <c r="F107" s="4" t="n">
        <v>245039</v>
      </c>
    </row>
    <row r="108">
      <c r="A108" s="5" t="inlineStr">
        <is>
          <t>2025-12</t>
        </is>
      </c>
      <c r="B108" s="5" t="inlineStr">
        <is>
          <t>SKU0101</t>
        </is>
      </c>
      <c r="C108" s="5" t="inlineStr">
        <is>
          <t>メトグルコGE「サンド」</t>
        </is>
      </c>
      <c r="D108" s="5" t="inlineStr">
        <is>
          <t>卸B</t>
        </is>
      </c>
      <c r="E108" s="5" t="n">
        <v>16422</v>
      </c>
      <c r="F108" s="5" t="n">
        <v>144507</v>
      </c>
    </row>
    <row r="109">
      <c r="A109" s="4" t="inlineStr">
        <is>
          <t>2025-12</t>
        </is>
      </c>
      <c r="B109" s="4" t="inlineStr">
        <is>
          <t>SKU0101</t>
        </is>
      </c>
      <c r="C109" s="4" t="inlineStr">
        <is>
          <t>メトグルコGE「サンド」</t>
        </is>
      </c>
      <c r="D109" s="4" t="inlineStr">
        <is>
          <t>卸C</t>
        </is>
      </c>
      <c r="E109" s="4" t="n">
        <v>10391</v>
      </c>
      <c r="F109" s="4" t="n">
        <v>91443</v>
      </c>
    </row>
    <row r="110">
      <c r="A110" s="5" t="inlineStr">
        <is>
          <t>2026-01</t>
        </is>
      </c>
      <c r="B110" s="5" t="inlineStr">
        <is>
          <t>SKU0101</t>
        </is>
      </c>
      <c r="C110" s="5" t="inlineStr">
        <is>
          <t>メトグルコGE「サンド」</t>
        </is>
      </c>
      <c r="D110" s="5" t="inlineStr">
        <is>
          <t>卸A</t>
        </is>
      </c>
      <c r="E110" s="5" t="n">
        <v>24473</v>
      </c>
      <c r="F110" s="5" t="n">
        <v>215355</v>
      </c>
    </row>
    <row r="111">
      <c r="A111" s="4" t="inlineStr">
        <is>
          <t>2026-01</t>
        </is>
      </c>
      <c r="B111" s="4" t="inlineStr">
        <is>
          <t>SKU0101</t>
        </is>
      </c>
      <c r="C111" s="4" t="inlineStr">
        <is>
          <t>メトグルコGE「サンド」</t>
        </is>
      </c>
      <c r="D111" s="4" t="inlineStr">
        <is>
          <t>卸B</t>
        </is>
      </c>
      <c r="E111" s="4" t="n">
        <v>15348</v>
      </c>
      <c r="F111" s="4" t="n">
        <v>135062</v>
      </c>
    </row>
    <row r="112">
      <c r="A112" s="5" t="inlineStr">
        <is>
          <t>2026-01</t>
        </is>
      </c>
      <c r="B112" s="5" t="inlineStr">
        <is>
          <t>SKU0101</t>
        </is>
      </c>
      <c r="C112" s="5" t="inlineStr">
        <is>
          <t>メトグルコGE「サンド」</t>
        </is>
      </c>
      <c r="D112" s="5" t="inlineStr">
        <is>
          <t>卸C</t>
        </is>
      </c>
      <c r="E112" s="5" t="n">
        <v>8327</v>
      </c>
      <c r="F112" s="5" t="n">
        <v>73276</v>
      </c>
    </row>
    <row r="113">
      <c r="A113" s="4" t="inlineStr">
        <is>
          <t>2026-02</t>
        </is>
      </c>
      <c r="B113" s="4" t="inlineStr">
        <is>
          <t>SKU0101</t>
        </is>
      </c>
      <c r="C113" s="4" t="inlineStr">
        <is>
          <t>メトグルコGE「サンド」</t>
        </is>
      </c>
      <c r="D113" s="4" t="inlineStr">
        <is>
          <t>卸A</t>
        </is>
      </c>
      <c r="E113" s="4" t="n">
        <v>25019</v>
      </c>
      <c r="F113" s="4" t="n">
        <v>220159</v>
      </c>
    </row>
    <row r="114">
      <c r="A114" s="5" t="inlineStr">
        <is>
          <t>2026-02</t>
        </is>
      </c>
      <c r="B114" s="5" t="inlineStr">
        <is>
          <t>SKU0101</t>
        </is>
      </c>
      <c r="C114" s="5" t="inlineStr">
        <is>
          <t>メトグルコGE「サンド」</t>
        </is>
      </c>
      <c r="D114" s="5" t="inlineStr">
        <is>
          <t>卸B</t>
        </is>
      </c>
      <c r="E114" s="5" t="n">
        <v>15732</v>
      </c>
      <c r="F114" s="5" t="n">
        <v>138441</v>
      </c>
    </row>
    <row r="115">
      <c r="A115" s="4" t="inlineStr">
        <is>
          <t>2026-02</t>
        </is>
      </c>
      <c r="B115" s="4" t="inlineStr">
        <is>
          <t>SKU0101</t>
        </is>
      </c>
      <c r="C115" s="4" t="inlineStr">
        <is>
          <t>メトグルコGE「サンド」</t>
        </is>
      </c>
      <c r="D115" s="4" t="inlineStr">
        <is>
          <t>卸C</t>
        </is>
      </c>
      <c r="E115" s="4" t="n">
        <v>11034</v>
      </c>
      <c r="F115" s="4" t="n">
        <v>97095</v>
      </c>
    </row>
    <row r="116">
      <c r="A116" s="5" t="inlineStr">
        <is>
          <t>2026-03</t>
        </is>
      </c>
      <c r="B116" s="5" t="inlineStr">
        <is>
          <t>SKU0101</t>
        </is>
      </c>
      <c r="C116" s="5" t="inlineStr">
        <is>
          <t>メトグルコGE「サンド」</t>
        </is>
      </c>
      <c r="D116" s="5" t="inlineStr">
        <is>
          <t>卸A</t>
        </is>
      </c>
      <c r="E116" s="5" t="n">
        <v>32509</v>
      </c>
      <c r="F116" s="5" t="n">
        <v>286076</v>
      </c>
    </row>
    <row r="117">
      <c r="A117" s="4" t="inlineStr">
        <is>
          <t>2026-03</t>
        </is>
      </c>
      <c r="B117" s="4" t="inlineStr">
        <is>
          <t>SKU0101</t>
        </is>
      </c>
      <c r="C117" s="4" t="inlineStr">
        <is>
          <t>メトグルコGE「サンド」</t>
        </is>
      </c>
      <c r="D117" s="4" t="inlineStr">
        <is>
          <t>卸B</t>
        </is>
      </c>
      <c r="E117" s="4" t="n">
        <v>18790</v>
      </c>
      <c r="F117" s="4" t="n">
        <v>165345</v>
      </c>
    </row>
    <row r="118">
      <c r="A118" s="5" t="inlineStr">
        <is>
          <t>2026-03</t>
        </is>
      </c>
      <c r="B118" s="5" t="inlineStr">
        <is>
          <t>SKU0101</t>
        </is>
      </c>
      <c r="C118" s="5" t="inlineStr">
        <is>
          <t>メトグルコGE「サンド」</t>
        </is>
      </c>
      <c r="D118" s="5" t="inlineStr">
        <is>
          <t>卸C</t>
        </is>
      </c>
      <c r="E118" s="5" t="n">
        <v>11155</v>
      </c>
      <c r="F118" s="5" t="n">
        <v>98164</v>
      </c>
    </row>
    <row r="119">
      <c r="A119" s="4" t="inlineStr">
        <is>
          <t>2026-04</t>
        </is>
      </c>
      <c r="B119" s="4" t="inlineStr">
        <is>
          <t>SKU0101</t>
        </is>
      </c>
      <c r="C119" s="4" t="inlineStr">
        <is>
          <t>メトグルコGE「サンド」</t>
        </is>
      </c>
      <c r="D119" s="4" t="inlineStr">
        <is>
          <t>卸A</t>
        </is>
      </c>
      <c r="E119" s="4" t="n">
        <v>10328</v>
      </c>
      <c r="F119" s="4" t="n">
        <v>85429</v>
      </c>
    </row>
    <row r="120">
      <c r="A120" s="5" t="inlineStr">
        <is>
          <t>2026-04</t>
        </is>
      </c>
      <c r="B120" s="5" t="inlineStr">
        <is>
          <t>SKU0101</t>
        </is>
      </c>
      <c r="C120" s="5" t="inlineStr">
        <is>
          <t>メトグルコGE「サンド」</t>
        </is>
      </c>
      <c r="D120" s="5" t="inlineStr">
        <is>
          <t>卸B</t>
        </is>
      </c>
      <c r="E120" s="5" t="n">
        <v>4947</v>
      </c>
      <c r="F120" s="5" t="n">
        <v>40925</v>
      </c>
    </row>
    <row r="121">
      <c r="A121" s="4" t="inlineStr">
        <is>
          <t>2026-04</t>
        </is>
      </c>
      <c r="B121" s="4" t="inlineStr">
        <is>
          <t>SKU0101</t>
        </is>
      </c>
      <c r="C121" s="4" t="inlineStr">
        <is>
          <t>メトグルコGE「サンド」</t>
        </is>
      </c>
      <c r="D121" s="4" t="inlineStr">
        <is>
          <t>卸C</t>
        </is>
      </c>
      <c r="E121" s="4" t="n">
        <v>1296</v>
      </c>
      <c r="F121" s="4" t="n">
        <v>10717</v>
      </c>
    </row>
    <row r="122">
      <c r="A122" s="5" t="inlineStr">
        <is>
          <t>2026-05</t>
        </is>
      </c>
      <c r="B122" s="5" t="inlineStr">
        <is>
          <t>SKU0101</t>
        </is>
      </c>
      <c r="C122" s="5" t="inlineStr">
        <is>
          <t>メトグルコGE「サンド」</t>
        </is>
      </c>
      <c r="D122" s="5" t="inlineStr">
        <is>
          <t>卸A</t>
        </is>
      </c>
      <c r="E122" s="5" t="n">
        <v>24498</v>
      </c>
      <c r="F122" s="5" t="n">
        <v>202643</v>
      </c>
    </row>
    <row r="123">
      <c r="A123" s="4" t="inlineStr">
        <is>
          <t>2026-05</t>
        </is>
      </c>
      <c r="B123" s="4" t="inlineStr">
        <is>
          <t>SKU0101</t>
        </is>
      </c>
      <c r="C123" s="4" t="inlineStr">
        <is>
          <t>メトグルコGE「サンド」</t>
        </is>
      </c>
      <c r="D123" s="4" t="inlineStr">
        <is>
          <t>卸B</t>
        </is>
      </c>
      <c r="E123" s="4" t="n">
        <v>15891</v>
      </c>
      <c r="F123" s="4" t="n">
        <v>131451</v>
      </c>
    </row>
    <row r="124">
      <c r="A124" s="5" t="inlineStr">
        <is>
          <t>2026-05</t>
        </is>
      </c>
      <c r="B124" s="5" t="inlineStr">
        <is>
          <t>SKU0101</t>
        </is>
      </c>
      <c r="C124" s="5" t="inlineStr">
        <is>
          <t>メトグルコGE「サンド」</t>
        </is>
      </c>
      <c r="D124" s="5" t="inlineStr">
        <is>
          <t>卸C</t>
        </is>
      </c>
      <c r="E124" s="5" t="n">
        <v>9380</v>
      </c>
      <c r="F124" s="5" t="n">
        <v>77590</v>
      </c>
    </row>
    <row r="125">
      <c r="A125" s="4" t="inlineStr">
        <is>
          <t>2023-01</t>
        </is>
      </c>
      <c r="B125" s="4" t="inlineStr">
        <is>
          <t>SKU0102</t>
        </is>
      </c>
      <c r="C125" s="4" t="inlineStr">
        <is>
          <t>メトグルコGE「サンド」</t>
        </is>
      </c>
      <c r="D125" s="4" t="inlineStr">
        <is>
          <t>卸A</t>
        </is>
      </c>
      <c r="E125" s="4" t="n">
        <v>17803</v>
      </c>
      <c r="F125" s="4" t="n">
        <v>170912</v>
      </c>
    </row>
    <row r="126">
      <c r="A126" s="5" t="inlineStr">
        <is>
          <t>2023-01</t>
        </is>
      </c>
      <c r="B126" s="5" t="inlineStr">
        <is>
          <t>SKU0102</t>
        </is>
      </c>
      <c r="C126" s="5" t="inlineStr">
        <is>
          <t>メトグルコGE「サンド」</t>
        </is>
      </c>
      <c r="D126" s="5" t="inlineStr">
        <is>
          <t>卸B</t>
        </is>
      </c>
      <c r="E126" s="5" t="n">
        <v>11484</v>
      </c>
      <c r="F126" s="5" t="n">
        <v>110250</v>
      </c>
    </row>
    <row r="127">
      <c r="A127" s="4" t="inlineStr">
        <is>
          <t>2023-01</t>
        </is>
      </c>
      <c r="B127" s="4" t="inlineStr">
        <is>
          <t>SKU0102</t>
        </is>
      </c>
      <c r="C127" s="4" t="inlineStr">
        <is>
          <t>メトグルコGE「サンド」</t>
        </is>
      </c>
      <c r="D127" s="4" t="inlineStr">
        <is>
          <t>卸C</t>
        </is>
      </c>
      <c r="E127" s="4" t="n">
        <v>6549</v>
      </c>
      <c r="F127" s="4" t="n">
        <v>62868</v>
      </c>
    </row>
    <row r="128">
      <c r="A128" s="5" t="inlineStr">
        <is>
          <t>2023-02</t>
        </is>
      </c>
      <c r="B128" s="5" t="inlineStr">
        <is>
          <t>SKU0102</t>
        </is>
      </c>
      <c r="C128" s="5" t="inlineStr">
        <is>
          <t>メトグルコGE「サンド」</t>
        </is>
      </c>
      <c r="D128" s="5" t="inlineStr">
        <is>
          <t>卸A</t>
        </is>
      </c>
      <c r="E128" s="5" t="n">
        <v>15489</v>
      </c>
      <c r="F128" s="5" t="n">
        <v>148694</v>
      </c>
    </row>
    <row r="129">
      <c r="A129" s="4" t="inlineStr">
        <is>
          <t>2023-02</t>
        </is>
      </c>
      <c r="B129" s="4" t="inlineStr">
        <is>
          <t>SKU0102</t>
        </is>
      </c>
      <c r="C129" s="4" t="inlineStr">
        <is>
          <t>メトグルコGE「サンド」</t>
        </is>
      </c>
      <c r="D129" s="4" t="inlineStr">
        <is>
          <t>卸B</t>
        </is>
      </c>
      <c r="E129" s="4" t="n">
        <v>9446</v>
      </c>
      <c r="F129" s="4" t="n">
        <v>90686</v>
      </c>
    </row>
    <row r="130">
      <c r="A130" s="5" t="inlineStr">
        <is>
          <t>2023-02</t>
        </is>
      </c>
      <c r="B130" s="5" t="inlineStr">
        <is>
          <t>SKU0102</t>
        </is>
      </c>
      <c r="C130" s="5" t="inlineStr">
        <is>
          <t>メトグルコGE「サンド」</t>
        </is>
      </c>
      <c r="D130" s="5" t="inlineStr">
        <is>
          <t>卸C</t>
        </is>
      </c>
      <c r="E130" s="5" t="n">
        <v>6309</v>
      </c>
      <c r="F130" s="5" t="n">
        <v>60571</v>
      </c>
    </row>
    <row r="131">
      <c r="A131" s="4" t="inlineStr">
        <is>
          <t>2023-03</t>
        </is>
      </c>
      <c r="B131" s="4" t="inlineStr">
        <is>
          <t>SKU0102</t>
        </is>
      </c>
      <c r="C131" s="4" t="inlineStr">
        <is>
          <t>メトグルコGE「サンド」</t>
        </is>
      </c>
      <c r="D131" s="4" t="inlineStr">
        <is>
          <t>卸A</t>
        </is>
      </c>
      <c r="E131" s="4" t="n">
        <v>21392</v>
      </c>
      <c r="F131" s="4" t="n">
        <v>205364</v>
      </c>
    </row>
    <row r="132">
      <c r="A132" s="5" t="inlineStr">
        <is>
          <t>2023-03</t>
        </is>
      </c>
      <c r="B132" s="5" t="inlineStr">
        <is>
          <t>SKU0102</t>
        </is>
      </c>
      <c r="C132" s="5" t="inlineStr">
        <is>
          <t>メトグルコGE「サンド」</t>
        </is>
      </c>
      <c r="D132" s="5" t="inlineStr">
        <is>
          <t>卸B</t>
        </is>
      </c>
      <c r="E132" s="5" t="n">
        <v>14530</v>
      </c>
      <c r="F132" s="5" t="n">
        <v>139488</v>
      </c>
    </row>
    <row r="133">
      <c r="A133" s="4" t="inlineStr">
        <is>
          <t>2023-03</t>
        </is>
      </c>
      <c r="B133" s="4" t="inlineStr">
        <is>
          <t>SKU0102</t>
        </is>
      </c>
      <c r="C133" s="4" t="inlineStr">
        <is>
          <t>メトグルコGE「サンド」</t>
        </is>
      </c>
      <c r="D133" s="4" t="inlineStr">
        <is>
          <t>卸C</t>
        </is>
      </c>
      <c r="E133" s="4" t="n">
        <v>6938</v>
      </c>
      <c r="F133" s="4" t="n">
        <v>66603</v>
      </c>
    </row>
    <row r="134">
      <c r="A134" s="5" t="inlineStr">
        <is>
          <t>2023-04</t>
        </is>
      </c>
      <c r="B134" s="5" t="inlineStr">
        <is>
          <t>SKU0102</t>
        </is>
      </c>
      <c r="C134" s="5" t="inlineStr">
        <is>
          <t>メトグルコGE「サンド」</t>
        </is>
      </c>
      <c r="D134" s="5" t="inlineStr">
        <is>
          <t>卸A</t>
        </is>
      </c>
      <c r="E134" s="5" t="n">
        <v>14938</v>
      </c>
      <c r="F134" s="5" t="n">
        <v>143404</v>
      </c>
    </row>
    <row r="135">
      <c r="A135" s="4" t="inlineStr">
        <is>
          <t>2023-04</t>
        </is>
      </c>
      <c r="B135" s="4" t="inlineStr">
        <is>
          <t>SKU0102</t>
        </is>
      </c>
      <c r="C135" s="4" t="inlineStr">
        <is>
          <t>メトグルコGE「サンド」</t>
        </is>
      </c>
      <c r="D135" s="4" t="inlineStr">
        <is>
          <t>卸B</t>
        </is>
      </c>
      <c r="E135" s="4" t="n">
        <v>7947</v>
      </c>
      <c r="F135" s="4" t="n">
        <v>76289</v>
      </c>
    </row>
    <row r="136">
      <c r="A136" s="5" t="inlineStr">
        <is>
          <t>2023-04</t>
        </is>
      </c>
      <c r="B136" s="5" t="inlineStr">
        <is>
          <t>SKU0102</t>
        </is>
      </c>
      <c r="C136" s="5" t="inlineStr">
        <is>
          <t>メトグルコGE「サンド」</t>
        </is>
      </c>
      <c r="D136" s="5" t="inlineStr">
        <is>
          <t>卸C</t>
        </is>
      </c>
      <c r="E136" s="5" t="n">
        <v>5582</v>
      </c>
      <c r="F136" s="5" t="n">
        <v>53585</v>
      </c>
    </row>
    <row r="137">
      <c r="A137" s="4" t="inlineStr">
        <is>
          <t>2023-05</t>
        </is>
      </c>
      <c r="B137" s="4" t="inlineStr">
        <is>
          <t>SKU0102</t>
        </is>
      </c>
      <c r="C137" s="4" t="inlineStr">
        <is>
          <t>メトグルコGE「サンド」</t>
        </is>
      </c>
      <c r="D137" s="4" t="inlineStr">
        <is>
          <t>卸A</t>
        </is>
      </c>
      <c r="E137" s="4" t="n">
        <v>20038</v>
      </c>
      <c r="F137" s="4" t="n">
        <v>192367</v>
      </c>
    </row>
    <row r="138">
      <c r="A138" s="5" t="inlineStr">
        <is>
          <t>2023-05</t>
        </is>
      </c>
      <c r="B138" s="5" t="inlineStr">
        <is>
          <t>SKU0102</t>
        </is>
      </c>
      <c r="C138" s="5" t="inlineStr">
        <is>
          <t>メトグルコGE「サンド」</t>
        </is>
      </c>
      <c r="D138" s="5" t="inlineStr">
        <is>
          <t>卸B</t>
        </is>
      </c>
      <c r="E138" s="5" t="n">
        <v>13462</v>
      </c>
      <c r="F138" s="5" t="n">
        <v>129238</v>
      </c>
    </row>
    <row r="139">
      <c r="A139" s="4" t="inlineStr">
        <is>
          <t>2023-05</t>
        </is>
      </c>
      <c r="B139" s="4" t="inlineStr">
        <is>
          <t>SKU0102</t>
        </is>
      </c>
      <c r="C139" s="4" t="inlineStr">
        <is>
          <t>メトグルコGE「サンド」</t>
        </is>
      </c>
      <c r="D139" s="4" t="inlineStr">
        <is>
          <t>卸C</t>
        </is>
      </c>
      <c r="E139" s="4" t="n">
        <v>6882</v>
      </c>
      <c r="F139" s="4" t="n">
        <v>66068</v>
      </c>
    </row>
    <row r="140">
      <c r="A140" s="5" t="inlineStr">
        <is>
          <t>2023-06</t>
        </is>
      </c>
      <c r="B140" s="5" t="inlineStr">
        <is>
          <t>SKU0102</t>
        </is>
      </c>
      <c r="C140" s="5" t="inlineStr">
        <is>
          <t>メトグルコGE「サンド」</t>
        </is>
      </c>
      <c r="D140" s="5" t="inlineStr">
        <is>
          <t>卸A</t>
        </is>
      </c>
      <c r="E140" s="5" t="n">
        <v>17327</v>
      </c>
      <c r="F140" s="5" t="n">
        <v>166336</v>
      </c>
    </row>
    <row r="141">
      <c r="A141" s="4" t="inlineStr">
        <is>
          <t>2023-06</t>
        </is>
      </c>
      <c r="B141" s="4" t="inlineStr">
        <is>
          <t>SKU0102</t>
        </is>
      </c>
      <c r="C141" s="4" t="inlineStr">
        <is>
          <t>メトグルコGE「サンド」</t>
        </is>
      </c>
      <c r="D141" s="4" t="inlineStr">
        <is>
          <t>卸B</t>
        </is>
      </c>
      <c r="E141" s="4" t="n">
        <v>10169</v>
      </c>
      <c r="F141" s="4" t="n">
        <v>97627</v>
      </c>
    </row>
    <row r="142">
      <c r="A142" s="5" t="inlineStr">
        <is>
          <t>2023-06</t>
        </is>
      </c>
      <c r="B142" s="5" t="inlineStr">
        <is>
          <t>SKU0102</t>
        </is>
      </c>
      <c r="C142" s="5" t="inlineStr">
        <is>
          <t>メトグルコGE「サンド」</t>
        </is>
      </c>
      <c r="D142" s="5" t="inlineStr">
        <is>
          <t>卸C</t>
        </is>
      </c>
      <c r="E142" s="5" t="n">
        <v>6458</v>
      </c>
      <c r="F142" s="5" t="n">
        <v>61993</v>
      </c>
    </row>
    <row r="143">
      <c r="A143" s="4" t="inlineStr">
        <is>
          <t>2023-07</t>
        </is>
      </c>
      <c r="B143" s="4" t="inlineStr">
        <is>
          <t>SKU0102</t>
        </is>
      </c>
      <c r="C143" s="4" t="inlineStr">
        <is>
          <t>メトグルコGE「サンド」</t>
        </is>
      </c>
      <c r="D143" s="4" t="inlineStr">
        <is>
          <t>卸A</t>
        </is>
      </c>
      <c r="E143" s="4" t="n">
        <v>13872</v>
      </c>
      <c r="F143" s="4" t="n">
        <v>133168</v>
      </c>
    </row>
    <row r="144">
      <c r="A144" s="5" t="inlineStr">
        <is>
          <t>2023-07</t>
        </is>
      </c>
      <c r="B144" s="5" t="inlineStr">
        <is>
          <t>SKU0102</t>
        </is>
      </c>
      <c r="C144" s="5" t="inlineStr">
        <is>
          <t>メトグルコGE「サンド」</t>
        </is>
      </c>
      <c r="D144" s="5" t="inlineStr">
        <is>
          <t>卸B</t>
        </is>
      </c>
      <c r="E144" s="5" t="n">
        <v>9822</v>
      </c>
      <c r="F144" s="5" t="n">
        <v>94294</v>
      </c>
    </row>
    <row r="145">
      <c r="A145" s="4" t="inlineStr">
        <is>
          <t>2023-07</t>
        </is>
      </c>
      <c r="B145" s="4" t="inlineStr">
        <is>
          <t>SKU0102</t>
        </is>
      </c>
      <c r="C145" s="4" t="inlineStr">
        <is>
          <t>メトグルコGE「サンド」</t>
        </is>
      </c>
      <c r="D145" s="4" t="inlineStr">
        <is>
          <t>卸C</t>
        </is>
      </c>
      <c r="E145" s="4" t="n">
        <v>6065</v>
      </c>
      <c r="F145" s="4" t="n">
        <v>58222</v>
      </c>
    </row>
    <row r="146">
      <c r="A146" s="5" t="inlineStr">
        <is>
          <t>2023-08</t>
        </is>
      </c>
      <c r="B146" s="5" t="inlineStr">
        <is>
          <t>SKU0102</t>
        </is>
      </c>
      <c r="C146" s="5" t="inlineStr">
        <is>
          <t>メトグルコGE「サンド」</t>
        </is>
      </c>
      <c r="D146" s="5" t="inlineStr">
        <is>
          <t>卸A</t>
        </is>
      </c>
      <c r="E146" s="5" t="n">
        <v>18055</v>
      </c>
      <c r="F146" s="5" t="n">
        <v>173332</v>
      </c>
    </row>
    <row r="147">
      <c r="A147" s="4" t="inlineStr">
        <is>
          <t>2023-08</t>
        </is>
      </c>
      <c r="B147" s="4" t="inlineStr">
        <is>
          <t>SKU0102</t>
        </is>
      </c>
      <c r="C147" s="4" t="inlineStr">
        <is>
          <t>メトグルコGE「サンド」</t>
        </is>
      </c>
      <c r="D147" s="4" t="inlineStr">
        <is>
          <t>卸B</t>
        </is>
      </c>
      <c r="E147" s="4" t="n">
        <v>13139</v>
      </c>
      <c r="F147" s="4" t="n">
        <v>126136</v>
      </c>
    </row>
    <row r="148">
      <c r="A148" s="5" t="inlineStr">
        <is>
          <t>2023-08</t>
        </is>
      </c>
      <c r="B148" s="5" t="inlineStr">
        <is>
          <t>SKU0102</t>
        </is>
      </c>
      <c r="C148" s="5" t="inlineStr">
        <is>
          <t>メトグルコGE「サンド」</t>
        </is>
      </c>
      <c r="D148" s="5" t="inlineStr">
        <is>
          <t>卸C</t>
        </is>
      </c>
      <c r="E148" s="5" t="n">
        <v>7263</v>
      </c>
      <c r="F148" s="5" t="n">
        <v>69724</v>
      </c>
    </row>
    <row r="149">
      <c r="A149" s="4" t="inlineStr">
        <is>
          <t>2023-09</t>
        </is>
      </c>
      <c r="B149" s="4" t="inlineStr">
        <is>
          <t>SKU0102</t>
        </is>
      </c>
      <c r="C149" s="4" t="inlineStr">
        <is>
          <t>メトグルコGE「サンド」</t>
        </is>
      </c>
      <c r="D149" s="4" t="inlineStr">
        <is>
          <t>卸A</t>
        </is>
      </c>
      <c r="E149" s="4" t="n">
        <v>18172</v>
      </c>
      <c r="F149" s="4" t="n">
        <v>174447</v>
      </c>
    </row>
    <row r="150">
      <c r="A150" s="5" t="inlineStr">
        <is>
          <t>2023-09</t>
        </is>
      </c>
      <c r="B150" s="5" t="inlineStr">
        <is>
          <t>SKU0102</t>
        </is>
      </c>
      <c r="C150" s="5" t="inlineStr">
        <is>
          <t>メトグルコGE「サンド」</t>
        </is>
      </c>
      <c r="D150" s="5" t="inlineStr">
        <is>
          <t>卸B</t>
        </is>
      </c>
      <c r="E150" s="5" t="n">
        <v>12724</v>
      </c>
      <c r="F150" s="5" t="n">
        <v>122155</v>
      </c>
    </row>
    <row r="151">
      <c r="A151" s="4" t="inlineStr">
        <is>
          <t>2023-09</t>
        </is>
      </c>
      <c r="B151" s="4" t="inlineStr">
        <is>
          <t>SKU0102</t>
        </is>
      </c>
      <c r="C151" s="4" t="inlineStr">
        <is>
          <t>メトグルコGE「サンド」</t>
        </is>
      </c>
      <c r="D151" s="4" t="inlineStr">
        <is>
          <t>卸C</t>
        </is>
      </c>
      <c r="E151" s="4" t="n">
        <v>6202</v>
      </c>
      <c r="F151" s="4" t="n">
        <v>59542</v>
      </c>
    </row>
    <row r="152">
      <c r="A152" s="5" t="inlineStr">
        <is>
          <t>2023-10</t>
        </is>
      </c>
      <c r="B152" s="5" t="inlineStr">
        <is>
          <t>SKU0102</t>
        </is>
      </c>
      <c r="C152" s="5" t="inlineStr">
        <is>
          <t>メトグルコGE「サンド」</t>
        </is>
      </c>
      <c r="D152" s="5" t="inlineStr">
        <is>
          <t>卸A</t>
        </is>
      </c>
      <c r="E152" s="5" t="n">
        <v>16966</v>
      </c>
      <c r="F152" s="5" t="n">
        <v>162873</v>
      </c>
    </row>
    <row r="153">
      <c r="A153" s="4" t="inlineStr">
        <is>
          <t>2023-10</t>
        </is>
      </c>
      <c r="B153" s="4" t="inlineStr">
        <is>
          <t>SKU0102</t>
        </is>
      </c>
      <c r="C153" s="4" t="inlineStr">
        <is>
          <t>メトグルコGE「サンド」</t>
        </is>
      </c>
      <c r="D153" s="4" t="inlineStr">
        <is>
          <t>卸B</t>
        </is>
      </c>
      <c r="E153" s="4" t="n">
        <v>8170</v>
      </c>
      <c r="F153" s="4" t="n">
        <v>78428</v>
      </c>
    </row>
    <row r="154">
      <c r="A154" s="5" t="inlineStr">
        <is>
          <t>2023-10</t>
        </is>
      </c>
      <c r="B154" s="5" t="inlineStr">
        <is>
          <t>SKU0102</t>
        </is>
      </c>
      <c r="C154" s="5" t="inlineStr">
        <is>
          <t>メトグルコGE「サンド」</t>
        </is>
      </c>
      <c r="D154" s="5" t="inlineStr">
        <is>
          <t>卸C</t>
        </is>
      </c>
      <c r="E154" s="5" t="n">
        <v>5466</v>
      </c>
      <c r="F154" s="5" t="n">
        <v>52470</v>
      </c>
    </row>
    <row r="155">
      <c r="A155" s="4" t="inlineStr">
        <is>
          <t>2023-11</t>
        </is>
      </c>
      <c r="B155" s="4" t="inlineStr">
        <is>
          <t>SKU0102</t>
        </is>
      </c>
      <c r="C155" s="4" t="inlineStr">
        <is>
          <t>メトグルコGE「サンド」</t>
        </is>
      </c>
      <c r="D155" s="4" t="inlineStr">
        <is>
          <t>卸A</t>
        </is>
      </c>
      <c r="E155" s="4" t="n">
        <v>17541</v>
      </c>
      <c r="F155" s="4" t="n">
        <v>168391</v>
      </c>
    </row>
    <row r="156">
      <c r="A156" s="5" t="inlineStr">
        <is>
          <t>2023-11</t>
        </is>
      </c>
      <c r="B156" s="5" t="inlineStr">
        <is>
          <t>SKU0102</t>
        </is>
      </c>
      <c r="C156" s="5" t="inlineStr">
        <is>
          <t>メトグルコGE「サンド」</t>
        </is>
      </c>
      <c r="D156" s="5" t="inlineStr">
        <is>
          <t>卸B</t>
        </is>
      </c>
      <c r="E156" s="5" t="n">
        <v>13245</v>
      </c>
      <c r="F156" s="5" t="n">
        <v>127149</v>
      </c>
    </row>
    <row r="157">
      <c r="A157" s="4" t="inlineStr">
        <is>
          <t>2023-11</t>
        </is>
      </c>
      <c r="B157" s="4" t="inlineStr">
        <is>
          <t>SKU0102</t>
        </is>
      </c>
      <c r="C157" s="4" t="inlineStr">
        <is>
          <t>メトグルコGE「サンド」</t>
        </is>
      </c>
      <c r="D157" s="4" t="inlineStr">
        <is>
          <t>卸C</t>
        </is>
      </c>
      <c r="E157" s="4" t="n">
        <v>7249</v>
      </c>
      <c r="F157" s="4" t="n">
        <v>69589</v>
      </c>
    </row>
    <row r="158">
      <c r="A158" s="5" t="inlineStr">
        <is>
          <t>2023-12</t>
        </is>
      </c>
      <c r="B158" s="5" t="inlineStr">
        <is>
          <t>SKU0102</t>
        </is>
      </c>
      <c r="C158" s="5" t="inlineStr">
        <is>
          <t>メトグルコGE「サンド」</t>
        </is>
      </c>
      <c r="D158" s="5" t="inlineStr">
        <is>
          <t>卸A</t>
        </is>
      </c>
      <c r="E158" s="5" t="n">
        <v>20353</v>
      </c>
      <c r="F158" s="5" t="n">
        <v>195384</v>
      </c>
    </row>
    <row r="159">
      <c r="A159" s="4" t="inlineStr">
        <is>
          <t>2023-12</t>
        </is>
      </c>
      <c r="B159" s="4" t="inlineStr">
        <is>
          <t>SKU0102</t>
        </is>
      </c>
      <c r="C159" s="4" t="inlineStr">
        <is>
          <t>メトグルコGE「サンド」</t>
        </is>
      </c>
      <c r="D159" s="4" t="inlineStr">
        <is>
          <t>卸B</t>
        </is>
      </c>
      <c r="E159" s="4" t="n">
        <v>12604</v>
      </c>
      <c r="F159" s="4" t="n">
        <v>121002</v>
      </c>
    </row>
    <row r="160">
      <c r="A160" s="5" t="inlineStr">
        <is>
          <t>2023-12</t>
        </is>
      </c>
      <c r="B160" s="5" t="inlineStr">
        <is>
          <t>SKU0102</t>
        </is>
      </c>
      <c r="C160" s="5" t="inlineStr">
        <is>
          <t>メトグルコGE「サンド」</t>
        </is>
      </c>
      <c r="D160" s="5" t="inlineStr">
        <is>
          <t>卸C</t>
        </is>
      </c>
      <c r="E160" s="5" t="n">
        <v>6783</v>
      </c>
      <c r="F160" s="5" t="n">
        <v>65117</v>
      </c>
    </row>
    <row r="161">
      <c r="A161" s="4" t="inlineStr">
        <is>
          <t>2024-01</t>
        </is>
      </c>
      <c r="B161" s="4" t="inlineStr">
        <is>
          <t>SKU0102</t>
        </is>
      </c>
      <c r="C161" s="4" t="inlineStr">
        <is>
          <t>メトグルコGE「サンド」</t>
        </is>
      </c>
      <c r="D161" s="4" t="inlineStr">
        <is>
          <t>卸A</t>
        </is>
      </c>
      <c r="E161" s="4" t="n">
        <v>18323</v>
      </c>
      <c r="F161" s="4" t="n">
        <v>175899</v>
      </c>
    </row>
    <row r="162">
      <c r="A162" s="5" t="inlineStr">
        <is>
          <t>2024-01</t>
        </is>
      </c>
      <c r="B162" s="5" t="inlineStr">
        <is>
          <t>SKU0102</t>
        </is>
      </c>
      <c r="C162" s="5" t="inlineStr">
        <is>
          <t>メトグルコGE「サンド」</t>
        </is>
      </c>
      <c r="D162" s="5" t="inlineStr">
        <is>
          <t>卸B</t>
        </is>
      </c>
      <c r="E162" s="5" t="n">
        <v>11893</v>
      </c>
      <c r="F162" s="5" t="n">
        <v>114171</v>
      </c>
    </row>
    <row r="163">
      <c r="A163" s="4" t="inlineStr">
        <is>
          <t>2024-01</t>
        </is>
      </c>
      <c r="B163" s="4" t="inlineStr">
        <is>
          <t>SKU0102</t>
        </is>
      </c>
      <c r="C163" s="4" t="inlineStr">
        <is>
          <t>メトグルコGE「サンド」</t>
        </is>
      </c>
      <c r="D163" s="4" t="inlineStr">
        <is>
          <t>卸C</t>
        </is>
      </c>
      <c r="E163" s="4" t="n">
        <v>5281</v>
      </c>
      <c r="F163" s="4" t="n">
        <v>50697</v>
      </c>
    </row>
    <row r="164">
      <c r="A164" s="5" t="inlineStr">
        <is>
          <t>2024-02</t>
        </is>
      </c>
      <c r="B164" s="5" t="inlineStr">
        <is>
          <t>SKU0102</t>
        </is>
      </c>
      <c r="C164" s="5" t="inlineStr">
        <is>
          <t>メトグルコGE「サンド」</t>
        </is>
      </c>
      <c r="D164" s="5" t="inlineStr">
        <is>
          <t>卸A</t>
        </is>
      </c>
      <c r="E164" s="5" t="n">
        <v>19507</v>
      </c>
      <c r="F164" s="5" t="n">
        <v>187267</v>
      </c>
    </row>
    <row r="165">
      <c r="A165" s="4" t="inlineStr">
        <is>
          <t>2024-02</t>
        </is>
      </c>
      <c r="B165" s="4" t="inlineStr">
        <is>
          <t>SKU0102</t>
        </is>
      </c>
      <c r="C165" s="4" t="inlineStr">
        <is>
          <t>メトグルコGE「サンド」</t>
        </is>
      </c>
      <c r="D165" s="4" t="inlineStr">
        <is>
          <t>卸B</t>
        </is>
      </c>
      <c r="E165" s="4" t="n">
        <v>11591</v>
      </c>
      <c r="F165" s="4" t="n">
        <v>111275</v>
      </c>
    </row>
    <row r="166">
      <c r="A166" s="5" t="inlineStr">
        <is>
          <t>2024-02</t>
        </is>
      </c>
      <c r="B166" s="5" t="inlineStr">
        <is>
          <t>SKU0102</t>
        </is>
      </c>
      <c r="C166" s="5" t="inlineStr">
        <is>
          <t>メトグルコGE「サンド」</t>
        </is>
      </c>
      <c r="D166" s="5" t="inlineStr">
        <is>
          <t>卸C</t>
        </is>
      </c>
      <c r="E166" s="5" t="n">
        <v>7672</v>
      </c>
      <c r="F166" s="5" t="n">
        <v>73650</v>
      </c>
    </row>
    <row r="167">
      <c r="A167" s="4" t="inlineStr">
        <is>
          <t>2024-03</t>
        </is>
      </c>
      <c r="B167" s="4" t="inlineStr">
        <is>
          <t>SKU0102</t>
        </is>
      </c>
      <c r="C167" s="4" t="inlineStr">
        <is>
          <t>メトグルコGE「サンド」</t>
        </is>
      </c>
      <c r="D167" s="4" t="inlineStr">
        <is>
          <t>卸A</t>
        </is>
      </c>
      <c r="E167" s="4" t="n">
        <v>25294</v>
      </c>
      <c r="F167" s="4" t="n">
        <v>242824</v>
      </c>
    </row>
    <row r="168">
      <c r="A168" s="5" t="inlineStr">
        <is>
          <t>2024-03</t>
        </is>
      </c>
      <c r="B168" s="5" t="inlineStr">
        <is>
          <t>SKU0102</t>
        </is>
      </c>
      <c r="C168" s="5" t="inlineStr">
        <is>
          <t>メトグルコGE「サンド」</t>
        </is>
      </c>
      <c r="D168" s="5" t="inlineStr">
        <is>
          <t>卸B</t>
        </is>
      </c>
      <c r="E168" s="5" t="n">
        <v>16345</v>
      </c>
      <c r="F168" s="5" t="n">
        <v>156911</v>
      </c>
    </row>
    <row r="169">
      <c r="A169" s="4" t="inlineStr">
        <is>
          <t>2024-03</t>
        </is>
      </c>
      <c r="B169" s="4" t="inlineStr">
        <is>
          <t>SKU0102</t>
        </is>
      </c>
      <c r="C169" s="4" t="inlineStr">
        <is>
          <t>メトグルコGE「サンド」</t>
        </is>
      </c>
      <c r="D169" s="4" t="inlineStr">
        <is>
          <t>卸C</t>
        </is>
      </c>
      <c r="E169" s="4" t="n">
        <v>7960</v>
      </c>
      <c r="F169" s="4" t="n">
        <v>76412</v>
      </c>
    </row>
    <row r="170">
      <c r="A170" s="5" t="inlineStr">
        <is>
          <t>2024-04</t>
        </is>
      </c>
      <c r="B170" s="5" t="inlineStr">
        <is>
          <t>SKU0102</t>
        </is>
      </c>
      <c r="C170" s="5" t="inlineStr">
        <is>
          <t>メトグルコGE「サンド」</t>
        </is>
      </c>
      <c r="D170" s="5" t="inlineStr">
        <is>
          <t>卸A</t>
        </is>
      </c>
      <c r="E170" s="5" t="n">
        <v>5009</v>
      </c>
      <c r="F170" s="5" t="n">
        <v>45446</v>
      </c>
    </row>
    <row r="171">
      <c r="A171" s="4" t="inlineStr">
        <is>
          <t>2024-04</t>
        </is>
      </c>
      <c r="B171" s="4" t="inlineStr">
        <is>
          <t>SKU0102</t>
        </is>
      </c>
      <c r="C171" s="4" t="inlineStr">
        <is>
          <t>メトグルコGE「サンド」</t>
        </is>
      </c>
      <c r="D171" s="4" t="inlineStr">
        <is>
          <t>卸B</t>
        </is>
      </c>
      <c r="E171" s="4" t="n">
        <v>2661</v>
      </c>
      <c r="F171" s="4" t="n">
        <v>24136</v>
      </c>
    </row>
    <row r="172">
      <c r="A172" s="5" t="inlineStr">
        <is>
          <t>2024-04</t>
        </is>
      </c>
      <c r="B172" s="5" t="inlineStr">
        <is>
          <t>SKU0102</t>
        </is>
      </c>
      <c r="C172" s="5" t="inlineStr">
        <is>
          <t>メトグルコGE「サンド」</t>
        </is>
      </c>
      <c r="D172" s="5" t="inlineStr">
        <is>
          <t>卸C</t>
        </is>
      </c>
      <c r="E172" s="5" t="n">
        <v>2470</v>
      </c>
      <c r="F172" s="5" t="n">
        <v>22404</v>
      </c>
    </row>
    <row r="173">
      <c r="A173" s="4" t="inlineStr">
        <is>
          <t>2024-05</t>
        </is>
      </c>
      <c r="B173" s="4" t="inlineStr">
        <is>
          <t>SKU0102</t>
        </is>
      </c>
      <c r="C173" s="4" t="inlineStr">
        <is>
          <t>メトグルコGE「サンド」</t>
        </is>
      </c>
      <c r="D173" s="4" t="inlineStr">
        <is>
          <t>卸A</t>
        </is>
      </c>
      <c r="E173" s="4" t="n">
        <v>18351</v>
      </c>
      <c r="F173" s="4" t="n">
        <v>166477</v>
      </c>
    </row>
    <row r="174">
      <c r="A174" s="5" t="inlineStr">
        <is>
          <t>2024-05</t>
        </is>
      </c>
      <c r="B174" s="5" t="inlineStr">
        <is>
          <t>SKU0102</t>
        </is>
      </c>
      <c r="C174" s="5" t="inlineStr">
        <is>
          <t>メトグルコGE「サンド」</t>
        </is>
      </c>
      <c r="D174" s="5" t="inlineStr">
        <is>
          <t>卸B</t>
        </is>
      </c>
      <c r="E174" s="5" t="n">
        <v>12278</v>
      </c>
      <c r="F174" s="5" t="n">
        <v>111390</v>
      </c>
    </row>
    <row r="175">
      <c r="A175" s="4" t="inlineStr">
        <is>
          <t>2024-05</t>
        </is>
      </c>
      <c r="B175" s="4" t="inlineStr">
        <is>
          <t>SKU0102</t>
        </is>
      </c>
      <c r="C175" s="4" t="inlineStr">
        <is>
          <t>メトグルコGE「サンド」</t>
        </is>
      </c>
      <c r="D175" s="4" t="inlineStr">
        <is>
          <t>卸C</t>
        </is>
      </c>
      <c r="E175" s="4" t="n">
        <v>6705</v>
      </c>
      <c r="F175" s="4" t="n">
        <v>60828</v>
      </c>
    </row>
    <row r="176">
      <c r="A176" s="5" t="inlineStr">
        <is>
          <t>2024-06</t>
        </is>
      </c>
      <c r="B176" s="5" t="inlineStr">
        <is>
          <t>SKU0102</t>
        </is>
      </c>
      <c r="C176" s="5" t="inlineStr">
        <is>
          <t>メトグルコGE「サンド」</t>
        </is>
      </c>
      <c r="D176" s="5" t="inlineStr">
        <is>
          <t>卸A</t>
        </is>
      </c>
      <c r="E176" s="5" t="n">
        <v>18508</v>
      </c>
      <c r="F176" s="5" t="n">
        <v>167907</v>
      </c>
    </row>
    <row r="177">
      <c r="A177" s="4" t="inlineStr">
        <is>
          <t>2024-06</t>
        </is>
      </c>
      <c r="B177" s="4" t="inlineStr">
        <is>
          <t>SKU0102</t>
        </is>
      </c>
      <c r="C177" s="4" t="inlineStr">
        <is>
          <t>メトグルコGE「サンド」</t>
        </is>
      </c>
      <c r="D177" s="4" t="inlineStr">
        <is>
          <t>卸B</t>
        </is>
      </c>
      <c r="E177" s="4" t="n">
        <v>11169</v>
      </c>
      <c r="F177" s="4" t="n">
        <v>101324</v>
      </c>
    </row>
    <row r="178">
      <c r="A178" s="5" t="inlineStr">
        <is>
          <t>2024-06</t>
        </is>
      </c>
      <c r="B178" s="5" t="inlineStr">
        <is>
          <t>SKU0102</t>
        </is>
      </c>
      <c r="C178" s="5" t="inlineStr">
        <is>
          <t>メトグルコGE「サンド」</t>
        </is>
      </c>
      <c r="D178" s="5" t="inlineStr">
        <is>
          <t>卸C</t>
        </is>
      </c>
      <c r="E178" s="5" t="n">
        <v>7207</v>
      </c>
      <c r="F178" s="5" t="n">
        <v>65385</v>
      </c>
    </row>
    <row r="179">
      <c r="A179" s="4" t="inlineStr">
        <is>
          <t>2024-07</t>
        </is>
      </c>
      <c r="B179" s="4" t="inlineStr">
        <is>
          <t>SKU0102</t>
        </is>
      </c>
      <c r="C179" s="4" t="inlineStr">
        <is>
          <t>メトグルコGE「サンド」</t>
        </is>
      </c>
      <c r="D179" s="4" t="inlineStr">
        <is>
          <t>卸A</t>
        </is>
      </c>
      <c r="E179" s="4" t="n">
        <v>20181</v>
      </c>
      <c r="F179" s="4" t="n">
        <v>183079</v>
      </c>
    </row>
    <row r="180">
      <c r="A180" s="5" t="inlineStr">
        <is>
          <t>2024-07</t>
        </is>
      </c>
      <c r="B180" s="5" t="inlineStr">
        <is>
          <t>SKU0102</t>
        </is>
      </c>
      <c r="C180" s="5" t="inlineStr">
        <is>
          <t>メトグルコGE「サンド」</t>
        </is>
      </c>
      <c r="D180" s="5" t="inlineStr">
        <is>
          <t>卸B</t>
        </is>
      </c>
      <c r="E180" s="5" t="n">
        <v>11170</v>
      </c>
      <c r="F180" s="5" t="n">
        <v>101336</v>
      </c>
    </row>
    <row r="181">
      <c r="A181" s="4" t="inlineStr">
        <is>
          <t>2024-07</t>
        </is>
      </c>
      <c r="B181" s="4" t="inlineStr">
        <is>
          <t>SKU0102</t>
        </is>
      </c>
      <c r="C181" s="4" t="inlineStr">
        <is>
          <t>メトグルコGE「サンド」</t>
        </is>
      </c>
      <c r="D181" s="4" t="inlineStr">
        <is>
          <t>卸C</t>
        </is>
      </c>
      <c r="E181" s="4" t="n">
        <v>7920</v>
      </c>
      <c r="F181" s="4" t="n">
        <v>71847</v>
      </c>
    </row>
    <row r="182">
      <c r="A182" s="5" t="inlineStr">
        <is>
          <t>2024-08</t>
        </is>
      </c>
      <c r="B182" s="5" t="inlineStr">
        <is>
          <t>SKU0102</t>
        </is>
      </c>
      <c r="C182" s="5" t="inlineStr">
        <is>
          <t>メトグルコGE「サンド」</t>
        </is>
      </c>
      <c r="D182" s="5" t="inlineStr">
        <is>
          <t>卸A</t>
        </is>
      </c>
      <c r="E182" s="5" t="n">
        <v>16659</v>
      </c>
      <c r="F182" s="5" t="n">
        <v>151128</v>
      </c>
    </row>
    <row r="183">
      <c r="A183" s="4" t="inlineStr">
        <is>
          <t>2024-08</t>
        </is>
      </c>
      <c r="B183" s="4" t="inlineStr">
        <is>
          <t>SKU0102</t>
        </is>
      </c>
      <c r="C183" s="4" t="inlineStr">
        <is>
          <t>メトグルコGE「サンド」</t>
        </is>
      </c>
      <c r="D183" s="4" t="inlineStr">
        <is>
          <t>卸B</t>
        </is>
      </c>
      <c r="E183" s="4" t="n">
        <v>13946</v>
      </c>
      <c r="F183" s="4" t="n">
        <v>126514</v>
      </c>
    </row>
    <row r="184">
      <c r="A184" s="5" t="inlineStr">
        <is>
          <t>2024-08</t>
        </is>
      </c>
      <c r="B184" s="5" t="inlineStr">
        <is>
          <t>SKU0102</t>
        </is>
      </c>
      <c r="C184" s="5" t="inlineStr">
        <is>
          <t>メトグルコGE「サンド」</t>
        </is>
      </c>
      <c r="D184" s="5" t="inlineStr">
        <is>
          <t>卸C</t>
        </is>
      </c>
      <c r="E184" s="5" t="n">
        <v>5972</v>
      </c>
      <c r="F184" s="5" t="n">
        <v>54179</v>
      </c>
    </row>
    <row r="185">
      <c r="A185" s="4" t="inlineStr">
        <is>
          <t>2024-09</t>
        </is>
      </c>
      <c r="B185" s="4" t="inlineStr">
        <is>
          <t>SKU0102</t>
        </is>
      </c>
      <c r="C185" s="4" t="inlineStr">
        <is>
          <t>メトグルコGE「サンド」</t>
        </is>
      </c>
      <c r="D185" s="4" t="inlineStr">
        <is>
          <t>卸A</t>
        </is>
      </c>
      <c r="E185" s="4" t="n">
        <v>17582</v>
      </c>
      <c r="F185" s="4" t="n">
        <v>159501</v>
      </c>
    </row>
    <row r="186">
      <c r="A186" s="5" t="inlineStr">
        <is>
          <t>2024-09</t>
        </is>
      </c>
      <c r="B186" s="5" t="inlineStr">
        <is>
          <t>SKU0102</t>
        </is>
      </c>
      <c r="C186" s="5" t="inlineStr">
        <is>
          <t>メトグルコGE「サンド」</t>
        </is>
      </c>
      <c r="D186" s="5" t="inlineStr">
        <is>
          <t>卸B</t>
        </is>
      </c>
      <c r="E186" s="5" t="n">
        <v>10923</v>
      </c>
      <c r="F186" s="5" t="n">
        <v>99090</v>
      </c>
    </row>
    <row r="187">
      <c r="A187" s="4" t="inlineStr">
        <is>
          <t>2024-09</t>
        </is>
      </c>
      <c r="B187" s="4" t="inlineStr">
        <is>
          <t>SKU0102</t>
        </is>
      </c>
      <c r="C187" s="4" t="inlineStr">
        <is>
          <t>メトグルコGE「サンド」</t>
        </is>
      </c>
      <c r="D187" s="4" t="inlineStr">
        <is>
          <t>卸C</t>
        </is>
      </c>
      <c r="E187" s="4" t="n">
        <v>6815</v>
      </c>
      <c r="F187" s="4" t="n">
        <v>61828</v>
      </c>
    </row>
    <row r="188">
      <c r="A188" s="5" t="inlineStr">
        <is>
          <t>2024-10</t>
        </is>
      </c>
      <c r="B188" s="5" t="inlineStr">
        <is>
          <t>SKU0102</t>
        </is>
      </c>
      <c r="C188" s="5" t="inlineStr">
        <is>
          <t>メトグルコGE「サンド」</t>
        </is>
      </c>
      <c r="D188" s="5" t="inlineStr">
        <is>
          <t>卸A</t>
        </is>
      </c>
      <c r="E188" s="5" t="n">
        <v>17574</v>
      </c>
      <c r="F188" s="5" t="n">
        <v>159433</v>
      </c>
    </row>
    <row r="189">
      <c r="A189" s="4" t="inlineStr">
        <is>
          <t>2024-10</t>
        </is>
      </c>
      <c r="B189" s="4" t="inlineStr">
        <is>
          <t>SKU0102</t>
        </is>
      </c>
      <c r="C189" s="4" t="inlineStr">
        <is>
          <t>メトグルコGE「サンド」</t>
        </is>
      </c>
      <c r="D189" s="4" t="inlineStr">
        <is>
          <t>卸B</t>
        </is>
      </c>
      <c r="E189" s="4" t="n">
        <v>10778</v>
      </c>
      <c r="F189" s="4" t="n">
        <v>97775</v>
      </c>
    </row>
    <row r="190">
      <c r="A190" s="5" t="inlineStr">
        <is>
          <t>2024-10</t>
        </is>
      </c>
      <c r="B190" s="5" t="inlineStr">
        <is>
          <t>SKU0102</t>
        </is>
      </c>
      <c r="C190" s="5" t="inlineStr">
        <is>
          <t>メトグルコGE「サンド」</t>
        </is>
      </c>
      <c r="D190" s="5" t="inlineStr">
        <is>
          <t>卸C</t>
        </is>
      </c>
      <c r="E190" s="5" t="n">
        <v>5309</v>
      </c>
      <c r="F190" s="5" t="n">
        <v>48164</v>
      </c>
    </row>
    <row r="191">
      <c r="A191" s="4" t="inlineStr">
        <is>
          <t>2024-11</t>
        </is>
      </c>
      <c r="B191" s="4" t="inlineStr">
        <is>
          <t>SKU0102</t>
        </is>
      </c>
      <c r="C191" s="4" t="inlineStr">
        <is>
          <t>メトグルコGE「サンド」</t>
        </is>
      </c>
      <c r="D191" s="4" t="inlineStr">
        <is>
          <t>卸A</t>
        </is>
      </c>
      <c r="E191" s="4" t="n">
        <v>14500</v>
      </c>
      <c r="F191" s="4" t="n">
        <v>131540</v>
      </c>
    </row>
    <row r="192">
      <c r="A192" s="5" t="inlineStr">
        <is>
          <t>2024-11</t>
        </is>
      </c>
      <c r="B192" s="5" t="inlineStr">
        <is>
          <t>SKU0102</t>
        </is>
      </c>
      <c r="C192" s="5" t="inlineStr">
        <is>
          <t>メトグルコGE「サンド」</t>
        </is>
      </c>
      <c r="D192" s="5" t="inlineStr">
        <is>
          <t>卸B</t>
        </is>
      </c>
      <c r="E192" s="5" t="n">
        <v>9611</v>
      </c>
      <c r="F192" s="5" t="n">
        <v>87192</v>
      </c>
    </row>
    <row r="193">
      <c r="A193" s="4" t="inlineStr">
        <is>
          <t>2024-11</t>
        </is>
      </c>
      <c r="B193" s="4" t="inlineStr">
        <is>
          <t>SKU0102</t>
        </is>
      </c>
      <c r="C193" s="4" t="inlineStr">
        <is>
          <t>メトグルコGE「サンド」</t>
        </is>
      </c>
      <c r="D193" s="4" t="inlineStr">
        <is>
          <t>卸C</t>
        </is>
      </c>
      <c r="E193" s="4" t="n">
        <v>5153</v>
      </c>
      <c r="F193" s="4" t="n">
        <v>46747</v>
      </c>
    </row>
    <row r="194">
      <c r="A194" s="5" t="inlineStr">
        <is>
          <t>2024-12</t>
        </is>
      </c>
      <c r="B194" s="5" t="inlineStr">
        <is>
          <t>SKU0102</t>
        </is>
      </c>
      <c r="C194" s="5" t="inlineStr">
        <is>
          <t>メトグルコGE「サンド」</t>
        </is>
      </c>
      <c r="D194" s="5" t="inlineStr">
        <is>
          <t>卸A</t>
        </is>
      </c>
      <c r="E194" s="5" t="n">
        <v>23561</v>
      </c>
      <c r="F194" s="5" t="n">
        <v>213743</v>
      </c>
    </row>
    <row r="195">
      <c r="A195" s="4" t="inlineStr">
        <is>
          <t>2024-12</t>
        </is>
      </c>
      <c r="B195" s="4" t="inlineStr">
        <is>
          <t>SKU0102</t>
        </is>
      </c>
      <c r="C195" s="4" t="inlineStr">
        <is>
          <t>メトグルコGE「サンド」</t>
        </is>
      </c>
      <c r="D195" s="4" t="inlineStr">
        <is>
          <t>卸B</t>
        </is>
      </c>
      <c r="E195" s="4" t="n">
        <v>13702</v>
      </c>
      <c r="F195" s="4" t="n">
        <v>124308</v>
      </c>
    </row>
    <row r="196">
      <c r="A196" s="5" t="inlineStr">
        <is>
          <t>2024-12</t>
        </is>
      </c>
      <c r="B196" s="5" t="inlineStr">
        <is>
          <t>SKU0102</t>
        </is>
      </c>
      <c r="C196" s="5" t="inlineStr">
        <is>
          <t>メトグルコGE「サンド」</t>
        </is>
      </c>
      <c r="D196" s="5" t="inlineStr">
        <is>
          <t>卸C</t>
        </is>
      </c>
      <c r="E196" s="5" t="n">
        <v>8923</v>
      </c>
      <c r="F196" s="5" t="n">
        <v>80952</v>
      </c>
    </row>
    <row r="197">
      <c r="A197" s="4" t="inlineStr">
        <is>
          <t>2025-01</t>
        </is>
      </c>
      <c r="B197" s="4" t="inlineStr">
        <is>
          <t>SKU0102</t>
        </is>
      </c>
      <c r="C197" s="4" t="inlineStr">
        <is>
          <t>メトグルコGE「サンド」</t>
        </is>
      </c>
      <c r="D197" s="4" t="inlineStr">
        <is>
          <t>卸A</t>
        </is>
      </c>
      <c r="E197" s="4" t="n">
        <v>15920</v>
      </c>
      <c r="F197" s="4" t="n">
        <v>144422</v>
      </c>
    </row>
    <row r="198">
      <c r="A198" s="5" t="inlineStr">
        <is>
          <t>2025-01</t>
        </is>
      </c>
      <c r="B198" s="5" t="inlineStr">
        <is>
          <t>SKU0102</t>
        </is>
      </c>
      <c r="C198" s="5" t="inlineStr">
        <is>
          <t>メトグルコGE「サンド」</t>
        </is>
      </c>
      <c r="D198" s="5" t="inlineStr">
        <is>
          <t>卸B</t>
        </is>
      </c>
      <c r="E198" s="5" t="n">
        <v>9552</v>
      </c>
      <c r="F198" s="5" t="n">
        <v>86658</v>
      </c>
    </row>
    <row r="199">
      <c r="A199" s="4" t="inlineStr">
        <is>
          <t>2025-01</t>
        </is>
      </c>
      <c r="B199" s="4" t="inlineStr">
        <is>
          <t>SKU0102</t>
        </is>
      </c>
      <c r="C199" s="4" t="inlineStr">
        <is>
          <t>メトグルコGE「サンド」</t>
        </is>
      </c>
      <c r="D199" s="4" t="inlineStr">
        <is>
          <t>卸C</t>
        </is>
      </c>
      <c r="E199" s="4" t="n">
        <v>4690</v>
      </c>
      <c r="F199" s="4" t="n">
        <v>42550</v>
      </c>
    </row>
    <row r="200">
      <c r="A200" s="5" t="inlineStr">
        <is>
          <t>2025-02</t>
        </is>
      </c>
      <c r="B200" s="5" t="inlineStr">
        <is>
          <t>SKU0102</t>
        </is>
      </c>
      <c r="C200" s="5" t="inlineStr">
        <is>
          <t>メトグルコGE「サンド」</t>
        </is>
      </c>
      <c r="D200" s="5" t="inlineStr">
        <is>
          <t>卸A</t>
        </is>
      </c>
      <c r="E200" s="5" t="n">
        <v>14883</v>
      </c>
      <c r="F200" s="5" t="n">
        <v>135016</v>
      </c>
    </row>
    <row r="201">
      <c r="A201" s="4" t="inlineStr">
        <is>
          <t>2025-02</t>
        </is>
      </c>
      <c r="B201" s="4" t="inlineStr">
        <is>
          <t>SKU0102</t>
        </is>
      </c>
      <c r="C201" s="4" t="inlineStr">
        <is>
          <t>メトグルコGE「サンド」</t>
        </is>
      </c>
      <c r="D201" s="4" t="inlineStr">
        <is>
          <t>卸B</t>
        </is>
      </c>
      <c r="E201" s="4" t="n">
        <v>9646</v>
      </c>
      <c r="F201" s="4" t="n">
        <v>87511</v>
      </c>
    </row>
    <row r="202">
      <c r="A202" s="5" t="inlineStr">
        <is>
          <t>2025-02</t>
        </is>
      </c>
      <c r="B202" s="5" t="inlineStr">
        <is>
          <t>SKU0102</t>
        </is>
      </c>
      <c r="C202" s="5" t="inlineStr">
        <is>
          <t>メトグルコGE「サンド」</t>
        </is>
      </c>
      <c r="D202" s="5" t="inlineStr">
        <is>
          <t>卸C</t>
        </is>
      </c>
      <c r="E202" s="5" t="n">
        <v>4760</v>
      </c>
      <c r="F202" s="5" t="n">
        <v>43186</v>
      </c>
    </row>
    <row r="203">
      <c r="A203" s="4" t="inlineStr">
        <is>
          <t>2025-03</t>
        </is>
      </c>
      <c r="B203" s="4" t="inlineStr">
        <is>
          <t>SKU0102</t>
        </is>
      </c>
      <c r="C203" s="4" t="inlineStr">
        <is>
          <t>メトグルコGE「サンド」</t>
        </is>
      </c>
      <c r="D203" s="4" t="inlineStr">
        <is>
          <t>卸A</t>
        </is>
      </c>
      <c r="E203" s="4" t="n">
        <v>24194</v>
      </c>
      <c r="F203" s="4" t="n">
        <v>219488</v>
      </c>
    </row>
    <row r="204">
      <c r="A204" s="5" t="inlineStr">
        <is>
          <t>2025-03</t>
        </is>
      </c>
      <c r="B204" s="5" t="inlineStr">
        <is>
          <t>SKU0102</t>
        </is>
      </c>
      <c r="C204" s="5" t="inlineStr">
        <is>
          <t>メトグルコGE「サンド」</t>
        </is>
      </c>
      <c r="D204" s="5" t="inlineStr">
        <is>
          <t>卸B</t>
        </is>
      </c>
      <c r="E204" s="5" t="n">
        <v>18810</v>
      </c>
      <c r="F204" s="5" t="n">
        <v>170642</v>
      </c>
    </row>
    <row r="205">
      <c r="A205" s="4" t="inlineStr">
        <is>
          <t>2025-03</t>
        </is>
      </c>
      <c r="B205" s="4" t="inlineStr">
        <is>
          <t>SKU0102</t>
        </is>
      </c>
      <c r="C205" s="4" t="inlineStr">
        <is>
          <t>メトグルコGE「サンド」</t>
        </is>
      </c>
      <c r="D205" s="4" t="inlineStr">
        <is>
          <t>卸C</t>
        </is>
      </c>
      <c r="E205" s="4" t="n">
        <v>11155</v>
      </c>
      <c r="F205" s="4" t="n">
        <v>101200</v>
      </c>
    </row>
    <row r="206">
      <c r="A206" s="5" t="inlineStr">
        <is>
          <t>2025-04</t>
        </is>
      </c>
      <c r="B206" s="5" t="inlineStr">
        <is>
          <t>SKU0102</t>
        </is>
      </c>
      <c r="C206" s="5" t="inlineStr">
        <is>
          <t>メトグルコGE「サンド」</t>
        </is>
      </c>
      <c r="D206" s="5" t="inlineStr">
        <is>
          <t>卸A</t>
        </is>
      </c>
      <c r="E206" s="5" t="n">
        <v>11602</v>
      </c>
      <c r="F206" s="5" t="n">
        <v>102094</v>
      </c>
    </row>
    <row r="207">
      <c r="A207" s="4" t="inlineStr">
        <is>
          <t>2025-04</t>
        </is>
      </c>
      <c r="B207" s="4" t="inlineStr">
        <is>
          <t>SKU0102</t>
        </is>
      </c>
      <c r="C207" s="4" t="inlineStr">
        <is>
          <t>メトグルコGE「サンド」</t>
        </is>
      </c>
      <c r="D207" s="4" t="inlineStr">
        <is>
          <t>卸B</t>
        </is>
      </c>
      <c r="E207" s="4" t="n">
        <v>4032</v>
      </c>
      <c r="F207" s="4" t="n">
        <v>35478</v>
      </c>
    </row>
    <row r="208">
      <c r="A208" s="5" t="inlineStr">
        <is>
          <t>2025-04</t>
        </is>
      </c>
      <c r="B208" s="5" t="inlineStr">
        <is>
          <t>SKU0102</t>
        </is>
      </c>
      <c r="C208" s="5" t="inlineStr">
        <is>
          <t>メトグルコGE「サンド」</t>
        </is>
      </c>
      <c r="D208" s="5" t="inlineStr">
        <is>
          <t>卸C</t>
        </is>
      </c>
      <c r="E208" s="5" t="n">
        <v>987</v>
      </c>
      <c r="F208" s="5" t="n">
        <v>8683</v>
      </c>
    </row>
    <row r="209">
      <c r="A209" s="4" t="inlineStr">
        <is>
          <t>2025-05</t>
        </is>
      </c>
      <c r="B209" s="4" t="inlineStr">
        <is>
          <t>SKU0102</t>
        </is>
      </c>
      <c r="C209" s="4" t="inlineStr">
        <is>
          <t>メトグルコGE「サンド」</t>
        </is>
      </c>
      <c r="D209" s="4" t="inlineStr">
        <is>
          <t>卸A</t>
        </is>
      </c>
      <c r="E209" s="4" t="n">
        <v>15710</v>
      </c>
      <c r="F209" s="4" t="n">
        <v>138243</v>
      </c>
    </row>
    <row r="210">
      <c r="A210" s="5" t="inlineStr">
        <is>
          <t>2025-05</t>
        </is>
      </c>
      <c r="B210" s="5" t="inlineStr">
        <is>
          <t>SKU0102</t>
        </is>
      </c>
      <c r="C210" s="5" t="inlineStr">
        <is>
          <t>メトグルコGE「サンド」</t>
        </is>
      </c>
      <c r="D210" s="5" t="inlineStr">
        <is>
          <t>卸B</t>
        </is>
      </c>
      <c r="E210" s="5" t="n">
        <v>10758</v>
      </c>
      <c r="F210" s="5" t="n">
        <v>94666</v>
      </c>
    </row>
    <row r="211">
      <c r="A211" s="4" t="inlineStr">
        <is>
          <t>2025-05</t>
        </is>
      </c>
      <c r="B211" s="4" t="inlineStr">
        <is>
          <t>SKU0102</t>
        </is>
      </c>
      <c r="C211" s="4" t="inlineStr">
        <is>
          <t>メトグルコGE「サンド」</t>
        </is>
      </c>
      <c r="D211" s="4" t="inlineStr">
        <is>
          <t>卸C</t>
        </is>
      </c>
      <c r="E211" s="4" t="n">
        <v>5762</v>
      </c>
      <c r="F211" s="4" t="n">
        <v>50708</v>
      </c>
    </row>
    <row r="212">
      <c r="A212" s="5" t="inlineStr">
        <is>
          <t>2025-06</t>
        </is>
      </c>
      <c r="B212" s="5" t="inlineStr">
        <is>
          <t>SKU0102</t>
        </is>
      </c>
      <c r="C212" s="5" t="inlineStr">
        <is>
          <t>メトグルコGE「サンド」</t>
        </is>
      </c>
      <c r="D212" s="5" t="inlineStr">
        <is>
          <t>卸A</t>
        </is>
      </c>
      <c r="E212" s="5" t="n">
        <v>26239</v>
      </c>
      <c r="F212" s="5" t="n">
        <v>230900</v>
      </c>
    </row>
    <row r="213">
      <c r="A213" s="4" t="inlineStr">
        <is>
          <t>2025-06</t>
        </is>
      </c>
      <c r="B213" s="4" t="inlineStr">
        <is>
          <t>SKU0102</t>
        </is>
      </c>
      <c r="C213" s="4" t="inlineStr">
        <is>
          <t>メトグルコGE「サンド」</t>
        </is>
      </c>
      <c r="D213" s="4" t="inlineStr">
        <is>
          <t>卸B</t>
        </is>
      </c>
      <c r="E213" s="4" t="n">
        <v>14398</v>
      </c>
      <c r="F213" s="4" t="n">
        <v>126698</v>
      </c>
    </row>
    <row r="214">
      <c r="A214" s="5" t="inlineStr">
        <is>
          <t>2025-06</t>
        </is>
      </c>
      <c r="B214" s="5" t="inlineStr">
        <is>
          <t>SKU0102</t>
        </is>
      </c>
      <c r="C214" s="5" t="inlineStr">
        <is>
          <t>メトグルコGE「サンド」</t>
        </is>
      </c>
      <c r="D214" s="5" t="inlineStr">
        <is>
          <t>卸C</t>
        </is>
      </c>
      <c r="E214" s="5" t="n">
        <v>9223</v>
      </c>
      <c r="F214" s="5" t="n">
        <v>81161</v>
      </c>
    </row>
    <row r="215">
      <c r="A215" s="4" t="inlineStr">
        <is>
          <t>2025-07</t>
        </is>
      </c>
      <c r="B215" s="4" t="inlineStr">
        <is>
          <t>SKU0102</t>
        </is>
      </c>
      <c r="C215" s="4" t="inlineStr">
        <is>
          <t>メトグルコGE「サンド」</t>
        </is>
      </c>
      <c r="D215" s="4" t="inlineStr">
        <is>
          <t>卸A</t>
        </is>
      </c>
      <c r="E215" s="4" t="n">
        <v>14807</v>
      </c>
      <c r="F215" s="4" t="n">
        <v>130298</v>
      </c>
    </row>
    <row r="216">
      <c r="A216" s="5" t="inlineStr">
        <is>
          <t>2025-07</t>
        </is>
      </c>
      <c r="B216" s="5" t="inlineStr">
        <is>
          <t>SKU0102</t>
        </is>
      </c>
      <c r="C216" s="5" t="inlineStr">
        <is>
          <t>メトグルコGE「サンド」</t>
        </is>
      </c>
      <c r="D216" s="5" t="inlineStr">
        <is>
          <t>卸B</t>
        </is>
      </c>
      <c r="E216" s="5" t="n">
        <v>11343</v>
      </c>
      <c r="F216" s="5" t="n">
        <v>99819</v>
      </c>
    </row>
    <row r="217">
      <c r="A217" s="4" t="inlineStr">
        <is>
          <t>2025-07</t>
        </is>
      </c>
      <c r="B217" s="4" t="inlineStr">
        <is>
          <t>SKU0102</t>
        </is>
      </c>
      <c r="C217" s="4" t="inlineStr">
        <is>
          <t>メトグルコGE「サンド」</t>
        </is>
      </c>
      <c r="D217" s="4" t="inlineStr">
        <is>
          <t>卸C</t>
        </is>
      </c>
      <c r="E217" s="4" t="n">
        <v>4981</v>
      </c>
      <c r="F217" s="4" t="n">
        <v>43833</v>
      </c>
    </row>
    <row r="218">
      <c r="A218" s="5" t="inlineStr">
        <is>
          <t>2025-08</t>
        </is>
      </c>
      <c r="B218" s="5" t="inlineStr">
        <is>
          <t>SKU0102</t>
        </is>
      </c>
      <c r="C218" s="5" t="inlineStr">
        <is>
          <t>メトグルコGE「サンド」</t>
        </is>
      </c>
      <c r="D218" s="5" t="inlineStr">
        <is>
          <t>卸A</t>
        </is>
      </c>
      <c r="E218" s="5" t="n">
        <v>15188</v>
      </c>
      <c r="F218" s="5" t="n">
        <v>133650</v>
      </c>
    </row>
    <row r="219">
      <c r="A219" s="4" t="inlineStr">
        <is>
          <t>2025-08</t>
        </is>
      </c>
      <c r="B219" s="4" t="inlineStr">
        <is>
          <t>SKU0102</t>
        </is>
      </c>
      <c r="C219" s="4" t="inlineStr">
        <is>
          <t>メトグルコGE「サンド」</t>
        </is>
      </c>
      <c r="D219" s="4" t="inlineStr">
        <is>
          <t>卸B</t>
        </is>
      </c>
      <c r="E219" s="4" t="n">
        <v>8658</v>
      </c>
      <c r="F219" s="4" t="n">
        <v>76188</v>
      </c>
    </row>
    <row r="220">
      <c r="A220" s="5" t="inlineStr">
        <is>
          <t>2025-08</t>
        </is>
      </c>
      <c r="B220" s="5" t="inlineStr">
        <is>
          <t>SKU0102</t>
        </is>
      </c>
      <c r="C220" s="5" t="inlineStr">
        <is>
          <t>メトグルコGE「サンド」</t>
        </is>
      </c>
      <c r="D220" s="5" t="inlineStr">
        <is>
          <t>卸C</t>
        </is>
      </c>
      <c r="E220" s="5" t="n">
        <v>5625</v>
      </c>
      <c r="F220" s="5" t="n">
        <v>49500</v>
      </c>
    </row>
    <row r="221">
      <c r="A221" s="4" t="inlineStr">
        <is>
          <t>2025-09</t>
        </is>
      </c>
      <c r="B221" s="4" t="inlineStr">
        <is>
          <t>SKU0102</t>
        </is>
      </c>
      <c r="C221" s="4" t="inlineStr">
        <is>
          <t>メトグルコGE「サンド」</t>
        </is>
      </c>
      <c r="D221" s="4" t="inlineStr">
        <is>
          <t>卸A</t>
        </is>
      </c>
      <c r="E221" s="4" t="n">
        <v>15185</v>
      </c>
      <c r="F221" s="4" t="n">
        <v>133621</v>
      </c>
    </row>
    <row r="222">
      <c r="A222" s="5" t="inlineStr">
        <is>
          <t>2025-09</t>
        </is>
      </c>
      <c r="B222" s="5" t="inlineStr">
        <is>
          <t>SKU0102</t>
        </is>
      </c>
      <c r="C222" s="5" t="inlineStr">
        <is>
          <t>メトグルコGE「サンド」</t>
        </is>
      </c>
      <c r="D222" s="5" t="inlineStr">
        <is>
          <t>卸B</t>
        </is>
      </c>
      <c r="E222" s="5" t="n">
        <v>12181</v>
      </c>
      <c r="F222" s="5" t="n">
        <v>107187</v>
      </c>
    </row>
    <row r="223">
      <c r="A223" s="4" t="inlineStr">
        <is>
          <t>2025-09</t>
        </is>
      </c>
      <c r="B223" s="4" t="inlineStr">
        <is>
          <t>SKU0102</t>
        </is>
      </c>
      <c r="C223" s="4" t="inlineStr">
        <is>
          <t>メトグルコGE「サンド」</t>
        </is>
      </c>
      <c r="D223" s="4" t="inlineStr">
        <is>
          <t>卸C</t>
        </is>
      </c>
      <c r="E223" s="4" t="n">
        <v>6753</v>
      </c>
      <c r="F223" s="4" t="n">
        <v>59428</v>
      </c>
    </row>
    <row r="224">
      <c r="A224" s="5" t="inlineStr">
        <is>
          <t>2025-10</t>
        </is>
      </c>
      <c r="B224" s="5" t="inlineStr">
        <is>
          <t>SKU0102</t>
        </is>
      </c>
      <c r="C224" s="5" t="inlineStr">
        <is>
          <t>メトグルコGE「サンド」</t>
        </is>
      </c>
      <c r="D224" s="5" t="inlineStr">
        <is>
          <t>卸A</t>
        </is>
      </c>
      <c r="E224" s="5" t="n">
        <v>21195</v>
      </c>
      <c r="F224" s="5" t="n">
        <v>186509</v>
      </c>
    </row>
    <row r="225">
      <c r="A225" s="4" t="inlineStr">
        <is>
          <t>2025-10</t>
        </is>
      </c>
      <c r="B225" s="4" t="inlineStr">
        <is>
          <t>SKU0102</t>
        </is>
      </c>
      <c r="C225" s="4" t="inlineStr">
        <is>
          <t>メトグルコGE「サンド」</t>
        </is>
      </c>
      <c r="D225" s="4" t="inlineStr">
        <is>
          <t>卸B</t>
        </is>
      </c>
      <c r="E225" s="4" t="n">
        <v>10340</v>
      </c>
      <c r="F225" s="4" t="n">
        <v>90986</v>
      </c>
    </row>
    <row r="226">
      <c r="A226" s="5" t="inlineStr">
        <is>
          <t>2025-10</t>
        </is>
      </c>
      <c r="B226" s="5" t="inlineStr">
        <is>
          <t>SKU0102</t>
        </is>
      </c>
      <c r="C226" s="5" t="inlineStr">
        <is>
          <t>メトグルコGE「サンド」</t>
        </is>
      </c>
      <c r="D226" s="5" t="inlineStr">
        <is>
          <t>卸C</t>
        </is>
      </c>
      <c r="E226" s="5" t="n">
        <v>5539</v>
      </c>
      <c r="F226" s="5" t="n">
        <v>48741</v>
      </c>
    </row>
    <row r="227">
      <c r="A227" s="4" t="inlineStr">
        <is>
          <t>2025-11</t>
        </is>
      </c>
      <c r="B227" s="4" t="inlineStr">
        <is>
          <t>SKU0102</t>
        </is>
      </c>
      <c r="C227" s="4" t="inlineStr">
        <is>
          <t>メトグルコGE「サンド」</t>
        </is>
      </c>
      <c r="D227" s="4" t="inlineStr">
        <is>
          <t>卸A</t>
        </is>
      </c>
      <c r="E227" s="4" t="n">
        <v>13322</v>
      </c>
      <c r="F227" s="4" t="n">
        <v>117234</v>
      </c>
    </row>
    <row r="228">
      <c r="A228" s="5" t="inlineStr">
        <is>
          <t>2025-11</t>
        </is>
      </c>
      <c r="B228" s="5" t="inlineStr">
        <is>
          <t>SKU0102</t>
        </is>
      </c>
      <c r="C228" s="5" t="inlineStr">
        <is>
          <t>メトグルコGE「サンド」</t>
        </is>
      </c>
      <c r="D228" s="5" t="inlineStr">
        <is>
          <t>卸B</t>
        </is>
      </c>
      <c r="E228" s="5" t="n">
        <v>9719</v>
      </c>
      <c r="F228" s="5" t="n">
        <v>85523</v>
      </c>
    </row>
    <row r="229">
      <c r="A229" s="4" t="inlineStr">
        <is>
          <t>2025-11</t>
        </is>
      </c>
      <c r="B229" s="4" t="inlineStr">
        <is>
          <t>SKU0102</t>
        </is>
      </c>
      <c r="C229" s="4" t="inlineStr">
        <is>
          <t>メトグルコGE「サンド」</t>
        </is>
      </c>
      <c r="D229" s="4" t="inlineStr">
        <is>
          <t>卸C</t>
        </is>
      </c>
      <c r="E229" s="4" t="n">
        <v>5789</v>
      </c>
      <c r="F229" s="4" t="n">
        <v>50938</v>
      </c>
    </row>
    <row r="230">
      <c r="A230" s="5" t="inlineStr">
        <is>
          <t>2025-12</t>
        </is>
      </c>
      <c r="B230" s="5" t="inlineStr">
        <is>
          <t>SKU0102</t>
        </is>
      </c>
      <c r="C230" s="5" t="inlineStr">
        <is>
          <t>メトグルコGE「サンド」</t>
        </is>
      </c>
      <c r="D230" s="5" t="inlineStr">
        <is>
          <t>卸A</t>
        </is>
      </c>
      <c r="E230" s="5" t="n">
        <v>19272</v>
      </c>
      <c r="F230" s="5" t="n">
        <v>169587</v>
      </c>
    </row>
    <row r="231">
      <c r="A231" s="4" t="inlineStr">
        <is>
          <t>2025-12</t>
        </is>
      </c>
      <c r="B231" s="4" t="inlineStr">
        <is>
          <t>SKU0102</t>
        </is>
      </c>
      <c r="C231" s="4" t="inlineStr">
        <is>
          <t>メトグルコGE「サンド」</t>
        </is>
      </c>
      <c r="D231" s="4" t="inlineStr">
        <is>
          <t>卸B</t>
        </is>
      </c>
      <c r="E231" s="4" t="n">
        <v>13537</v>
      </c>
      <c r="F231" s="4" t="n">
        <v>119125</v>
      </c>
    </row>
    <row r="232">
      <c r="A232" s="5" t="inlineStr">
        <is>
          <t>2025-12</t>
        </is>
      </c>
      <c r="B232" s="5" t="inlineStr">
        <is>
          <t>SKU0102</t>
        </is>
      </c>
      <c r="C232" s="5" t="inlineStr">
        <is>
          <t>メトグルコGE「サンド」</t>
        </is>
      </c>
      <c r="D232" s="5" t="inlineStr">
        <is>
          <t>卸C</t>
        </is>
      </c>
      <c r="E232" s="5" t="n">
        <v>5298</v>
      </c>
      <c r="F232" s="5" t="n">
        <v>46622</v>
      </c>
    </row>
    <row r="233">
      <c r="A233" s="4" t="inlineStr">
        <is>
          <t>2026-01</t>
        </is>
      </c>
      <c r="B233" s="4" t="inlineStr">
        <is>
          <t>SKU0102</t>
        </is>
      </c>
      <c r="C233" s="4" t="inlineStr">
        <is>
          <t>メトグルコGE「サンド」</t>
        </is>
      </c>
      <c r="D233" s="4" t="inlineStr">
        <is>
          <t>卸A</t>
        </is>
      </c>
      <c r="E233" s="4" t="n">
        <v>15398</v>
      </c>
      <c r="F233" s="4" t="n">
        <v>135503</v>
      </c>
    </row>
    <row r="234">
      <c r="A234" s="5" t="inlineStr">
        <is>
          <t>2026-01</t>
        </is>
      </c>
      <c r="B234" s="5" t="inlineStr">
        <is>
          <t>SKU0102</t>
        </is>
      </c>
      <c r="C234" s="5" t="inlineStr">
        <is>
          <t>メトグルコGE「サンド」</t>
        </is>
      </c>
      <c r="D234" s="5" t="inlineStr">
        <is>
          <t>卸B</t>
        </is>
      </c>
      <c r="E234" s="5" t="n">
        <v>9927</v>
      </c>
      <c r="F234" s="5" t="n">
        <v>87353</v>
      </c>
    </row>
    <row r="235">
      <c r="A235" s="4" t="inlineStr">
        <is>
          <t>2026-01</t>
        </is>
      </c>
      <c r="B235" s="4" t="inlineStr">
        <is>
          <t>SKU0102</t>
        </is>
      </c>
      <c r="C235" s="4" t="inlineStr">
        <is>
          <t>メトグルコGE「サンド」</t>
        </is>
      </c>
      <c r="D235" s="4" t="inlineStr">
        <is>
          <t>卸C</t>
        </is>
      </c>
      <c r="E235" s="4" t="n">
        <v>8204</v>
      </c>
      <c r="F235" s="4" t="n">
        <v>72191</v>
      </c>
    </row>
    <row r="236">
      <c r="A236" s="5" t="inlineStr">
        <is>
          <t>2026-02</t>
        </is>
      </c>
      <c r="B236" s="5" t="inlineStr">
        <is>
          <t>SKU0102</t>
        </is>
      </c>
      <c r="C236" s="5" t="inlineStr">
        <is>
          <t>メトグルコGE「サンド」</t>
        </is>
      </c>
      <c r="D236" s="5" t="inlineStr">
        <is>
          <t>卸A</t>
        </is>
      </c>
      <c r="E236" s="5" t="n">
        <v>17647</v>
      </c>
      <c r="F236" s="5" t="n">
        <v>155294</v>
      </c>
    </row>
    <row r="237">
      <c r="A237" s="4" t="inlineStr">
        <is>
          <t>2026-02</t>
        </is>
      </c>
      <c r="B237" s="4" t="inlineStr">
        <is>
          <t>SKU0102</t>
        </is>
      </c>
      <c r="C237" s="4" t="inlineStr">
        <is>
          <t>メトグルコGE「サンド」</t>
        </is>
      </c>
      <c r="D237" s="4" t="inlineStr">
        <is>
          <t>卸B</t>
        </is>
      </c>
      <c r="E237" s="4" t="n">
        <v>10068</v>
      </c>
      <c r="F237" s="4" t="n">
        <v>88600</v>
      </c>
    </row>
    <row r="238">
      <c r="A238" s="5" t="inlineStr">
        <is>
          <t>2026-02</t>
        </is>
      </c>
      <c r="B238" s="5" t="inlineStr">
        <is>
          <t>SKU0102</t>
        </is>
      </c>
      <c r="C238" s="5" t="inlineStr">
        <is>
          <t>メトグルコGE「サンド」</t>
        </is>
      </c>
      <c r="D238" s="5" t="inlineStr">
        <is>
          <t>卸C</t>
        </is>
      </c>
      <c r="E238" s="5" t="n">
        <v>4760</v>
      </c>
      <c r="F238" s="5" t="n">
        <v>41883</v>
      </c>
    </row>
    <row r="239">
      <c r="A239" s="4" t="inlineStr">
        <is>
          <t>2026-03</t>
        </is>
      </c>
      <c r="B239" s="4" t="inlineStr">
        <is>
          <t>SKU0102</t>
        </is>
      </c>
      <c r="C239" s="4" t="inlineStr">
        <is>
          <t>メトグルコGE「サンド」</t>
        </is>
      </c>
      <c r="D239" s="4" t="inlineStr">
        <is>
          <t>卸A</t>
        </is>
      </c>
      <c r="E239" s="4" t="n">
        <v>19201</v>
      </c>
      <c r="F239" s="4" t="n">
        <v>168968</v>
      </c>
    </row>
    <row r="240">
      <c r="A240" s="5" t="inlineStr">
        <is>
          <t>2026-03</t>
        </is>
      </c>
      <c r="B240" s="5" t="inlineStr">
        <is>
          <t>SKU0102</t>
        </is>
      </c>
      <c r="C240" s="5" t="inlineStr">
        <is>
          <t>メトグルコGE「サンド」</t>
        </is>
      </c>
      <c r="D240" s="5" t="inlineStr">
        <is>
          <t>卸B</t>
        </is>
      </c>
      <c r="E240" s="5" t="n">
        <v>12727</v>
      </c>
      <c r="F240" s="5" t="n">
        <v>111994</v>
      </c>
    </row>
    <row r="241">
      <c r="A241" s="4" t="inlineStr">
        <is>
          <t>2026-03</t>
        </is>
      </c>
      <c r="B241" s="4" t="inlineStr">
        <is>
          <t>SKU0102</t>
        </is>
      </c>
      <c r="C241" s="4" t="inlineStr">
        <is>
          <t>メトグルコGE「サンド」</t>
        </is>
      </c>
      <c r="D241" s="4" t="inlineStr">
        <is>
          <t>卸C</t>
        </is>
      </c>
      <c r="E241" s="4" t="n">
        <v>7799</v>
      </c>
      <c r="F241" s="4" t="n">
        <v>68628</v>
      </c>
    </row>
    <row r="242">
      <c r="A242" s="5" t="inlineStr">
        <is>
          <t>2026-04</t>
        </is>
      </c>
      <c r="B242" s="5" t="inlineStr">
        <is>
          <t>SKU0102</t>
        </is>
      </c>
      <c r="C242" s="5" t="inlineStr">
        <is>
          <t>メトグルコGE「サンド」</t>
        </is>
      </c>
      <c r="D242" s="5" t="inlineStr">
        <is>
          <t>卸A</t>
        </is>
      </c>
      <c r="E242" s="5" t="n">
        <v>6383</v>
      </c>
      <c r="F242" s="5" t="n">
        <v>52803</v>
      </c>
    </row>
    <row r="243">
      <c r="A243" s="4" t="inlineStr">
        <is>
          <t>2026-04</t>
        </is>
      </c>
      <c r="B243" s="4" t="inlineStr">
        <is>
          <t>SKU0102</t>
        </is>
      </c>
      <c r="C243" s="4" t="inlineStr">
        <is>
          <t>メトグルコGE「サンド」</t>
        </is>
      </c>
      <c r="D243" s="4" t="inlineStr">
        <is>
          <t>卸B</t>
        </is>
      </c>
      <c r="E243" s="4" t="n">
        <v>3106</v>
      </c>
      <c r="F243" s="4" t="n">
        <v>25690</v>
      </c>
    </row>
    <row r="244">
      <c r="A244" s="5" t="inlineStr">
        <is>
          <t>2026-04</t>
        </is>
      </c>
      <c r="B244" s="5" t="inlineStr">
        <is>
          <t>SKU0102</t>
        </is>
      </c>
      <c r="C244" s="5" t="inlineStr">
        <is>
          <t>メトグルコGE「サンド」</t>
        </is>
      </c>
      <c r="D244" s="5" t="inlineStr">
        <is>
          <t>卸C</t>
        </is>
      </c>
      <c r="E244" s="5" t="n">
        <v>551</v>
      </c>
      <c r="F244" s="5" t="n">
        <v>4560</v>
      </c>
    </row>
    <row r="245">
      <c r="A245" s="4" t="inlineStr">
        <is>
          <t>2026-05</t>
        </is>
      </c>
      <c r="B245" s="4" t="inlineStr">
        <is>
          <t>SKU0102</t>
        </is>
      </c>
      <c r="C245" s="4" t="inlineStr">
        <is>
          <t>メトグルコGE「サンド」</t>
        </is>
      </c>
      <c r="D245" s="4" t="inlineStr">
        <is>
          <t>卸A</t>
        </is>
      </c>
      <c r="E245" s="4" t="n">
        <v>15243</v>
      </c>
      <c r="F245" s="4" t="n">
        <v>126084</v>
      </c>
    </row>
    <row r="246">
      <c r="A246" s="5" t="inlineStr">
        <is>
          <t>2026-05</t>
        </is>
      </c>
      <c r="B246" s="5" t="inlineStr">
        <is>
          <t>SKU0102</t>
        </is>
      </c>
      <c r="C246" s="5" t="inlineStr">
        <is>
          <t>メトグルコGE「サンド」</t>
        </is>
      </c>
      <c r="D246" s="5" t="inlineStr">
        <is>
          <t>卸B</t>
        </is>
      </c>
      <c r="E246" s="5" t="n">
        <v>10359</v>
      </c>
      <c r="F246" s="5" t="n">
        <v>85686</v>
      </c>
    </row>
    <row r="247">
      <c r="A247" s="4" t="inlineStr">
        <is>
          <t>2026-05</t>
        </is>
      </c>
      <c r="B247" s="4" t="inlineStr">
        <is>
          <t>SKU0102</t>
        </is>
      </c>
      <c r="C247" s="4" t="inlineStr">
        <is>
          <t>メトグルコGE「サンド」</t>
        </is>
      </c>
      <c r="D247" s="4" t="inlineStr">
        <is>
          <t>卸C</t>
        </is>
      </c>
      <c r="E247" s="4" t="n">
        <v>6329</v>
      </c>
      <c r="F247" s="4" t="n">
        <v>52350</v>
      </c>
    </row>
    <row r="248">
      <c r="A248" s="5" t="inlineStr">
        <is>
          <t>2023-01</t>
        </is>
      </c>
      <c r="B248" s="5" t="inlineStr">
        <is>
          <t>SKU0201</t>
        </is>
      </c>
      <c r="C248" s="5" t="inlineStr">
        <is>
          <t>アトルバスタチンOD錠「サンド」</t>
        </is>
      </c>
      <c r="D248" s="5" t="inlineStr">
        <is>
          <t>卸A</t>
        </is>
      </c>
      <c r="E248" s="5" t="n">
        <v>13303</v>
      </c>
      <c r="F248" s="5" t="n">
        <v>188901</v>
      </c>
    </row>
    <row r="249">
      <c r="A249" s="4" t="inlineStr">
        <is>
          <t>2023-01</t>
        </is>
      </c>
      <c r="B249" s="4" t="inlineStr">
        <is>
          <t>SKU0201</t>
        </is>
      </c>
      <c r="C249" s="4" t="inlineStr">
        <is>
          <t>アトルバスタチンOD錠「サンド」</t>
        </is>
      </c>
      <c r="D249" s="4" t="inlineStr">
        <is>
          <t>卸B</t>
        </is>
      </c>
      <c r="E249" s="4" t="n">
        <v>8823</v>
      </c>
      <c r="F249" s="4" t="n">
        <v>125293</v>
      </c>
    </row>
    <row r="250">
      <c r="A250" s="5" t="inlineStr">
        <is>
          <t>2023-01</t>
        </is>
      </c>
      <c r="B250" s="5" t="inlineStr">
        <is>
          <t>SKU0201</t>
        </is>
      </c>
      <c r="C250" s="5" t="inlineStr">
        <is>
          <t>アトルバスタチンOD錠「サンド」</t>
        </is>
      </c>
      <c r="D250" s="5" t="inlineStr">
        <is>
          <t>卸C</t>
        </is>
      </c>
      <c r="E250" s="5" t="n">
        <v>4832</v>
      </c>
      <c r="F250" s="5" t="n">
        <v>68616</v>
      </c>
    </row>
    <row r="251">
      <c r="A251" s="4" t="inlineStr">
        <is>
          <t>2023-02</t>
        </is>
      </c>
      <c r="B251" s="4" t="inlineStr">
        <is>
          <t>SKU0201</t>
        </is>
      </c>
      <c r="C251" s="4" t="inlineStr">
        <is>
          <t>アトルバスタチンOD錠「サンド」</t>
        </is>
      </c>
      <c r="D251" s="4" t="inlineStr">
        <is>
          <t>卸A</t>
        </is>
      </c>
      <c r="E251" s="4" t="n">
        <v>10484</v>
      </c>
      <c r="F251" s="4" t="n">
        <v>148867</v>
      </c>
    </row>
    <row r="252">
      <c r="A252" s="5" t="inlineStr">
        <is>
          <t>2023-02</t>
        </is>
      </c>
      <c r="B252" s="5" t="inlineStr">
        <is>
          <t>SKU0201</t>
        </is>
      </c>
      <c r="C252" s="5" t="inlineStr">
        <is>
          <t>アトルバスタチンOD錠「サンド」</t>
        </is>
      </c>
      <c r="D252" s="5" t="inlineStr">
        <is>
          <t>卸B</t>
        </is>
      </c>
      <c r="E252" s="5" t="n">
        <v>6175</v>
      </c>
      <c r="F252" s="5" t="n">
        <v>87682</v>
      </c>
    </row>
    <row r="253">
      <c r="A253" s="4" t="inlineStr">
        <is>
          <t>2023-02</t>
        </is>
      </c>
      <c r="B253" s="4" t="inlineStr">
        <is>
          <t>SKU0201</t>
        </is>
      </c>
      <c r="C253" s="4" t="inlineStr">
        <is>
          <t>アトルバスタチンOD錠「サンド」</t>
        </is>
      </c>
      <c r="D253" s="4" t="inlineStr">
        <is>
          <t>卸C</t>
        </is>
      </c>
      <c r="E253" s="4" t="n">
        <v>3606</v>
      </c>
      <c r="F253" s="4" t="n">
        <v>51212</v>
      </c>
    </row>
    <row r="254">
      <c r="A254" s="5" t="inlineStr">
        <is>
          <t>2023-03</t>
        </is>
      </c>
      <c r="B254" s="5" t="inlineStr">
        <is>
          <t>SKU0201</t>
        </is>
      </c>
      <c r="C254" s="5" t="inlineStr">
        <is>
          <t>アトルバスタチンOD錠「サンド」</t>
        </is>
      </c>
      <c r="D254" s="5" t="inlineStr">
        <is>
          <t>卸A</t>
        </is>
      </c>
      <c r="E254" s="5" t="n">
        <v>13084</v>
      </c>
      <c r="F254" s="5" t="n">
        <v>185792</v>
      </c>
    </row>
    <row r="255">
      <c r="A255" s="4" t="inlineStr">
        <is>
          <t>2023-03</t>
        </is>
      </c>
      <c r="B255" s="4" t="inlineStr">
        <is>
          <t>SKU0201</t>
        </is>
      </c>
      <c r="C255" s="4" t="inlineStr">
        <is>
          <t>アトルバスタチンOD錠「サンド」</t>
        </is>
      </c>
      <c r="D255" s="4" t="inlineStr">
        <is>
          <t>卸B</t>
        </is>
      </c>
      <c r="E255" s="4" t="n">
        <v>9660</v>
      </c>
      <c r="F255" s="4" t="n">
        <v>137166</v>
      </c>
    </row>
    <row r="256">
      <c r="A256" s="5" t="inlineStr">
        <is>
          <t>2023-03</t>
        </is>
      </c>
      <c r="B256" s="5" t="inlineStr">
        <is>
          <t>SKU0201</t>
        </is>
      </c>
      <c r="C256" s="5" t="inlineStr">
        <is>
          <t>アトルバスタチンOD錠「サンド」</t>
        </is>
      </c>
      <c r="D256" s="5" t="inlineStr">
        <is>
          <t>卸C</t>
        </is>
      </c>
      <c r="E256" s="5" t="n">
        <v>4646</v>
      </c>
      <c r="F256" s="5" t="n">
        <v>65969</v>
      </c>
    </row>
    <row r="257">
      <c r="A257" s="4" t="inlineStr">
        <is>
          <t>2023-04</t>
        </is>
      </c>
      <c r="B257" s="4" t="inlineStr">
        <is>
          <t>SKU0201</t>
        </is>
      </c>
      <c r="C257" s="4" t="inlineStr">
        <is>
          <t>アトルバスタチンOD錠「サンド」</t>
        </is>
      </c>
      <c r="D257" s="4" t="inlineStr">
        <is>
          <t>卸A</t>
        </is>
      </c>
      <c r="E257" s="4" t="n">
        <v>10537</v>
      </c>
      <c r="F257" s="4" t="n">
        <v>149625</v>
      </c>
    </row>
    <row r="258">
      <c r="A258" s="5" t="inlineStr">
        <is>
          <t>2023-04</t>
        </is>
      </c>
      <c r="B258" s="5" t="inlineStr">
        <is>
          <t>SKU0201</t>
        </is>
      </c>
      <c r="C258" s="5" t="inlineStr">
        <is>
          <t>アトルバスタチンOD錠「サンド」</t>
        </is>
      </c>
      <c r="D258" s="5" t="inlineStr">
        <is>
          <t>卸B</t>
        </is>
      </c>
      <c r="E258" s="5" t="n">
        <v>5615</v>
      </c>
      <c r="F258" s="5" t="n">
        <v>79736</v>
      </c>
    </row>
    <row r="259">
      <c r="A259" s="4" t="inlineStr">
        <is>
          <t>2023-04</t>
        </is>
      </c>
      <c r="B259" s="4" t="inlineStr">
        <is>
          <t>SKU0201</t>
        </is>
      </c>
      <c r="C259" s="4" t="inlineStr">
        <is>
          <t>アトルバスタチンOD錠「サンド」</t>
        </is>
      </c>
      <c r="D259" s="4" t="inlineStr">
        <is>
          <t>卸C</t>
        </is>
      </c>
      <c r="E259" s="4" t="n">
        <v>4079</v>
      </c>
      <c r="F259" s="4" t="n">
        <v>57918</v>
      </c>
    </row>
    <row r="260">
      <c r="A260" s="5" t="inlineStr">
        <is>
          <t>2023-05</t>
        </is>
      </c>
      <c r="B260" s="5" t="inlineStr">
        <is>
          <t>SKU0201</t>
        </is>
      </c>
      <c r="C260" s="5" t="inlineStr">
        <is>
          <t>アトルバスタチンOD錠「サンド」</t>
        </is>
      </c>
      <c r="D260" s="5" t="inlineStr">
        <is>
          <t>卸A</t>
        </is>
      </c>
      <c r="E260" s="5" t="n">
        <v>10797</v>
      </c>
      <c r="F260" s="5" t="n">
        <v>153313</v>
      </c>
    </row>
    <row r="261">
      <c r="A261" s="4" t="inlineStr">
        <is>
          <t>2023-05</t>
        </is>
      </c>
      <c r="B261" s="4" t="inlineStr">
        <is>
          <t>SKU0201</t>
        </is>
      </c>
      <c r="C261" s="4" t="inlineStr">
        <is>
          <t>アトルバスタチンOD錠「サンド」</t>
        </is>
      </c>
      <c r="D261" s="4" t="inlineStr">
        <is>
          <t>卸B</t>
        </is>
      </c>
      <c r="E261" s="4" t="n">
        <v>8476</v>
      </c>
      <c r="F261" s="4" t="n">
        <v>120363</v>
      </c>
    </row>
    <row r="262">
      <c r="A262" s="5" t="inlineStr">
        <is>
          <t>2023-05</t>
        </is>
      </c>
      <c r="B262" s="5" t="inlineStr">
        <is>
          <t>SKU0201</t>
        </is>
      </c>
      <c r="C262" s="5" t="inlineStr">
        <is>
          <t>アトルバスタチンOD錠「サンド」</t>
        </is>
      </c>
      <c r="D262" s="5" t="inlineStr">
        <is>
          <t>卸C</t>
        </is>
      </c>
      <c r="E262" s="5" t="n">
        <v>3983</v>
      </c>
      <c r="F262" s="5" t="n">
        <v>56557</v>
      </c>
    </row>
    <row r="263">
      <c r="A263" s="4" t="inlineStr">
        <is>
          <t>2023-06</t>
        </is>
      </c>
      <c r="B263" s="4" t="inlineStr">
        <is>
          <t>SKU0201</t>
        </is>
      </c>
      <c r="C263" s="4" t="inlineStr">
        <is>
          <t>アトルバスタチンOD錠「サンド」</t>
        </is>
      </c>
      <c r="D263" s="4" t="inlineStr">
        <is>
          <t>卸A</t>
        </is>
      </c>
      <c r="E263" s="4" t="n">
        <v>13504</v>
      </c>
      <c r="F263" s="4" t="n">
        <v>191754</v>
      </c>
    </row>
    <row r="264">
      <c r="A264" s="5" t="inlineStr">
        <is>
          <t>2023-06</t>
        </is>
      </c>
      <c r="B264" s="5" t="inlineStr">
        <is>
          <t>SKU0201</t>
        </is>
      </c>
      <c r="C264" s="5" t="inlineStr">
        <is>
          <t>アトルバスタチンOD錠「サンド」</t>
        </is>
      </c>
      <c r="D264" s="5" t="inlineStr">
        <is>
          <t>卸B</t>
        </is>
      </c>
      <c r="E264" s="5" t="n">
        <v>7233</v>
      </c>
      <c r="F264" s="5" t="n">
        <v>102705</v>
      </c>
    </row>
    <row r="265">
      <c r="A265" s="4" t="inlineStr">
        <is>
          <t>2023-06</t>
        </is>
      </c>
      <c r="B265" s="4" t="inlineStr">
        <is>
          <t>SKU0201</t>
        </is>
      </c>
      <c r="C265" s="4" t="inlineStr">
        <is>
          <t>アトルバスタチンOD錠「サンド」</t>
        </is>
      </c>
      <c r="D265" s="4" t="inlineStr">
        <is>
          <t>卸C</t>
        </is>
      </c>
      <c r="E265" s="4" t="n">
        <v>5084</v>
      </c>
      <c r="F265" s="4" t="n">
        <v>72191</v>
      </c>
    </row>
    <row r="266">
      <c r="A266" s="5" t="inlineStr">
        <is>
          <t>2023-07</t>
        </is>
      </c>
      <c r="B266" s="5" t="inlineStr">
        <is>
          <t>SKU0201</t>
        </is>
      </c>
      <c r="C266" s="5" t="inlineStr">
        <is>
          <t>アトルバスタチンOD錠「サンド」</t>
        </is>
      </c>
      <c r="D266" s="5" t="inlineStr">
        <is>
          <t>卸A</t>
        </is>
      </c>
      <c r="E266" s="5" t="n">
        <v>10058</v>
      </c>
      <c r="F266" s="5" t="n">
        <v>142819</v>
      </c>
    </row>
    <row r="267">
      <c r="A267" s="4" t="inlineStr">
        <is>
          <t>2023-07</t>
        </is>
      </c>
      <c r="B267" s="4" t="inlineStr">
        <is>
          <t>SKU0201</t>
        </is>
      </c>
      <c r="C267" s="4" t="inlineStr">
        <is>
          <t>アトルバスタチンOD錠「サンド」</t>
        </is>
      </c>
      <c r="D267" s="4" t="inlineStr">
        <is>
          <t>卸B</t>
        </is>
      </c>
      <c r="E267" s="4" t="n">
        <v>6990</v>
      </c>
      <c r="F267" s="4" t="n">
        <v>99265</v>
      </c>
    </row>
    <row r="268">
      <c r="A268" s="5" t="inlineStr">
        <is>
          <t>2023-07</t>
        </is>
      </c>
      <c r="B268" s="5" t="inlineStr">
        <is>
          <t>SKU0201</t>
        </is>
      </c>
      <c r="C268" s="5" t="inlineStr">
        <is>
          <t>アトルバスタチンOD錠「サンド」</t>
        </is>
      </c>
      <c r="D268" s="5" t="inlineStr">
        <is>
          <t>卸C</t>
        </is>
      </c>
      <c r="E268" s="5" t="n">
        <v>3549</v>
      </c>
      <c r="F268" s="5" t="n">
        <v>50390</v>
      </c>
    </row>
    <row r="269">
      <c r="A269" s="4" t="inlineStr">
        <is>
          <t>2023-08</t>
        </is>
      </c>
      <c r="B269" s="4" t="inlineStr">
        <is>
          <t>SKU0201</t>
        </is>
      </c>
      <c r="C269" s="4" t="inlineStr">
        <is>
          <t>アトルバスタチンOD錠「サンド」</t>
        </is>
      </c>
      <c r="D269" s="4" t="inlineStr">
        <is>
          <t>卸A</t>
        </is>
      </c>
      <c r="E269" s="4" t="n">
        <v>12643</v>
      </c>
      <c r="F269" s="4" t="n">
        <v>179529</v>
      </c>
    </row>
    <row r="270">
      <c r="A270" s="5" t="inlineStr">
        <is>
          <t>2023-08</t>
        </is>
      </c>
      <c r="B270" s="5" t="inlineStr">
        <is>
          <t>SKU0201</t>
        </is>
      </c>
      <c r="C270" s="5" t="inlineStr">
        <is>
          <t>アトルバスタチンOD錠「サンド」</t>
        </is>
      </c>
      <c r="D270" s="5" t="inlineStr">
        <is>
          <t>卸B</t>
        </is>
      </c>
      <c r="E270" s="5" t="n">
        <v>9089</v>
      </c>
      <c r="F270" s="5" t="n">
        <v>129071</v>
      </c>
    </row>
    <row r="271">
      <c r="A271" s="4" t="inlineStr">
        <is>
          <t>2023-08</t>
        </is>
      </c>
      <c r="B271" s="4" t="inlineStr">
        <is>
          <t>SKU0201</t>
        </is>
      </c>
      <c r="C271" s="4" t="inlineStr">
        <is>
          <t>アトルバスタチンOD錠「サンド」</t>
        </is>
      </c>
      <c r="D271" s="4" t="inlineStr">
        <is>
          <t>卸C</t>
        </is>
      </c>
      <c r="E271" s="4" t="n">
        <v>3497</v>
      </c>
      <c r="F271" s="4" t="n">
        <v>49650</v>
      </c>
    </row>
    <row r="272">
      <c r="A272" s="5" t="inlineStr">
        <is>
          <t>2023-09</t>
        </is>
      </c>
      <c r="B272" s="5" t="inlineStr">
        <is>
          <t>SKU0201</t>
        </is>
      </c>
      <c r="C272" s="5" t="inlineStr">
        <is>
          <t>アトルバスタチンOD錠「サンド」</t>
        </is>
      </c>
      <c r="D272" s="5" t="inlineStr">
        <is>
          <t>卸A</t>
        </is>
      </c>
      <c r="E272" s="5" t="n">
        <v>12472</v>
      </c>
      <c r="F272" s="5" t="n">
        <v>177099</v>
      </c>
    </row>
    <row r="273">
      <c r="A273" s="4" t="inlineStr">
        <is>
          <t>2023-09</t>
        </is>
      </c>
      <c r="B273" s="4" t="inlineStr">
        <is>
          <t>SKU0201</t>
        </is>
      </c>
      <c r="C273" s="4" t="inlineStr">
        <is>
          <t>アトルバスタチンOD錠「サンド」</t>
        </is>
      </c>
      <c r="D273" s="4" t="inlineStr">
        <is>
          <t>卸B</t>
        </is>
      </c>
      <c r="E273" s="4" t="n">
        <v>8241</v>
      </c>
      <c r="F273" s="4" t="n">
        <v>117017</v>
      </c>
    </row>
    <row r="274">
      <c r="A274" s="5" t="inlineStr">
        <is>
          <t>2023-09</t>
        </is>
      </c>
      <c r="B274" s="5" t="inlineStr">
        <is>
          <t>SKU0201</t>
        </is>
      </c>
      <c r="C274" s="5" t="inlineStr">
        <is>
          <t>アトルバスタチンOD錠「サンド」</t>
        </is>
      </c>
      <c r="D274" s="5" t="inlineStr">
        <is>
          <t>卸C</t>
        </is>
      </c>
      <c r="E274" s="5" t="n">
        <v>5339</v>
      </c>
      <c r="F274" s="5" t="n">
        <v>75810</v>
      </c>
    </row>
    <row r="275">
      <c r="A275" s="4" t="inlineStr">
        <is>
          <t>2023-10</t>
        </is>
      </c>
      <c r="B275" s="4" t="inlineStr">
        <is>
          <t>SKU0201</t>
        </is>
      </c>
      <c r="C275" s="4" t="inlineStr">
        <is>
          <t>アトルバスタチンOD錠「サンド」</t>
        </is>
      </c>
      <c r="D275" s="4" t="inlineStr">
        <is>
          <t>卸A</t>
        </is>
      </c>
      <c r="E275" s="4" t="n">
        <v>11747</v>
      </c>
      <c r="F275" s="4" t="n">
        <v>166801</v>
      </c>
    </row>
    <row r="276">
      <c r="A276" s="5" t="inlineStr">
        <is>
          <t>2023-10</t>
        </is>
      </c>
      <c r="B276" s="5" t="inlineStr">
        <is>
          <t>SKU0201</t>
        </is>
      </c>
      <c r="C276" s="5" t="inlineStr">
        <is>
          <t>アトルバスタチンOD錠「サンド」</t>
        </is>
      </c>
      <c r="D276" s="5" t="inlineStr">
        <is>
          <t>卸B</t>
        </is>
      </c>
      <c r="E276" s="5" t="n">
        <v>8170</v>
      </c>
      <c r="F276" s="5" t="n">
        <v>116019</v>
      </c>
    </row>
    <row r="277">
      <c r="A277" s="4" t="inlineStr">
        <is>
          <t>2023-10</t>
        </is>
      </c>
      <c r="B277" s="4" t="inlineStr">
        <is>
          <t>SKU0201</t>
        </is>
      </c>
      <c r="C277" s="4" t="inlineStr">
        <is>
          <t>アトルバスタチンOD錠「サンド」</t>
        </is>
      </c>
      <c r="D277" s="4" t="inlineStr">
        <is>
          <t>卸C</t>
        </is>
      </c>
      <c r="E277" s="4" t="n">
        <v>5325</v>
      </c>
      <c r="F277" s="4" t="n">
        <v>75613</v>
      </c>
    </row>
    <row r="278">
      <c r="A278" s="5" t="inlineStr">
        <is>
          <t>2023-11</t>
        </is>
      </c>
      <c r="B278" s="5" t="inlineStr">
        <is>
          <t>SKU0201</t>
        </is>
      </c>
      <c r="C278" s="5" t="inlineStr">
        <is>
          <t>アトルバスタチンOD錠「サンド」</t>
        </is>
      </c>
      <c r="D278" s="5" t="inlineStr">
        <is>
          <t>卸A</t>
        </is>
      </c>
      <c r="E278" s="5" t="n">
        <v>12257</v>
      </c>
      <c r="F278" s="5" t="n">
        <v>174045</v>
      </c>
    </row>
    <row r="279">
      <c r="A279" s="4" t="inlineStr">
        <is>
          <t>2023-11</t>
        </is>
      </c>
      <c r="B279" s="4" t="inlineStr">
        <is>
          <t>SKU0201</t>
        </is>
      </c>
      <c r="C279" s="4" t="inlineStr">
        <is>
          <t>アトルバスタチンOD錠「サンド」</t>
        </is>
      </c>
      <c r="D279" s="4" t="inlineStr">
        <is>
          <t>卸B</t>
        </is>
      </c>
      <c r="E279" s="4" t="n">
        <v>8132</v>
      </c>
      <c r="F279" s="4" t="n">
        <v>115477</v>
      </c>
    </row>
    <row r="280">
      <c r="A280" s="5" t="inlineStr">
        <is>
          <t>2023-11</t>
        </is>
      </c>
      <c r="B280" s="5" t="inlineStr">
        <is>
          <t>SKU0201</t>
        </is>
      </c>
      <c r="C280" s="5" t="inlineStr">
        <is>
          <t>アトルバスタチンOD錠「サンド」</t>
        </is>
      </c>
      <c r="D280" s="5" t="inlineStr">
        <is>
          <t>卸C</t>
        </is>
      </c>
      <c r="E280" s="5" t="n">
        <v>3514</v>
      </c>
      <c r="F280" s="5" t="n">
        <v>49898</v>
      </c>
    </row>
    <row r="281">
      <c r="A281" s="4" t="inlineStr">
        <is>
          <t>2023-12</t>
        </is>
      </c>
      <c r="B281" s="4" t="inlineStr">
        <is>
          <t>SKU0201</t>
        </is>
      </c>
      <c r="C281" s="4" t="inlineStr">
        <is>
          <t>アトルバスタチンOD錠「サンド」</t>
        </is>
      </c>
      <c r="D281" s="4" t="inlineStr">
        <is>
          <t>卸A</t>
        </is>
      </c>
      <c r="E281" s="4" t="n">
        <v>15925</v>
      </c>
      <c r="F281" s="4" t="n">
        <v>226137</v>
      </c>
    </row>
    <row r="282">
      <c r="A282" s="5" t="inlineStr">
        <is>
          <t>2023-12</t>
        </is>
      </c>
      <c r="B282" s="5" t="inlineStr">
        <is>
          <t>SKU0201</t>
        </is>
      </c>
      <c r="C282" s="5" t="inlineStr">
        <is>
          <t>アトルバスタチンOD錠「サンド」</t>
        </is>
      </c>
      <c r="D282" s="5" t="inlineStr">
        <is>
          <t>卸B</t>
        </is>
      </c>
      <c r="E282" s="5" t="n">
        <v>9411</v>
      </c>
      <c r="F282" s="5" t="n">
        <v>133633</v>
      </c>
    </row>
    <row r="283">
      <c r="A283" s="4" t="inlineStr">
        <is>
          <t>2023-12</t>
        </is>
      </c>
      <c r="B283" s="4" t="inlineStr">
        <is>
          <t>SKU0201</t>
        </is>
      </c>
      <c r="C283" s="4" t="inlineStr">
        <is>
          <t>アトルバスタチンOD錠「サンド」</t>
        </is>
      </c>
      <c r="D283" s="4" t="inlineStr">
        <is>
          <t>卸C</t>
        </is>
      </c>
      <c r="E283" s="4" t="n">
        <v>5840</v>
      </c>
      <c r="F283" s="4" t="n">
        <v>82931</v>
      </c>
    </row>
    <row r="284">
      <c r="A284" s="5" t="inlineStr">
        <is>
          <t>2024-01</t>
        </is>
      </c>
      <c r="B284" s="5" t="inlineStr">
        <is>
          <t>SKU0201</t>
        </is>
      </c>
      <c r="C284" s="5" t="inlineStr">
        <is>
          <t>アトルバスタチンOD錠「サンド」</t>
        </is>
      </c>
      <c r="D284" s="5" t="inlineStr">
        <is>
          <t>卸A</t>
        </is>
      </c>
      <c r="E284" s="5" t="n">
        <v>13666</v>
      </c>
      <c r="F284" s="5" t="n">
        <v>194058</v>
      </c>
    </row>
    <row r="285">
      <c r="A285" s="4" t="inlineStr">
        <is>
          <t>2024-01</t>
        </is>
      </c>
      <c r="B285" s="4" t="inlineStr">
        <is>
          <t>SKU0201</t>
        </is>
      </c>
      <c r="C285" s="4" t="inlineStr">
        <is>
          <t>アトルバスタチンOD錠「サンド」</t>
        </is>
      </c>
      <c r="D285" s="4" t="inlineStr">
        <is>
          <t>卸B</t>
        </is>
      </c>
      <c r="E285" s="4" t="n">
        <v>7590</v>
      </c>
      <c r="F285" s="4" t="n">
        <v>107781</v>
      </c>
    </row>
    <row r="286">
      <c r="A286" s="5" t="inlineStr">
        <is>
          <t>2024-01</t>
        </is>
      </c>
      <c r="B286" s="5" t="inlineStr">
        <is>
          <t>SKU0201</t>
        </is>
      </c>
      <c r="C286" s="5" t="inlineStr">
        <is>
          <t>アトルバスタチンOD錠「サンド」</t>
        </is>
      </c>
      <c r="D286" s="5" t="inlineStr">
        <is>
          <t>卸C</t>
        </is>
      </c>
      <c r="E286" s="5" t="n">
        <v>4721</v>
      </c>
      <c r="F286" s="5" t="n">
        <v>67032</v>
      </c>
    </row>
    <row r="287">
      <c r="A287" s="4" t="inlineStr">
        <is>
          <t>2024-02</t>
        </is>
      </c>
      <c r="B287" s="4" t="inlineStr">
        <is>
          <t>SKU0201</t>
        </is>
      </c>
      <c r="C287" s="4" t="inlineStr">
        <is>
          <t>アトルバスタチンOD錠「サンド」</t>
        </is>
      </c>
      <c r="D287" s="4" t="inlineStr">
        <is>
          <t>卸A</t>
        </is>
      </c>
      <c r="E287" s="4" t="n">
        <v>10274</v>
      </c>
      <c r="F287" s="4" t="n">
        <v>145884</v>
      </c>
    </row>
    <row r="288">
      <c r="A288" s="5" t="inlineStr">
        <is>
          <t>2024-02</t>
        </is>
      </c>
      <c r="B288" s="5" t="inlineStr">
        <is>
          <t>SKU0201</t>
        </is>
      </c>
      <c r="C288" s="5" t="inlineStr">
        <is>
          <t>アトルバスタチンOD錠「サンド」</t>
        </is>
      </c>
      <c r="D288" s="5" t="inlineStr">
        <is>
          <t>卸B</t>
        </is>
      </c>
      <c r="E288" s="5" t="n">
        <v>7841</v>
      </c>
      <c r="F288" s="5" t="n">
        <v>111337</v>
      </c>
    </row>
    <row r="289">
      <c r="A289" s="4" t="inlineStr">
        <is>
          <t>2024-02</t>
        </is>
      </c>
      <c r="B289" s="4" t="inlineStr">
        <is>
          <t>SKU0201</t>
        </is>
      </c>
      <c r="C289" s="4" t="inlineStr">
        <is>
          <t>アトルバスタチンOD錠「サンド」</t>
        </is>
      </c>
      <c r="D289" s="4" t="inlineStr">
        <is>
          <t>卸C</t>
        </is>
      </c>
      <c r="E289" s="4" t="n">
        <v>3968</v>
      </c>
      <c r="F289" s="4" t="n">
        <v>56341</v>
      </c>
    </row>
    <row r="290">
      <c r="A290" s="5" t="inlineStr">
        <is>
          <t>2024-03</t>
        </is>
      </c>
      <c r="B290" s="5" t="inlineStr">
        <is>
          <t>SKU0201</t>
        </is>
      </c>
      <c r="C290" s="5" t="inlineStr">
        <is>
          <t>アトルバスタチンOD錠「サンド」</t>
        </is>
      </c>
      <c r="D290" s="5" t="inlineStr">
        <is>
          <t>卸A</t>
        </is>
      </c>
      <c r="E290" s="5" t="n">
        <v>15993</v>
      </c>
      <c r="F290" s="5" t="n">
        <v>227104</v>
      </c>
    </row>
    <row r="291">
      <c r="A291" s="4" t="inlineStr">
        <is>
          <t>2024-03</t>
        </is>
      </c>
      <c r="B291" s="4" t="inlineStr">
        <is>
          <t>SKU0201</t>
        </is>
      </c>
      <c r="C291" s="4" t="inlineStr">
        <is>
          <t>アトルバスタチンOD錠「サンド」</t>
        </is>
      </c>
      <c r="D291" s="4" t="inlineStr">
        <is>
          <t>卸B</t>
        </is>
      </c>
      <c r="E291" s="4" t="n">
        <v>10339</v>
      </c>
      <c r="F291" s="4" t="n">
        <v>146819</v>
      </c>
    </row>
    <row r="292">
      <c r="A292" s="5" t="inlineStr">
        <is>
          <t>2024-03</t>
        </is>
      </c>
      <c r="B292" s="5" t="inlineStr">
        <is>
          <t>SKU0201</t>
        </is>
      </c>
      <c r="C292" s="5" t="inlineStr">
        <is>
          <t>アトルバスタチンOD錠「サンド」</t>
        </is>
      </c>
      <c r="D292" s="5" t="inlineStr">
        <is>
          <t>卸C</t>
        </is>
      </c>
      <c r="E292" s="5" t="n">
        <v>5341</v>
      </c>
      <c r="F292" s="5" t="n">
        <v>75842</v>
      </c>
    </row>
    <row r="293">
      <c r="A293" s="4" t="inlineStr">
        <is>
          <t>2024-04</t>
        </is>
      </c>
      <c r="B293" s="4" t="inlineStr">
        <is>
          <t>SKU0201</t>
        </is>
      </c>
      <c r="C293" s="4" t="inlineStr">
        <is>
          <t>アトルバスタチンOD錠「サンド」</t>
        </is>
      </c>
      <c r="D293" s="4" t="inlineStr">
        <is>
          <t>卸A</t>
        </is>
      </c>
      <c r="E293" s="4" t="n">
        <v>7427</v>
      </c>
      <c r="F293" s="4" t="n">
        <v>99662</v>
      </c>
    </row>
    <row r="294">
      <c r="A294" s="5" t="inlineStr">
        <is>
          <t>2024-04</t>
        </is>
      </c>
      <c r="B294" s="5" t="inlineStr">
        <is>
          <t>SKU0201</t>
        </is>
      </c>
      <c r="C294" s="5" t="inlineStr">
        <is>
          <t>アトルバスタチンOD錠「サンド」</t>
        </is>
      </c>
      <c r="D294" s="5" t="inlineStr">
        <is>
          <t>卸B</t>
        </is>
      </c>
      <c r="E294" s="5" t="n">
        <v>4649</v>
      </c>
      <c r="F294" s="5" t="n">
        <v>62388</v>
      </c>
    </row>
    <row r="295">
      <c r="A295" s="4" t="inlineStr">
        <is>
          <t>2024-04</t>
        </is>
      </c>
      <c r="B295" s="4" t="inlineStr">
        <is>
          <t>SKU0201</t>
        </is>
      </c>
      <c r="C295" s="4" t="inlineStr">
        <is>
          <t>アトルバスタチンOD錠「サンド」</t>
        </is>
      </c>
      <c r="D295" s="4" t="inlineStr">
        <is>
          <t>卸C</t>
        </is>
      </c>
      <c r="E295" s="4" t="n">
        <v>2450</v>
      </c>
      <c r="F295" s="4" t="n">
        <v>32879</v>
      </c>
    </row>
    <row r="296">
      <c r="A296" s="5" t="inlineStr">
        <is>
          <t>2024-05</t>
        </is>
      </c>
      <c r="B296" s="5" t="inlineStr">
        <is>
          <t>SKU0201</t>
        </is>
      </c>
      <c r="C296" s="5" t="inlineStr">
        <is>
          <t>アトルバスタチンOD錠「サンド」</t>
        </is>
      </c>
      <c r="D296" s="5" t="inlineStr">
        <is>
          <t>卸A</t>
        </is>
      </c>
      <c r="E296" s="5" t="n">
        <v>14846</v>
      </c>
      <c r="F296" s="5" t="n">
        <v>199220</v>
      </c>
    </row>
    <row r="297">
      <c r="A297" s="4" t="inlineStr">
        <is>
          <t>2024-05</t>
        </is>
      </c>
      <c r="B297" s="4" t="inlineStr">
        <is>
          <t>SKU0201</t>
        </is>
      </c>
      <c r="C297" s="4" t="inlineStr">
        <is>
          <t>アトルバスタチンOD錠「サンド」</t>
        </is>
      </c>
      <c r="D297" s="4" t="inlineStr">
        <is>
          <t>卸B</t>
        </is>
      </c>
      <c r="E297" s="4" t="n">
        <v>9542</v>
      </c>
      <c r="F297" s="4" t="n">
        <v>128042</v>
      </c>
    </row>
    <row r="298">
      <c r="A298" s="5" t="inlineStr">
        <is>
          <t>2024-05</t>
        </is>
      </c>
      <c r="B298" s="5" t="inlineStr">
        <is>
          <t>SKU0201</t>
        </is>
      </c>
      <c r="C298" s="5" t="inlineStr">
        <is>
          <t>アトルバスタチンOD錠「サンド」</t>
        </is>
      </c>
      <c r="D298" s="5" t="inlineStr">
        <is>
          <t>卸C</t>
        </is>
      </c>
      <c r="E298" s="5" t="n">
        <v>5214</v>
      </c>
      <c r="F298" s="5" t="n">
        <v>69972</v>
      </c>
    </row>
    <row r="299">
      <c r="A299" s="4" t="inlineStr">
        <is>
          <t>2024-06</t>
        </is>
      </c>
      <c r="B299" s="4" t="inlineStr">
        <is>
          <t>SKU0201</t>
        </is>
      </c>
      <c r="C299" s="4" t="inlineStr">
        <is>
          <t>アトルバスタチンOD錠「サンド」</t>
        </is>
      </c>
      <c r="D299" s="4" t="inlineStr">
        <is>
          <t>卸A</t>
        </is>
      </c>
      <c r="E299" s="4" t="n">
        <v>13678</v>
      </c>
      <c r="F299" s="4" t="n">
        <v>183548</v>
      </c>
    </row>
    <row r="300">
      <c r="A300" s="5" t="inlineStr">
        <is>
          <t>2024-06</t>
        </is>
      </c>
      <c r="B300" s="5" t="inlineStr">
        <is>
          <t>SKU0201</t>
        </is>
      </c>
      <c r="C300" s="5" t="inlineStr">
        <is>
          <t>アトルバスタチンOD錠「サンド」</t>
        </is>
      </c>
      <c r="D300" s="5" t="inlineStr">
        <is>
          <t>卸B</t>
        </is>
      </c>
      <c r="E300" s="5" t="n">
        <v>10305</v>
      </c>
      <c r="F300" s="5" t="n">
        <v>138281</v>
      </c>
    </row>
    <row r="301">
      <c r="A301" s="4" t="inlineStr">
        <is>
          <t>2024-06</t>
        </is>
      </c>
      <c r="B301" s="4" t="inlineStr">
        <is>
          <t>SKU0201</t>
        </is>
      </c>
      <c r="C301" s="4" t="inlineStr">
        <is>
          <t>アトルバスタチンOD錠「サンド」</t>
        </is>
      </c>
      <c r="D301" s="4" t="inlineStr">
        <is>
          <t>卸C</t>
        </is>
      </c>
      <c r="E301" s="4" t="n">
        <v>5759</v>
      </c>
      <c r="F301" s="4" t="n">
        <v>77283</v>
      </c>
    </row>
    <row r="302">
      <c r="A302" s="5" t="inlineStr">
        <is>
          <t>2024-07</t>
        </is>
      </c>
      <c r="B302" s="5" t="inlineStr">
        <is>
          <t>SKU0201</t>
        </is>
      </c>
      <c r="C302" s="5" t="inlineStr">
        <is>
          <t>アトルバスタチンOD錠「サンド」</t>
        </is>
      </c>
      <c r="D302" s="5" t="inlineStr">
        <is>
          <t>卸A</t>
        </is>
      </c>
      <c r="E302" s="5" t="n">
        <v>13777</v>
      </c>
      <c r="F302" s="5" t="n">
        <v>184868</v>
      </c>
    </row>
    <row r="303">
      <c r="A303" s="4" t="inlineStr">
        <is>
          <t>2024-07</t>
        </is>
      </c>
      <c r="B303" s="4" t="inlineStr">
        <is>
          <t>SKU0201</t>
        </is>
      </c>
      <c r="C303" s="4" t="inlineStr">
        <is>
          <t>アトルバスタチンOD錠「サンド」</t>
        </is>
      </c>
      <c r="D303" s="4" t="inlineStr">
        <is>
          <t>卸B</t>
        </is>
      </c>
      <c r="E303" s="4" t="n">
        <v>6563</v>
      </c>
      <c r="F303" s="4" t="n">
        <v>88075</v>
      </c>
    </row>
    <row r="304">
      <c r="A304" s="5" t="inlineStr">
        <is>
          <t>2024-07</t>
        </is>
      </c>
      <c r="B304" s="5" t="inlineStr">
        <is>
          <t>SKU0201</t>
        </is>
      </c>
      <c r="C304" s="5" t="inlineStr">
        <is>
          <t>アトルバスタチンOD錠「サンド」</t>
        </is>
      </c>
      <c r="D304" s="5" t="inlineStr">
        <is>
          <t>卸C</t>
        </is>
      </c>
      <c r="E304" s="5" t="n">
        <v>3836</v>
      </c>
      <c r="F304" s="5" t="n">
        <v>51473</v>
      </c>
    </row>
    <row r="305">
      <c r="A305" s="4" t="inlineStr">
        <is>
          <t>2024-08</t>
        </is>
      </c>
      <c r="B305" s="4" t="inlineStr">
        <is>
          <t>SKU0201</t>
        </is>
      </c>
      <c r="C305" s="4" t="inlineStr">
        <is>
          <t>アトルバスタチンOD錠「サンド」</t>
        </is>
      </c>
      <c r="D305" s="4" t="inlineStr">
        <is>
          <t>卸A</t>
        </is>
      </c>
      <c r="E305" s="4" t="n">
        <v>13340</v>
      </c>
      <c r="F305" s="4" t="n">
        <v>179005</v>
      </c>
    </row>
    <row r="306">
      <c r="A306" s="5" t="inlineStr">
        <is>
          <t>2024-08</t>
        </is>
      </c>
      <c r="B306" s="5" t="inlineStr">
        <is>
          <t>SKU0201</t>
        </is>
      </c>
      <c r="C306" s="5" t="inlineStr">
        <is>
          <t>アトルバスタチンOD錠「サンド」</t>
        </is>
      </c>
      <c r="D306" s="5" t="inlineStr">
        <is>
          <t>卸B</t>
        </is>
      </c>
      <c r="E306" s="5" t="n">
        <v>7885</v>
      </c>
      <c r="F306" s="5" t="n">
        <v>105803</v>
      </c>
    </row>
    <row r="307">
      <c r="A307" s="4" t="inlineStr">
        <is>
          <t>2024-08</t>
        </is>
      </c>
      <c r="B307" s="4" t="inlineStr">
        <is>
          <t>SKU0201</t>
        </is>
      </c>
      <c r="C307" s="4" t="inlineStr">
        <is>
          <t>アトルバスタチンOD錠「サンド」</t>
        </is>
      </c>
      <c r="D307" s="4" t="inlineStr">
        <is>
          <t>卸C</t>
        </is>
      </c>
      <c r="E307" s="4" t="n">
        <v>4968</v>
      </c>
      <c r="F307" s="4" t="n">
        <v>66672</v>
      </c>
    </row>
    <row r="308">
      <c r="A308" s="5" t="inlineStr">
        <is>
          <t>2024-09</t>
        </is>
      </c>
      <c r="B308" s="5" t="inlineStr">
        <is>
          <t>SKU0201</t>
        </is>
      </c>
      <c r="C308" s="5" t="inlineStr">
        <is>
          <t>アトルバスタチンOD錠「サンド」</t>
        </is>
      </c>
      <c r="D308" s="5" t="inlineStr">
        <is>
          <t>卸A</t>
        </is>
      </c>
      <c r="E308" s="5" t="n">
        <v>10665</v>
      </c>
      <c r="F308" s="5" t="n">
        <v>143107</v>
      </c>
    </row>
    <row r="309">
      <c r="A309" s="4" t="inlineStr">
        <is>
          <t>2024-09</t>
        </is>
      </c>
      <c r="B309" s="4" t="inlineStr">
        <is>
          <t>SKU0201</t>
        </is>
      </c>
      <c r="C309" s="4" t="inlineStr">
        <is>
          <t>アトルバスタチンOD錠「サンド」</t>
        </is>
      </c>
      <c r="D309" s="4" t="inlineStr">
        <is>
          <t>卸B</t>
        </is>
      </c>
      <c r="E309" s="4" t="n">
        <v>9818</v>
      </c>
      <c r="F309" s="4" t="n">
        <v>131754</v>
      </c>
    </row>
    <row r="310">
      <c r="A310" s="5" t="inlineStr">
        <is>
          <t>2024-09</t>
        </is>
      </c>
      <c r="B310" s="5" t="inlineStr">
        <is>
          <t>SKU0201</t>
        </is>
      </c>
      <c r="C310" s="5" t="inlineStr">
        <is>
          <t>アトルバスタチンOD錠「サンド」</t>
        </is>
      </c>
      <c r="D310" s="5" t="inlineStr">
        <is>
          <t>卸C</t>
        </is>
      </c>
      <c r="E310" s="5" t="n">
        <v>4501</v>
      </c>
      <c r="F310" s="5" t="n">
        <v>60395</v>
      </c>
    </row>
    <row r="311">
      <c r="A311" s="4" t="inlineStr">
        <is>
          <t>2024-10</t>
        </is>
      </c>
      <c r="B311" s="4" t="inlineStr">
        <is>
          <t>SKU0201</t>
        </is>
      </c>
      <c r="C311" s="4" t="inlineStr">
        <is>
          <t>アトルバスタチンOD錠「サンド」</t>
        </is>
      </c>
      <c r="D311" s="4" t="inlineStr">
        <is>
          <t>卸A</t>
        </is>
      </c>
      <c r="E311" s="4" t="n">
        <v>14730</v>
      </c>
      <c r="F311" s="4" t="n">
        <v>197663</v>
      </c>
    </row>
    <row r="312">
      <c r="A312" s="5" t="inlineStr">
        <is>
          <t>2024-10</t>
        </is>
      </c>
      <c r="B312" s="5" t="inlineStr">
        <is>
          <t>SKU0201</t>
        </is>
      </c>
      <c r="C312" s="5" t="inlineStr">
        <is>
          <t>アトルバスタチンOD錠「サンド」</t>
        </is>
      </c>
      <c r="D312" s="5" t="inlineStr">
        <is>
          <t>卸B</t>
        </is>
      </c>
      <c r="E312" s="5" t="n">
        <v>6442</v>
      </c>
      <c r="F312" s="5" t="n">
        <v>86449</v>
      </c>
    </row>
    <row r="313">
      <c r="A313" s="4" t="inlineStr">
        <is>
          <t>2024-10</t>
        </is>
      </c>
      <c r="B313" s="4" t="inlineStr">
        <is>
          <t>SKU0201</t>
        </is>
      </c>
      <c r="C313" s="4" t="inlineStr">
        <is>
          <t>アトルバスタチンOD錠「サンド」</t>
        </is>
      </c>
      <c r="D313" s="4" t="inlineStr">
        <is>
          <t>卸C</t>
        </is>
      </c>
      <c r="E313" s="4" t="n">
        <v>4677</v>
      </c>
      <c r="F313" s="4" t="n">
        <v>62756</v>
      </c>
    </row>
    <row r="314">
      <c r="A314" s="5" t="inlineStr">
        <is>
          <t>2024-11</t>
        </is>
      </c>
      <c r="B314" s="5" t="inlineStr">
        <is>
          <t>SKU0201</t>
        </is>
      </c>
      <c r="C314" s="5" t="inlineStr">
        <is>
          <t>アトルバスタチンOD錠「サンド」</t>
        </is>
      </c>
      <c r="D314" s="5" t="inlineStr">
        <is>
          <t>卸A</t>
        </is>
      </c>
      <c r="E314" s="5" t="n">
        <v>11533</v>
      </c>
      <c r="F314" s="5" t="n">
        <v>154761</v>
      </c>
    </row>
    <row r="315">
      <c r="A315" s="4" t="inlineStr">
        <is>
          <t>2024-11</t>
        </is>
      </c>
      <c r="B315" s="4" t="inlineStr">
        <is>
          <t>SKU0201</t>
        </is>
      </c>
      <c r="C315" s="4" t="inlineStr">
        <is>
          <t>アトルバスタチンOD錠「サンド」</t>
        </is>
      </c>
      <c r="D315" s="4" t="inlineStr">
        <is>
          <t>卸B</t>
        </is>
      </c>
      <c r="E315" s="4" t="n">
        <v>9600</v>
      </c>
      <c r="F315" s="4" t="n">
        <v>128825</v>
      </c>
    </row>
    <row r="316">
      <c r="A316" s="5" t="inlineStr">
        <is>
          <t>2024-11</t>
        </is>
      </c>
      <c r="B316" s="5" t="inlineStr">
        <is>
          <t>SKU0201</t>
        </is>
      </c>
      <c r="C316" s="5" t="inlineStr">
        <is>
          <t>アトルバスタチンOD錠「サンド」</t>
        </is>
      </c>
      <c r="D316" s="5" t="inlineStr">
        <is>
          <t>卸C</t>
        </is>
      </c>
      <c r="E316" s="5" t="n">
        <v>4839</v>
      </c>
      <c r="F316" s="5" t="n">
        <v>64934</v>
      </c>
    </row>
    <row r="317">
      <c r="A317" s="4" t="inlineStr">
        <is>
          <t>2024-12</t>
        </is>
      </c>
      <c r="B317" s="4" t="inlineStr">
        <is>
          <t>SKU0201</t>
        </is>
      </c>
      <c r="C317" s="4" t="inlineStr">
        <is>
          <t>アトルバスタチンOD錠「サンド」</t>
        </is>
      </c>
      <c r="D317" s="4" t="inlineStr">
        <is>
          <t>卸A</t>
        </is>
      </c>
      <c r="E317" s="4" t="n">
        <v>11920</v>
      </c>
      <c r="F317" s="4" t="n">
        <v>159954</v>
      </c>
    </row>
    <row r="318">
      <c r="A318" s="5" t="inlineStr">
        <is>
          <t>2024-12</t>
        </is>
      </c>
      <c r="B318" s="5" t="inlineStr">
        <is>
          <t>SKU0201</t>
        </is>
      </c>
      <c r="C318" s="5" t="inlineStr">
        <is>
          <t>アトルバスタチンOD錠「サンド」</t>
        </is>
      </c>
      <c r="D318" s="5" t="inlineStr">
        <is>
          <t>卸B</t>
        </is>
      </c>
      <c r="E318" s="5" t="n">
        <v>5317</v>
      </c>
      <c r="F318" s="5" t="n">
        <v>71343</v>
      </c>
    </row>
    <row r="319">
      <c r="A319" s="4" t="inlineStr">
        <is>
          <t>2024-12</t>
        </is>
      </c>
      <c r="B319" s="4" t="inlineStr">
        <is>
          <t>SKU0201</t>
        </is>
      </c>
      <c r="C319" s="4" t="inlineStr">
        <is>
          <t>アトルバスタチンOD錠「サンド」</t>
        </is>
      </c>
      <c r="D319" s="4" t="inlineStr">
        <is>
          <t>卸C</t>
        </is>
      </c>
      <c r="E319" s="4" t="n">
        <v>3936</v>
      </c>
      <c r="F319" s="4" t="n">
        <v>52811</v>
      </c>
    </row>
    <row r="320">
      <c r="A320" s="5" t="inlineStr">
        <is>
          <t>2025-01</t>
        </is>
      </c>
      <c r="B320" s="5" t="inlineStr">
        <is>
          <t>SKU0201</t>
        </is>
      </c>
      <c r="C320" s="5" t="inlineStr">
        <is>
          <t>アトルバスタチンOD錠「サンド」</t>
        </is>
      </c>
      <c r="D320" s="5" t="inlineStr">
        <is>
          <t>卸A</t>
        </is>
      </c>
      <c r="E320" s="5" t="n">
        <v>12131</v>
      </c>
      <c r="F320" s="5" t="n">
        <v>162783</v>
      </c>
    </row>
    <row r="321">
      <c r="A321" s="4" t="inlineStr">
        <is>
          <t>2025-01</t>
        </is>
      </c>
      <c r="B321" s="4" t="inlineStr">
        <is>
          <t>SKU0201</t>
        </is>
      </c>
      <c r="C321" s="4" t="inlineStr">
        <is>
          <t>アトルバスタチンOD錠「サンド」</t>
        </is>
      </c>
      <c r="D321" s="4" t="inlineStr">
        <is>
          <t>卸B</t>
        </is>
      </c>
      <c r="E321" s="4" t="n">
        <v>8257</v>
      </c>
      <c r="F321" s="4" t="n">
        <v>110804</v>
      </c>
    </row>
    <row r="322">
      <c r="A322" s="5" t="inlineStr">
        <is>
          <t>2025-01</t>
        </is>
      </c>
      <c r="B322" s="5" t="inlineStr">
        <is>
          <t>SKU0201</t>
        </is>
      </c>
      <c r="C322" s="5" t="inlineStr">
        <is>
          <t>アトルバスタチンOD錠「サンド」</t>
        </is>
      </c>
      <c r="D322" s="5" t="inlineStr">
        <is>
          <t>卸C</t>
        </is>
      </c>
      <c r="E322" s="5" t="n">
        <v>3658</v>
      </c>
      <c r="F322" s="5" t="n">
        <v>49092</v>
      </c>
    </row>
    <row r="323">
      <c r="A323" s="4" t="inlineStr">
        <is>
          <t>2025-02</t>
        </is>
      </c>
      <c r="B323" s="4" t="inlineStr">
        <is>
          <t>SKU0201</t>
        </is>
      </c>
      <c r="C323" s="4" t="inlineStr">
        <is>
          <t>アトルバスタチンOD錠「サンド」</t>
        </is>
      </c>
      <c r="D323" s="4" t="inlineStr">
        <is>
          <t>卸A</t>
        </is>
      </c>
      <c r="E323" s="4" t="n">
        <v>15367</v>
      </c>
      <c r="F323" s="4" t="n">
        <v>206205</v>
      </c>
    </row>
    <row r="324">
      <c r="A324" s="5" t="inlineStr">
        <is>
          <t>2025-02</t>
        </is>
      </c>
      <c r="B324" s="5" t="inlineStr">
        <is>
          <t>SKU0201</t>
        </is>
      </c>
      <c r="C324" s="5" t="inlineStr">
        <is>
          <t>アトルバスタチンOD錠「サンド」</t>
        </is>
      </c>
      <c r="D324" s="5" t="inlineStr">
        <is>
          <t>卸B</t>
        </is>
      </c>
      <c r="E324" s="5" t="n">
        <v>9377</v>
      </c>
      <c r="F324" s="5" t="n">
        <v>125823</v>
      </c>
    </row>
    <row r="325">
      <c r="A325" s="4" t="inlineStr">
        <is>
          <t>2025-02</t>
        </is>
      </c>
      <c r="B325" s="4" t="inlineStr">
        <is>
          <t>SKU0201</t>
        </is>
      </c>
      <c r="C325" s="4" t="inlineStr">
        <is>
          <t>アトルバスタチンOD錠「サンド」</t>
        </is>
      </c>
      <c r="D325" s="4" t="inlineStr">
        <is>
          <t>卸C</t>
        </is>
      </c>
      <c r="E325" s="4" t="n">
        <v>4910</v>
      </c>
      <c r="F325" s="4" t="n">
        <v>65894</v>
      </c>
    </row>
    <row r="326">
      <c r="A326" s="5" t="inlineStr">
        <is>
          <t>2025-03</t>
        </is>
      </c>
      <c r="B326" s="5" t="inlineStr">
        <is>
          <t>SKU0201</t>
        </is>
      </c>
      <c r="C326" s="5" t="inlineStr">
        <is>
          <t>アトルバスタチンOD錠「サンド」</t>
        </is>
      </c>
      <c r="D326" s="5" t="inlineStr">
        <is>
          <t>卸A</t>
        </is>
      </c>
      <c r="E326" s="5" t="n">
        <v>14351</v>
      </c>
      <c r="F326" s="5" t="n">
        <v>192583</v>
      </c>
    </row>
    <row r="327">
      <c r="A327" s="4" t="inlineStr">
        <is>
          <t>2025-03</t>
        </is>
      </c>
      <c r="B327" s="4" t="inlineStr">
        <is>
          <t>SKU0201</t>
        </is>
      </c>
      <c r="C327" s="4" t="inlineStr">
        <is>
          <t>アトルバスタチンOD錠「サンド」</t>
        </is>
      </c>
      <c r="D327" s="4" t="inlineStr">
        <is>
          <t>卸B</t>
        </is>
      </c>
      <c r="E327" s="4" t="n">
        <v>12213</v>
      </c>
      <c r="F327" s="4" t="n">
        <v>163881</v>
      </c>
    </row>
    <row r="328">
      <c r="A328" s="5" t="inlineStr">
        <is>
          <t>2025-03</t>
        </is>
      </c>
      <c r="B328" s="5" t="inlineStr">
        <is>
          <t>SKU0201</t>
        </is>
      </c>
      <c r="C328" s="5" t="inlineStr">
        <is>
          <t>アトルバスタチンOD錠「サンド」</t>
        </is>
      </c>
      <c r="D328" s="5" t="inlineStr">
        <is>
          <t>卸C</t>
        </is>
      </c>
      <c r="E328" s="5" t="n">
        <v>5945</v>
      </c>
      <c r="F328" s="5" t="n">
        <v>79773</v>
      </c>
    </row>
    <row r="329">
      <c r="A329" s="4" t="inlineStr">
        <is>
          <t>2025-04</t>
        </is>
      </c>
      <c r="B329" s="4" t="inlineStr">
        <is>
          <t>SKU0201</t>
        </is>
      </c>
      <c r="C329" s="4" t="inlineStr">
        <is>
          <t>アトルバスタチンOD錠「サンド」</t>
        </is>
      </c>
      <c r="D329" s="4" t="inlineStr">
        <is>
          <t>卸A</t>
        </is>
      </c>
      <c r="E329" s="4" t="n">
        <v>3668</v>
      </c>
      <c r="F329" s="4" t="n">
        <v>47739</v>
      </c>
    </row>
    <row r="330">
      <c r="A330" s="5" t="inlineStr">
        <is>
          <t>2025-04</t>
        </is>
      </c>
      <c r="B330" s="5" t="inlineStr">
        <is>
          <t>SKU0201</t>
        </is>
      </c>
      <c r="C330" s="5" t="inlineStr">
        <is>
          <t>アトルバスタチンOD錠「サンド」</t>
        </is>
      </c>
      <c r="D330" s="5" t="inlineStr">
        <is>
          <t>卸B</t>
        </is>
      </c>
      <c r="E330" s="5" t="n">
        <v>0</v>
      </c>
      <c r="F330" s="5" t="n">
        <v>0</v>
      </c>
    </row>
    <row r="331">
      <c r="A331" s="4" t="inlineStr">
        <is>
          <t>2025-04</t>
        </is>
      </c>
      <c r="B331" s="4" t="inlineStr">
        <is>
          <t>SKU0201</t>
        </is>
      </c>
      <c r="C331" s="4" t="inlineStr">
        <is>
          <t>アトルバスタチンOD錠「サンド」</t>
        </is>
      </c>
      <c r="D331" s="4" t="inlineStr">
        <is>
          <t>卸C</t>
        </is>
      </c>
      <c r="E331" s="4" t="n">
        <v>320</v>
      </c>
      <c r="F331" s="4" t="n">
        <v>4167</v>
      </c>
    </row>
    <row r="332">
      <c r="A332" s="5" t="inlineStr">
        <is>
          <t>2025-05</t>
        </is>
      </c>
      <c r="B332" s="5" t="inlineStr">
        <is>
          <t>SKU0201</t>
        </is>
      </c>
      <c r="C332" s="5" t="inlineStr">
        <is>
          <t>アトルバスタチンOD錠「サンド」</t>
        </is>
      </c>
      <c r="D332" s="5" t="inlineStr">
        <is>
          <t>卸A</t>
        </is>
      </c>
      <c r="E332" s="5" t="n">
        <v>12777</v>
      </c>
      <c r="F332" s="5" t="n">
        <v>166307</v>
      </c>
    </row>
    <row r="333">
      <c r="A333" s="4" t="inlineStr">
        <is>
          <t>2025-05</t>
        </is>
      </c>
      <c r="B333" s="4" t="inlineStr">
        <is>
          <t>SKU0201</t>
        </is>
      </c>
      <c r="C333" s="4" t="inlineStr">
        <is>
          <t>アトルバスタチンOD錠「サンド」</t>
        </is>
      </c>
      <c r="D333" s="4" t="inlineStr">
        <is>
          <t>卸B</t>
        </is>
      </c>
      <c r="E333" s="4" t="n">
        <v>9446</v>
      </c>
      <c r="F333" s="4" t="n">
        <v>122959</v>
      </c>
    </row>
    <row r="334">
      <c r="A334" s="5" t="inlineStr">
        <is>
          <t>2025-05</t>
        </is>
      </c>
      <c r="B334" s="5" t="inlineStr">
        <is>
          <t>SKU0201</t>
        </is>
      </c>
      <c r="C334" s="5" t="inlineStr">
        <is>
          <t>アトルバスタチンOD錠「サンド」</t>
        </is>
      </c>
      <c r="D334" s="5" t="inlineStr">
        <is>
          <t>卸C</t>
        </is>
      </c>
      <c r="E334" s="5" t="n">
        <v>4847</v>
      </c>
      <c r="F334" s="5" t="n">
        <v>63085</v>
      </c>
    </row>
    <row r="335">
      <c r="A335" s="4" t="inlineStr">
        <is>
          <t>2025-06</t>
        </is>
      </c>
      <c r="B335" s="4" t="inlineStr">
        <is>
          <t>SKU0201</t>
        </is>
      </c>
      <c r="C335" s="4" t="inlineStr">
        <is>
          <t>アトルバスタチンOD錠「サンド」</t>
        </is>
      </c>
      <c r="D335" s="4" t="inlineStr">
        <is>
          <t>卸A</t>
        </is>
      </c>
      <c r="E335" s="4" t="n">
        <v>14169</v>
      </c>
      <c r="F335" s="4" t="n">
        <v>184435</v>
      </c>
    </row>
    <row r="336">
      <c r="A336" s="5" t="inlineStr">
        <is>
          <t>2025-06</t>
        </is>
      </c>
      <c r="B336" s="5" t="inlineStr">
        <is>
          <t>SKU0201</t>
        </is>
      </c>
      <c r="C336" s="5" t="inlineStr">
        <is>
          <t>アトルバスタチンOD錠「サンド」</t>
        </is>
      </c>
      <c r="D336" s="5" t="inlineStr">
        <is>
          <t>卸B</t>
        </is>
      </c>
      <c r="E336" s="5" t="n">
        <v>7803</v>
      </c>
      <c r="F336" s="5" t="n">
        <v>101565</v>
      </c>
    </row>
    <row r="337">
      <c r="A337" s="4" t="inlineStr">
        <is>
          <t>2025-06</t>
        </is>
      </c>
      <c r="B337" s="4" t="inlineStr">
        <is>
          <t>SKU0201</t>
        </is>
      </c>
      <c r="C337" s="4" t="inlineStr">
        <is>
          <t>アトルバスタチンOD錠「サンド」</t>
        </is>
      </c>
      <c r="D337" s="4" t="inlineStr">
        <is>
          <t>卸C</t>
        </is>
      </c>
      <c r="E337" s="4" t="n">
        <v>4627</v>
      </c>
      <c r="F337" s="4" t="n">
        <v>60229</v>
      </c>
    </row>
    <row r="338">
      <c r="A338" s="5" t="inlineStr">
        <is>
          <t>2025-07</t>
        </is>
      </c>
      <c r="B338" s="5" t="inlineStr">
        <is>
          <t>SKU0201</t>
        </is>
      </c>
      <c r="C338" s="5" t="inlineStr">
        <is>
          <t>アトルバスタチンOD錠「サンド」</t>
        </is>
      </c>
      <c r="D338" s="5" t="inlineStr">
        <is>
          <t>卸A</t>
        </is>
      </c>
      <c r="E338" s="5" t="n">
        <v>9934</v>
      </c>
      <c r="F338" s="5" t="n">
        <v>129309</v>
      </c>
    </row>
    <row r="339">
      <c r="A339" s="4" t="inlineStr">
        <is>
          <t>2025-07</t>
        </is>
      </c>
      <c r="B339" s="4" t="inlineStr">
        <is>
          <t>SKU0201</t>
        </is>
      </c>
      <c r="C339" s="4" t="inlineStr">
        <is>
          <t>アトルバスタチンOD錠「サンド」</t>
        </is>
      </c>
      <c r="D339" s="4" t="inlineStr">
        <is>
          <t>卸B</t>
        </is>
      </c>
      <c r="E339" s="4" t="n">
        <v>7174</v>
      </c>
      <c r="F339" s="4" t="n">
        <v>93378</v>
      </c>
    </row>
    <row r="340">
      <c r="A340" s="5" t="inlineStr">
        <is>
          <t>2025-07</t>
        </is>
      </c>
      <c r="B340" s="5" t="inlineStr">
        <is>
          <t>SKU0201</t>
        </is>
      </c>
      <c r="C340" s="5" t="inlineStr">
        <is>
          <t>アトルバスタチンOD錠「サンド」</t>
        </is>
      </c>
      <c r="D340" s="5" t="inlineStr">
        <is>
          <t>卸C</t>
        </is>
      </c>
      <c r="E340" s="5" t="n">
        <v>4155</v>
      </c>
      <c r="F340" s="5" t="n">
        <v>54084</v>
      </c>
    </row>
    <row r="341">
      <c r="A341" s="4" t="inlineStr">
        <is>
          <t>2025-08</t>
        </is>
      </c>
      <c r="B341" s="4" t="inlineStr">
        <is>
          <t>SKU0201</t>
        </is>
      </c>
      <c r="C341" s="4" t="inlineStr">
        <is>
          <t>アトルバスタチンOD錠「サンド」</t>
        </is>
      </c>
      <c r="D341" s="4" t="inlineStr">
        <is>
          <t>卸A</t>
        </is>
      </c>
      <c r="E341" s="4" t="n">
        <v>13383</v>
      </c>
      <c r="F341" s="4" t="n">
        <v>174199</v>
      </c>
    </row>
    <row r="342">
      <c r="A342" s="5" t="inlineStr">
        <is>
          <t>2025-08</t>
        </is>
      </c>
      <c r="B342" s="5" t="inlineStr">
        <is>
          <t>SKU0201</t>
        </is>
      </c>
      <c r="C342" s="5" t="inlineStr">
        <is>
          <t>アトルバスタチンOD錠「サンド」</t>
        </is>
      </c>
      <c r="D342" s="5" t="inlineStr">
        <is>
          <t>卸B</t>
        </is>
      </c>
      <c r="E342" s="5" t="n">
        <v>8393</v>
      </c>
      <c r="F342" s="5" t="n">
        <v>109251</v>
      </c>
    </row>
    <row r="343">
      <c r="A343" s="4" t="inlineStr">
        <is>
          <t>2025-08</t>
        </is>
      </c>
      <c r="B343" s="4" t="inlineStr">
        <is>
          <t>SKU0201</t>
        </is>
      </c>
      <c r="C343" s="4" t="inlineStr">
        <is>
          <t>アトルバスタチンOD錠「サンド」</t>
        </is>
      </c>
      <c r="D343" s="4" t="inlineStr">
        <is>
          <t>卸C</t>
        </is>
      </c>
      <c r="E343" s="4" t="n">
        <v>4058</v>
      </c>
      <c r="F343" s="4" t="n">
        <v>52815</v>
      </c>
    </row>
    <row r="344">
      <c r="A344" s="5" t="inlineStr">
        <is>
          <t>2025-09</t>
        </is>
      </c>
      <c r="B344" s="5" t="inlineStr">
        <is>
          <t>SKU0201</t>
        </is>
      </c>
      <c r="C344" s="5" t="inlineStr">
        <is>
          <t>アトルバスタチンOD錠「サンド」</t>
        </is>
      </c>
      <c r="D344" s="5" t="inlineStr">
        <is>
          <t>卸A</t>
        </is>
      </c>
      <c r="E344" s="5" t="n">
        <v>11087</v>
      </c>
      <c r="F344" s="5" t="n">
        <v>144312</v>
      </c>
    </row>
    <row r="345">
      <c r="A345" s="4" t="inlineStr">
        <is>
          <t>2025-09</t>
        </is>
      </c>
      <c r="B345" s="4" t="inlineStr">
        <is>
          <t>SKU0201</t>
        </is>
      </c>
      <c r="C345" s="4" t="inlineStr">
        <is>
          <t>アトルバスタチンOD錠「サンド」</t>
        </is>
      </c>
      <c r="D345" s="4" t="inlineStr">
        <is>
          <t>卸B</t>
        </is>
      </c>
      <c r="E345" s="4" t="n">
        <v>5803</v>
      </c>
      <c r="F345" s="4" t="n">
        <v>75529</v>
      </c>
    </row>
    <row r="346">
      <c r="A346" s="5" t="inlineStr">
        <is>
          <t>2025-09</t>
        </is>
      </c>
      <c r="B346" s="5" t="inlineStr">
        <is>
          <t>SKU0201</t>
        </is>
      </c>
      <c r="C346" s="5" t="inlineStr">
        <is>
          <t>アトルバスタチンOD錠「サンド」</t>
        </is>
      </c>
      <c r="D346" s="5" t="inlineStr">
        <is>
          <t>卸C</t>
        </is>
      </c>
      <c r="E346" s="5" t="n">
        <v>4467</v>
      </c>
      <c r="F346" s="5" t="n">
        <v>58143</v>
      </c>
    </row>
    <row r="347">
      <c r="A347" s="4" t="inlineStr">
        <is>
          <t>2025-10</t>
        </is>
      </c>
      <c r="B347" s="4" t="inlineStr">
        <is>
          <t>SKU0201</t>
        </is>
      </c>
      <c r="C347" s="4" t="inlineStr">
        <is>
          <t>アトルバスタチンOD錠「サンド」</t>
        </is>
      </c>
      <c r="D347" s="4" t="inlineStr">
        <is>
          <t>卸A</t>
        </is>
      </c>
      <c r="E347" s="4" t="n">
        <v>10824</v>
      </c>
      <c r="F347" s="4" t="n">
        <v>140887</v>
      </c>
    </row>
    <row r="348">
      <c r="A348" s="5" t="inlineStr">
        <is>
          <t>2025-10</t>
        </is>
      </c>
      <c r="B348" s="5" t="inlineStr">
        <is>
          <t>SKU0201</t>
        </is>
      </c>
      <c r="C348" s="5" t="inlineStr">
        <is>
          <t>アトルバスタチンOD錠「サンド」</t>
        </is>
      </c>
      <c r="D348" s="5" t="inlineStr">
        <is>
          <t>卸B</t>
        </is>
      </c>
      <c r="E348" s="5" t="n">
        <v>9997</v>
      </c>
      <c r="F348" s="5" t="n">
        <v>130124</v>
      </c>
    </row>
    <row r="349">
      <c r="A349" s="4" t="inlineStr">
        <is>
          <t>2025-10</t>
        </is>
      </c>
      <c r="B349" s="4" t="inlineStr">
        <is>
          <t>SKU0201</t>
        </is>
      </c>
      <c r="C349" s="4" t="inlineStr">
        <is>
          <t>アトルバスタチンOD錠「サンド」</t>
        </is>
      </c>
      <c r="D349" s="4" t="inlineStr">
        <is>
          <t>卸C</t>
        </is>
      </c>
      <c r="E349" s="4" t="n">
        <v>4065</v>
      </c>
      <c r="F349" s="4" t="n">
        <v>52914</v>
      </c>
    </row>
    <row r="350">
      <c r="A350" s="5" t="inlineStr">
        <is>
          <t>2025-11</t>
        </is>
      </c>
      <c r="B350" s="5" t="inlineStr">
        <is>
          <t>SKU0201</t>
        </is>
      </c>
      <c r="C350" s="5" t="inlineStr">
        <is>
          <t>アトルバスタチンOD錠「サンド」</t>
        </is>
      </c>
      <c r="D350" s="5" t="inlineStr">
        <is>
          <t>卸A</t>
        </is>
      </c>
      <c r="E350" s="5" t="n">
        <v>14241</v>
      </c>
      <c r="F350" s="5" t="n">
        <v>185362</v>
      </c>
    </row>
    <row r="351">
      <c r="A351" s="4" t="inlineStr">
        <is>
          <t>2025-11</t>
        </is>
      </c>
      <c r="B351" s="4" t="inlineStr">
        <is>
          <t>SKU0201</t>
        </is>
      </c>
      <c r="C351" s="4" t="inlineStr">
        <is>
          <t>アトルバスタチンOD錠「サンド」</t>
        </is>
      </c>
      <c r="D351" s="4" t="inlineStr">
        <is>
          <t>卸B</t>
        </is>
      </c>
      <c r="E351" s="4" t="n">
        <v>6894</v>
      </c>
      <c r="F351" s="4" t="n">
        <v>89740</v>
      </c>
    </row>
    <row r="352">
      <c r="A352" s="5" t="inlineStr">
        <is>
          <t>2025-11</t>
        </is>
      </c>
      <c r="B352" s="5" t="inlineStr">
        <is>
          <t>SKU0201</t>
        </is>
      </c>
      <c r="C352" s="5" t="inlineStr">
        <is>
          <t>アトルバスタチンOD錠「サンド」</t>
        </is>
      </c>
      <c r="D352" s="5" t="inlineStr">
        <is>
          <t>卸C</t>
        </is>
      </c>
      <c r="E352" s="5" t="n">
        <v>5794</v>
      </c>
      <c r="F352" s="5" t="n">
        <v>75416</v>
      </c>
    </row>
    <row r="353">
      <c r="A353" s="4" t="inlineStr">
        <is>
          <t>2025-12</t>
        </is>
      </c>
      <c r="B353" s="4" t="inlineStr">
        <is>
          <t>SKU0201</t>
        </is>
      </c>
      <c r="C353" s="4" t="inlineStr">
        <is>
          <t>アトルバスタチンOD錠「サンド」</t>
        </is>
      </c>
      <c r="D353" s="4" t="inlineStr">
        <is>
          <t>卸A</t>
        </is>
      </c>
      <c r="E353" s="4" t="n">
        <v>12649</v>
      </c>
      <c r="F353" s="4" t="n">
        <v>164645</v>
      </c>
    </row>
    <row r="354">
      <c r="A354" s="5" t="inlineStr">
        <is>
          <t>2025-12</t>
        </is>
      </c>
      <c r="B354" s="5" t="inlineStr">
        <is>
          <t>SKU0201</t>
        </is>
      </c>
      <c r="C354" s="5" t="inlineStr">
        <is>
          <t>アトルバスタチンOD錠「サンド」</t>
        </is>
      </c>
      <c r="D354" s="5" t="inlineStr">
        <is>
          <t>卸B</t>
        </is>
      </c>
      <c r="E354" s="5" t="n">
        <v>8749</v>
      </c>
      <c r="F354" s="5" t="n">
        <v>113876</v>
      </c>
    </row>
    <row r="355">
      <c r="A355" s="4" t="inlineStr">
        <is>
          <t>2025-12</t>
        </is>
      </c>
      <c r="B355" s="4" t="inlineStr">
        <is>
          <t>SKU0201</t>
        </is>
      </c>
      <c r="C355" s="4" t="inlineStr">
        <is>
          <t>アトルバスタチンOD錠「サンド」</t>
        </is>
      </c>
      <c r="D355" s="4" t="inlineStr">
        <is>
          <t>卸C</t>
        </is>
      </c>
      <c r="E355" s="4" t="n">
        <v>4161</v>
      </c>
      <c r="F355" s="4" t="n">
        <v>54157</v>
      </c>
    </row>
    <row r="356">
      <c r="A356" s="5" t="inlineStr">
        <is>
          <t>2026-01</t>
        </is>
      </c>
      <c r="B356" s="5" t="inlineStr">
        <is>
          <t>SKU0201</t>
        </is>
      </c>
      <c r="C356" s="5" t="inlineStr">
        <is>
          <t>アトルバスタチンOD錠「サンド」</t>
        </is>
      </c>
      <c r="D356" s="5" t="inlineStr">
        <is>
          <t>卸A</t>
        </is>
      </c>
      <c r="E356" s="5" t="n">
        <v>8044</v>
      </c>
      <c r="F356" s="5" t="n">
        <v>104698</v>
      </c>
    </row>
    <row r="357">
      <c r="A357" s="4" t="inlineStr">
        <is>
          <t>2026-01</t>
        </is>
      </c>
      <c r="B357" s="4" t="inlineStr">
        <is>
          <t>SKU0201</t>
        </is>
      </c>
      <c r="C357" s="4" t="inlineStr">
        <is>
          <t>アトルバスタチンOD錠「サンド」</t>
        </is>
      </c>
      <c r="D357" s="4" t="inlineStr">
        <is>
          <t>卸B</t>
        </is>
      </c>
      <c r="E357" s="4" t="n">
        <v>4808</v>
      </c>
      <c r="F357" s="4" t="n">
        <v>62577</v>
      </c>
    </row>
    <row r="358">
      <c r="A358" s="5" t="inlineStr">
        <is>
          <t>2026-01</t>
        </is>
      </c>
      <c r="B358" s="5" t="inlineStr">
        <is>
          <t>SKU0201</t>
        </is>
      </c>
      <c r="C358" s="5" t="inlineStr">
        <is>
          <t>アトルバスタチンOD錠「サンド」</t>
        </is>
      </c>
      <c r="D358" s="5" t="inlineStr">
        <is>
          <t>卸C</t>
        </is>
      </c>
      <c r="E358" s="5" t="n">
        <v>2410</v>
      </c>
      <c r="F358" s="5" t="n">
        <v>31368</v>
      </c>
    </row>
    <row r="359">
      <c r="A359" s="4" t="inlineStr">
        <is>
          <t>2026-02</t>
        </is>
      </c>
      <c r="B359" s="4" t="inlineStr">
        <is>
          <t>SKU0201</t>
        </is>
      </c>
      <c r="C359" s="4" t="inlineStr">
        <is>
          <t>アトルバスタチンOD錠「サンド」</t>
        </is>
      </c>
      <c r="D359" s="4" t="inlineStr">
        <is>
          <t>卸A</t>
        </is>
      </c>
      <c r="E359" s="4" t="n">
        <v>12402</v>
      </c>
      <c r="F359" s="4" t="n">
        <v>161433</v>
      </c>
    </row>
    <row r="360">
      <c r="A360" s="5" t="inlineStr">
        <is>
          <t>2026-02</t>
        </is>
      </c>
      <c r="B360" s="5" t="inlineStr">
        <is>
          <t>SKU0201</t>
        </is>
      </c>
      <c r="C360" s="5" t="inlineStr">
        <is>
          <t>アトルバスタチンOD錠「サンド」</t>
        </is>
      </c>
      <c r="D360" s="5" t="inlineStr">
        <is>
          <t>卸B</t>
        </is>
      </c>
      <c r="E360" s="5" t="n">
        <v>9274</v>
      </c>
      <c r="F360" s="5" t="n">
        <v>120714</v>
      </c>
    </row>
    <row r="361">
      <c r="A361" s="4" t="inlineStr">
        <is>
          <t>2026-02</t>
        </is>
      </c>
      <c r="B361" s="4" t="inlineStr">
        <is>
          <t>SKU0201</t>
        </is>
      </c>
      <c r="C361" s="4" t="inlineStr">
        <is>
          <t>アトルバスタチンOD錠「サンド」</t>
        </is>
      </c>
      <c r="D361" s="4" t="inlineStr">
        <is>
          <t>卸C</t>
        </is>
      </c>
      <c r="E361" s="4" t="n">
        <v>5277</v>
      </c>
      <c r="F361" s="4" t="n">
        <v>68684</v>
      </c>
    </row>
    <row r="362">
      <c r="A362" s="5" t="inlineStr">
        <is>
          <t>2026-03</t>
        </is>
      </c>
      <c r="B362" s="5" t="inlineStr">
        <is>
          <t>SKU0201</t>
        </is>
      </c>
      <c r="C362" s="5" t="inlineStr">
        <is>
          <t>アトルバスタチンOD錠「サンド」</t>
        </is>
      </c>
      <c r="D362" s="5" t="inlineStr">
        <is>
          <t>卸A</t>
        </is>
      </c>
      <c r="E362" s="5" t="n">
        <v>16661</v>
      </c>
      <c r="F362" s="5" t="n">
        <v>216864</v>
      </c>
    </row>
    <row r="363">
      <c r="A363" s="4" t="inlineStr">
        <is>
          <t>2026-03</t>
        </is>
      </c>
      <c r="B363" s="4" t="inlineStr">
        <is>
          <t>SKU0201</t>
        </is>
      </c>
      <c r="C363" s="4" t="inlineStr">
        <is>
          <t>アトルバスタチンOD錠「サンド」</t>
        </is>
      </c>
      <c r="D363" s="4" t="inlineStr">
        <is>
          <t>卸B</t>
        </is>
      </c>
      <c r="E363" s="4" t="n">
        <v>13488</v>
      </c>
      <c r="F363" s="4" t="n">
        <v>175572</v>
      </c>
    </row>
    <row r="364">
      <c r="A364" s="5" t="inlineStr">
        <is>
          <t>2026-03</t>
        </is>
      </c>
      <c r="B364" s="5" t="inlineStr">
        <is>
          <t>SKU0201</t>
        </is>
      </c>
      <c r="C364" s="5" t="inlineStr">
        <is>
          <t>アトルバスタチンOD錠「サンド」</t>
        </is>
      </c>
      <c r="D364" s="5" t="inlineStr">
        <is>
          <t>卸C</t>
        </is>
      </c>
      <c r="E364" s="5" t="n">
        <v>6556</v>
      </c>
      <c r="F364" s="5" t="n">
        <v>85332</v>
      </c>
    </row>
    <row r="365">
      <c r="A365" s="4" t="inlineStr">
        <is>
          <t>2026-04</t>
        </is>
      </c>
      <c r="B365" s="4" t="inlineStr">
        <is>
          <t>SKU0201</t>
        </is>
      </c>
      <c r="C365" s="4" t="inlineStr">
        <is>
          <t>アトルバスタチンOD錠「サンド」</t>
        </is>
      </c>
      <c r="D365" s="4" t="inlineStr">
        <is>
          <t>卸A</t>
        </is>
      </c>
      <c r="E365" s="4" t="n">
        <v>5840</v>
      </c>
      <c r="F365" s="4" t="n">
        <v>71459</v>
      </c>
    </row>
    <row r="366">
      <c r="A366" s="5" t="inlineStr">
        <is>
          <t>2026-04</t>
        </is>
      </c>
      <c r="B366" s="5" t="inlineStr">
        <is>
          <t>SKU0201</t>
        </is>
      </c>
      <c r="C366" s="5" t="inlineStr">
        <is>
          <t>アトルバスタチンOD錠「サンド」</t>
        </is>
      </c>
      <c r="D366" s="5" t="inlineStr">
        <is>
          <t>卸B</t>
        </is>
      </c>
      <c r="E366" s="5" t="n">
        <v>0</v>
      </c>
      <c r="F366" s="5" t="n">
        <v>0</v>
      </c>
    </row>
    <row r="367">
      <c r="A367" s="4" t="inlineStr">
        <is>
          <t>2026-04</t>
        </is>
      </c>
      <c r="B367" s="4" t="inlineStr">
        <is>
          <t>SKU0201</t>
        </is>
      </c>
      <c r="C367" s="4" t="inlineStr">
        <is>
          <t>アトルバスタチンOD錠「サンド」</t>
        </is>
      </c>
      <c r="D367" s="4" t="inlineStr">
        <is>
          <t>卸C</t>
        </is>
      </c>
      <c r="E367" s="4" t="n">
        <v>647</v>
      </c>
      <c r="F367" s="4" t="n">
        <v>7916</v>
      </c>
    </row>
    <row r="368">
      <c r="A368" s="5" t="inlineStr">
        <is>
          <t>2026-05</t>
        </is>
      </c>
      <c r="B368" s="5" t="inlineStr">
        <is>
          <t>SKU0201</t>
        </is>
      </c>
      <c r="C368" s="5" t="inlineStr">
        <is>
          <t>アトルバスタチンOD錠「サンド」</t>
        </is>
      </c>
      <c r="D368" s="5" t="inlineStr">
        <is>
          <t>卸A</t>
        </is>
      </c>
      <c r="E368" s="5" t="n">
        <v>10001</v>
      </c>
      <c r="F368" s="5" t="n">
        <v>122368</v>
      </c>
    </row>
    <row r="369">
      <c r="A369" s="4" t="inlineStr">
        <is>
          <t>2026-05</t>
        </is>
      </c>
      <c r="B369" s="4" t="inlineStr">
        <is>
          <t>SKU0201</t>
        </is>
      </c>
      <c r="C369" s="4" t="inlineStr">
        <is>
          <t>アトルバスタチンOD錠「サンド」</t>
        </is>
      </c>
      <c r="D369" s="4" t="inlineStr">
        <is>
          <t>卸B</t>
        </is>
      </c>
      <c r="E369" s="4" t="n">
        <v>7202</v>
      </c>
      <c r="F369" s="4" t="n">
        <v>88115</v>
      </c>
    </row>
    <row r="370">
      <c r="A370" s="5" t="inlineStr">
        <is>
          <t>2026-05</t>
        </is>
      </c>
      <c r="B370" s="5" t="inlineStr">
        <is>
          <t>SKU0201</t>
        </is>
      </c>
      <c r="C370" s="5" t="inlineStr">
        <is>
          <t>アトルバスタチンOD錠「サンド」</t>
        </is>
      </c>
      <c r="D370" s="5" t="inlineStr">
        <is>
          <t>卸C</t>
        </is>
      </c>
      <c r="E370" s="5" t="n">
        <v>3093</v>
      </c>
      <c r="F370" s="5" t="n">
        <v>37842</v>
      </c>
    </row>
    <row r="371">
      <c r="A371" s="4" t="inlineStr">
        <is>
          <t>2023-01</t>
        </is>
      </c>
      <c r="B371" s="4" t="inlineStr">
        <is>
          <t>SKU0202</t>
        </is>
      </c>
      <c r="C371" s="4" t="inlineStr">
        <is>
          <t>アトルバスタチンOD錠「サンド」</t>
        </is>
      </c>
      <c r="D371" s="4" t="inlineStr">
        <is>
          <t>卸A</t>
        </is>
      </c>
      <c r="E371" s="4" t="n">
        <v>8724</v>
      </c>
      <c r="F371" s="4" t="n">
        <v>213742</v>
      </c>
    </row>
    <row r="372">
      <c r="A372" s="5" t="inlineStr">
        <is>
          <t>2023-01</t>
        </is>
      </c>
      <c r="B372" s="5" t="inlineStr">
        <is>
          <t>SKU0202</t>
        </is>
      </c>
      <c r="C372" s="5" t="inlineStr">
        <is>
          <t>アトルバスタチンOD錠「サンド」</t>
        </is>
      </c>
      <c r="D372" s="5" t="inlineStr">
        <is>
          <t>卸B</t>
        </is>
      </c>
      <c r="E372" s="5" t="n">
        <v>5843</v>
      </c>
      <c r="F372" s="5" t="n">
        <v>143161</v>
      </c>
    </row>
    <row r="373">
      <c r="A373" s="4" t="inlineStr">
        <is>
          <t>2023-01</t>
        </is>
      </c>
      <c r="B373" s="4" t="inlineStr">
        <is>
          <t>SKU0202</t>
        </is>
      </c>
      <c r="C373" s="4" t="inlineStr">
        <is>
          <t>アトルバスタチンOD錠「サンド」</t>
        </is>
      </c>
      <c r="D373" s="4" t="inlineStr">
        <is>
          <t>卸C</t>
        </is>
      </c>
      <c r="E373" s="4" t="n">
        <v>3214</v>
      </c>
      <c r="F373" s="4" t="n">
        <v>78751</v>
      </c>
    </row>
    <row r="374">
      <c r="A374" s="5" t="inlineStr">
        <is>
          <t>2023-02</t>
        </is>
      </c>
      <c r="B374" s="5" t="inlineStr">
        <is>
          <t>SKU0202</t>
        </is>
      </c>
      <c r="C374" s="5" t="inlineStr">
        <is>
          <t>アトルバスタチンOD錠「サンド」</t>
        </is>
      </c>
      <c r="D374" s="5" t="inlineStr">
        <is>
          <t>卸A</t>
        </is>
      </c>
      <c r="E374" s="5" t="n">
        <v>7838</v>
      </c>
      <c r="F374" s="5" t="n">
        <v>192028</v>
      </c>
    </row>
    <row r="375">
      <c r="A375" s="4" t="inlineStr">
        <is>
          <t>2023-02</t>
        </is>
      </c>
      <c r="B375" s="4" t="inlineStr">
        <is>
          <t>SKU0202</t>
        </is>
      </c>
      <c r="C375" s="4" t="inlineStr">
        <is>
          <t>アトルバスタチンOD錠「サンド」</t>
        </is>
      </c>
      <c r="D375" s="4" t="inlineStr">
        <is>
          <t>卸B</t>
        </is>
      </c>
      <c r="E375" s="4" t="n">
        <v>4941</v>
      </c>
      <c r="F375" s="4" t="n">
        <v>121052</v>
      </c>
    </row>
    <row r="376">
      <c r="A376" s="5" t="inlineStr">
        <is>
          <t>2023-02</t>
        </is>
      </c>
      <c r="B376" s="5" t="inlineStr">
        <is>
          <t>SKU0202</t>
        </is>
      </c>
      <c r="C376" s="5" t="inlineStr">
        <is>
          <t>アトルバスタチンOD錠「サンド」</t>
        </is>
      </c>
      <c r="D376" s="5" t="inlineStr">
        <is>
          <t>卸C</t>
        </is>
      </c>
      <c r="E376" s="5" t="n">
        <v>2434</v>
      </c>
      <c r="F376" s="5" t="n">
        <v>59638</v>
      </c>
    </row>
    <row r="377">
      <c r="A377" s="4" t="inlineStr">
        <is>
          <t>2023-03</t>
        </is>
      </c>
      <c r="B377" s="4" t="inlineStr">
        <is>
          <t>SKU0202</t>
        </is>
      </c>
      <c r="C377" s="4" t="inlineStr">
        <is>
          <t>アトルバスタチンOD錠「サンド」</t>
        </is>
      </c>
      <c r="D377" s="4" t="inlineStr">
        <is>
          <t>卸A</t>
        </is>
      </c>
      <c r="E377" s="4" t="n">
        <v>8778</v>
      </c>
      <c r="F377" s="4" t="n">
        <v>215058</v>
      </c>
    </row>
    <row r="378">
      <c r="A378" s="5" t="inlineStr">
        <is>
          <t>2023-03</t>
        </is>
      </c>
      <c r="B378" s="5" t="inlineStr">
        <is>
          <t>SKU0202</t>
        </is>
      </c>
      <c r="C378" s="5" t="inlineStr">
        <is>
          <t>アトルバスタチンOD錠「サンド」</t>
        </is>
      </c>
      <c r="D378" s="5" t="inlineStr">
        <is>
          <t>卸B</t>
        </is>
      </c>
      <c r="E378" s="5" t="n">
        <v>5161</v>
      </c>
      <c r="F378" s="5" t="n">
        <v>126456</v>
      </c>
    </row>
    <row r="379">
      <c r="A379" s="4" t="inlineStr">
        <is>
          <t>2023-03</t>
        </is>
      </c>
      <c r="B379" s="4" t="inlineStr">
        <is>
          <t>SKU0202</t>
        </is>
      </c>
      <c r="C379" s="4" t="inlineStr">
        <is>
          <t>アトルバスタチンOD錠「サンド」</t>
        </is>
      </c>
      <c r="D379" s="4" t="inlineStr">
        <is>
          <t>卸C</t>
        </is>
      </c>
      <c r="E379" s="4" t="n">
        <v>2845</v>
      </c>
      <c r="F379" s="4" t="n">
        <v>69709</v>
      </c>
    </row>
    <row r="380">
      <c r="A380" s="5" t="inlineStr">
        <is>
          <t>2023-04</t>
        </is>
      </c>
      <c r="B380" s="5" t="inlineStr">
        <is>
          <t>SKU0202</t>
        </is>
      </c>
      <c r="C380" s="5" t="inlineStr">
        <is>
          <t>アトルバスタチンOD錠「サンド」</t>
        </is>
      </c>
      <c r="D380" s="5" t="inlineStr">
        <is>
          <t>卸A</t>
        </is>
      </c>
      <c r="E380" s="5" t="n">
        <v>8031</v>
      </c>
      <c r="F380" s="5" t="n">
        <v>196752</v>
      </c>
    </row>
    <row r="381">
      <c r="A381" s="4" t="inlineStr">
        <is>
          <t>2023-04</t>
        </is>
      </c>
      <c r="B381" s="4" t="inlineStr">
        <is>
          <t>SKU0202</t>
        </is>
      </c>
      <c r="C381" s="4" t="inlineStr">
        <is>
          <t>アトルバスタチンOD錠「サンド」</t>
        </is>
      </c>
      <c r="D381" s="4" t="inlineStr">
        <is>
          <t>卸B</t>
        </is>
      </c>
      <c r="E381" s="4" t="n">
        <v>5666</v>
      </c>
      <c r="F381" s="4" t="n">
        <v>138828</v>
      </c>
    </row>
    <row r="382">
      <c r="A382" s="5" t="inlineStr">
        <is>
          <t>2023-04</t>
        </is>
      </c>
      <c r="B382" s="5" t="inlineStr">
        <is>
          <t>SKU0202</t>
        </is>
      </c>
      <c r="C382" s="5" t="inlineStr">
        <is>
          <t>アトルバスタチンOD錠「サンド」</t>
        </is>
      </c>
      <c r="D382" s="5" t="inlineStr">
        <is>
          <t>卸C</t>
        </is>
      </c>
      <c r="E382" s="5" t="n">
        <v>3071</v>
      </c>
      <c r="F382" s="5" t="n">
        <v>75239</v>
      </c>
    </row>
    <row r="383">
      <c r="A383" s="4" t="inlineStr">
        <is>
          <t>2023-05</t>
        </is>
      </c>
      <c r="B383" s="4" t="inlineStr">
        <is>
          <t>SKU0202</t>
        </is>
      </c>
      <c r="C383" s="4" t="inlineStr">
        <is>
          <t>アトルバスタチンOD錠「サンド」</t>
        </is>
      </c>
      <c r="D383" s="4" t="inlineStr">
        <is>
          <t>卸A</t>
        </is>
      </c>
      <c r="E383" s="4" t="n">
        <v>8244</v>
      </c>
      <c r="F383" s="4" t="n">
        <v>201968</v>
      </c>
    </row>
    <row r="384">
      <c r="A384" s="5" t="inlineStr">
        <is>
          <t>2023-05</t>
        </is>
      </c>
      <c r="B384" s="5" t="inlineStr">
        <is>
          <t>SKU0202</t>
        </is>
      </c>
      <c r="C384" s="5" t="inlineStr">
        <is>
          <t>アトルバスタチンOD錠「サンド」</t>
        </is>
      </c>
      <c r="D384" s="5" t="inlineStr">
        <is>
          <t>卸B</t>
        </is>
      </c>
      <c r="E384" s="5" t="n">
        <v>5527</v>
      </c>
      <c r="F384" s="5" t="n">
        <v>135409</v>
      </c>
    </row>
    <row r="385">
      <c r="A385" s="4" t="inlineStr">
        <is>
          <t>2023-05</t>
        </is>
      </c>
      <c r="B385" s="4" t="inlineStr">
        <is>
          <t>SKU0202</t>
        </is>
      </c>
      <c r="C385" s="4" t="inlineStr">
        <is>
          <t>アトルバスタチンOD錠「サンド」</t>
        </is>
      </c>
      <c r="D385" s="4" t="inlineStr">
        <is>
          <t>卸C</t>
        </is>
      </c>
      <c r="E385" s="4" t="n">
        <v>3361</v>
      </c>
      <c r="F385" s="4" t="n">
        <v>82350</v>
      </c>
    </row>
    <row r="386">
      <c r="A386" s="5" t="inlineStr">
        <is>
          <t>2023-06</t>
        </is>
      </c>
      <c r="B386" s="5" t="inlineStr">
        <is>
          <t>SKU0202</t>
        </is>
      </c>
      <c r="C386" s="5" t="inlineStr">
        <is>
          <t>アトルバスタチンOD錠「サンド」</t>
        </is>
      </c>
      <c r="D386" s="5" t="inlineStr">
        <is>
          <t>卸A</t>
        </is>
      </c>
      <c r="E386" s="5" t="n">
        <v>9759</v>
      </c>
      <c r="F386" s="5" t="n">
        <v>239093</v>
      </c>
    </row>
    <row r="387">
      <c r="A387" s="4" t="inlineStr">
        <is>
          <t>2023-06</t>
        </is>
      </c>
      <c r="B387" s="4" t="inlineStr">
        <is>
          <t>SKU0202</t>
        </is>
      </c>
      <c r="C387" s="4" t="inlineStr">
        <is>
          <t>アトルバスタチンOD錠「サンド」</t>
        </is>
      </c>
      <c r="D387" s="4" t="inlineStr">
        <is>
          <t>卸B</t>
        </is>
      </c>
      <c r="E387" s="4" t="n">
        <v>6075</v>
      </c>
      <c r="F387" s="4" t="n">
        <v>148827</v>
      </c>
    </row>
    <row r="388">
      <c r="A388" s="5" t="inlineStr">
        <is>
          <t>2023-06</t>
        </is>
      </c>
      <c r="B388" s="5" t="inlineStr">
        <is>
          <t>SKU0202</t>
        </is>
      </c>
      <c r="C388" s="5" t="inlineStr">
        <is>
          <t>アトルバスタチンOD錠「サンド」</t>
        </is>
      </c>
      <c r="D388" s="5" t="inlineStr">
        <is>
          <t>卸C</t>
        </is>
      </c>
      <c r="E388" s="5" t="n">
        <v>3993</v>
      </c>
      <c r="F388" s="5" t="n">
        <v>97836</v>
      </c>
    </row>
    <row r="389">
      <c r="A389" s="4" t="inlineStr">
        <is>
          <t>2023-07</t>
        </is>
      </c>
      <c r="B389" s="4" t="inlineStr">
        <is>
          <t>SKU0202</t>
        </is>
      </c>
      <c r="C389" s="4" t="inlineStr">
        <is>
          <t>アトルバスタチンOD錠「サンド」</t>
        </is>
      </c>
      <c r="D389" s="4" t="inlineStr">
        <is>
          <t>卸A</t>
        </is>
      </c>
      <c r="E389" s="4" t="n">
        <v>7358</v>
      </c>
      <c r="F389" s="4" t="n">
        <v>180282</v>
      </c>
    </row>
    <row r="390">
      <c r="A390" s="5" t="inlineStr">
        <is>
          <t>2023-07</t>
        </is>
      </c>
      <c r="B390" s="5" t="inlineStr">
        <is>
          <t>SKU0202</t>
        </is>
      </c>
      <c r="C390" s="5" t="inlineStr">
        <is>
          <t>アトルバスタチンOD錠「サンド」</t>
        </is>
      </c>
      <c r="D390" s="5" t="inlineStr">
        <is>
          <t>卸B</t>
        </is>
      </c>
      <c r="E390" s="5" t="n">
        <v>5085</v>
      </c>
      <c r="F390" s="5" t="n">
        <v>124575</v>
      </c>
    </row>
    <row r="391">
      <c r="A391" s="4" t="inlineStr">
        <is>
          <t>2023-07</t>
        </is>
      </c>
      <c r="B391" s="4" t="inlineStr">
        <is>
          <t>SKU0202</t>
        </is>
      </c>
      <c r="C391" s="4" t="inlineStr">
        <is>
          <t>アトルバスタチンOD錠「サンド」</t>
        </is>
      </c>
      <c r="D391" s="4" t="inlineStr">
        <is>
          <t>卸C</t>
        </is>
      </c>
      <c r="E391" s="4" t="n">
        <v>2423</v>
      </c>
      <c r="F391" s="4" t="n">
        <v>59361</v>
      </c>
    </row>
    <row r="392">
      <c r="A392" s="5" t="inlineStr">
        <is>
          <t>2023-08</t>
        </is>
      </c>
      <c r="B392" s="5" t="inlineStr">
        <is>
          <t>SKU0202</t>
        </is>
      </c>
      <c r="C392" s="5" t="inlineStr">
        <is>
          <t>アトルバスタチンOD錠「サンド」</t>
        </is>
      </c>
      <c r="D392" s="5" t="inlineStr">
        <is>
          <t>卸A</t>
        </is>
      </c>
      <c r="E392" s="5" t="n">
        <v>10255</v>
      </c>
      <c r="F392" s="5" t="n">
        <v>251244</v>
      </c>
    </row>
    <row r="393">
      <c r="A393" s="4" t="inlineStr">
        <is>
          <t>2023-08</t>
        </is>
      </c>
      <c r="B393" s="4" t="inlineStr">
        <is>
          <t>SKU0202</t>
        </is>
      </c>
      <c r="C393" s="4" t="inlineStr">
        <is>
          <t>アトルバスタチンOD錠「サンド」</t>
        </is>
      </c>
      <c r="D393" s="4" t="inlineStr">
        <is>
          <t>卸B</t>
        </is>
      </c>
      <c r="E393" s="4" t="n">
        <v>6366</v>
      </c>
      <c r="F393" s="4" t="n">
        <v>155964</v>
      </c>
    </row>
    <row r="394">
      <c r="A394" s="5" t="inlineStr">
        <is>
          <t>2023-08</t>
        </is>
      </c>
      <c r="B394" s="5" t="inlineStr">
        <is>
          <t>SKU0202</t>
        </is>
      </c>
      <c r="C394" s="5" t="inlineStr">
        <is>
          <t>アトルバスタチンOD錠「サンド」</t>
        </is>
      </c>
      <c r="D394" s="5" t="inlineStr">
        <is>
          <t>卸C</t>
        </is>
      </c>
      <c r="E394" s="5" t="n">
        <v>3632</v>
      </c>
      <c r="F394" s="5" t="n">
        <v>88976</v>
      </c>
    </row>
    <row r="395">
      <c r="A395" s="4" t="inlineStr">
        <is>
          <t>2023-09</t>
        </is>
      </c>
      <c r="B395" s="4" t="inlineStr">
        <is>
          <t>SKU0202</t>
        </is>
      </c>
      <c r="C395" s="4" t="inlineStr">
        <is>
          <t>アトルバスタチンOD錠「サンド」</t>
        </is>
      </c>
      <c r="D395" s="4" t="inlineStr">
        <is>
          <t>卸A</t>
        </is>
      </c>
      <c r="E395" s="4" t="n">
        <v>9704</v>
      </c>
      <c r="F395" s="4" t="n">
        <v>237759</v>
      </c>
    </row>
    <row r="396">
      <c r="A396" s="5" t="inlineStr">
        <is>
          <t>2023-09</t>
        </is>
      </c>
      <c r="B396" s="5" t="inlineStr">
        <is>
          <t>SKU0202</t>
        </is>
      </c>
      <c r="C396" s="5" t="inlineStr">
        <is>
          <t>アトルバスタチンOD錠「サンド」</t>
        </is>
      </c>
      <c r="D396" s="5" t="inlineStr">
        <is>
          <t>卸B</t>
        </is>
      </c>
      <c r="E396" s="5" t="n">
        <v>5921</v>
      </c>
      <c r="F396" s="5" t="n">
        <v>145072</v>
      </c>
    </row>
    <row r="397">
      <c r="A397" s="4" t="inlineStr">
        <is>
          <t>2023-09</t>
        </is>
      </c>
      <c r="B397" s="4" t="inlineStr">
        <is>
          <t>SKU0202</t>
        </is>
      </c>
      <c r="C397" s="4" t="inlineStr">
        <is>
          <t>アトルバスタチンOD錠「サンド」</t>
        </is>
      </c>
      <c r="D397" s="4" t="inlineStr">
        <is>
          <t>卸C</t>
        </is>
      </c>
      <c r="E397" s="4" t="n">
        <v>3474</v>
      </c>
      <c r="F397" s="4" t="n">
        <v>85121</v>
      </c>
    </row>
    <row r="398">
      <c r="A398" s="5" t="inlineStr">
        <is>
          <t>2023-10</t>
        </is>
      </c>
      <c r="B398" s="5" t="inlineStr">
        <is>
          <t>SKU0202</t>
        </is>
      </c>
      <c r="C398" s="5" t="inlineStr">
        <is>
          <t>アトルバスタチンOD錠「サンド」</t>
        </is>
      </c>
      <c r="D398" s="5" t="inlineStr">
        <is>
          <t>卸A</t>
        </is>
      </c>
      <c r="E398" s="5" t="n">
        <v>10152</v>
      </c>
      <c r="F398" s="5" t="n">
        <v>248718</v>
      </c>
    </row>
    <row r="399">
      <c r="A399" s="4" t="inlineStr">
        <is>
          <t>2023-10</t>
        </is>
      </c>
      <c r="B399" s="4" t="inlineStr">
        <is>
          <t>SKU0202</t>
        </is>
      </c>
      <c r="C399" s="4" t="inlineStr">
        <is>
          <t>アトルバスタチンOD錠「サンド」</t>
        </is>
      </c>
      <c r="D399" s="4" t="inlineStr">
        <is>
          <t>卸B</t>
        </is>
      </c>
      <c r="E399" s="4" t="n">
        <v>6826</v>
      </c>
      <c r="F399" s="4" t="n">
        <v>167239</v>
      </c>
    </row>
    <row r="400">
      <c r="A400" s="5" t="inlineStr">
        <is>
          <t>2023-10</t>
        </is>
      </c>
      <c r="B400" s="5" t="inlineStr">
        <is>
          <t>SKU0202</t>
        </is>
      </c>
      <c r="C400" s="5" t="inlineStr">
        <is>
          <t>アトルバスタチンOD錠「サンド」</t>
        </is>
      </c>
      <c r="D400" s="5" t="inlineStr">
        <is>
          <t>卸C</t>
        </is>
      </c>
      <c r="E400" s="5" t="n">
        <v>3509</v>
      </c>
      <c r="F400" s="5" t="n">
        <v>85968</v>
      </c>
    </row>
    <row r="401">
      <c r="A401" s="4" t="inlineStr">
        <is>
          <t>2023-11</t>
        </is>
      </c>
      <c r="B401" s="4" t="inlineStr">
        <is>
          <t>SKU0202</t>
        </is>
      </c>
      <c r="C401" s="4" t="inlineStr">
        <is>
          <t>アトルバスタチンOD錠「サンド」</t>
        </is>
      </c>
      <c r="D401" s="4" t="inlineStr">
        <is>
          <t>卸A</t>
        </is>
      </c>
      <c r="E401" s="4" t="n">
        <v>10419</v>
      </c>
      <c r="F401" s="4" t="n">
        <v>255274</v>
      </c>
    </row>
    <row r="402">
      <c r="A402" s="5" t="inlineStr">
        <is>
          <t>2023-11</t>
        </is>
      </c>
      <c r="B402" s="5" t="inlineStr">
        <is>
          <t>SKU0202</t>
        </is>
      </c>
      <c r="C402" s="5" t="inlineStr">
        <is>
          <t>アトルバスタチンOD錠「サンド」</t>
        </is>
      </c>
      <c r="D402" s="5" t="inlineStr">
        <is>
          <t>卸B</t>
        </is>
      </c>
      <c r="E402" s="5" t="n">
        <v>5364</v>
      </c>
      <c r="F402" s="5" t="n">
        <v>131420</v>
      </c>
    </row>
    <row r="403">
      <c r="A403" s="4" t="inlineStr">
        <is>
          <t>2023-11</t>
        </is>
      </c>
      <c r="B403" s="4" t="inlineStr">
        <is>
          <t>SKU0202</t>
        </is>
      </c>
      <c r="C403" s="4" t="inlineStr">
        <is>
          <t>アトルバスタチンOD錠「サンド」</t>
        </is>
      </c>
      <c r="D403" s="4" t="inlineStr">
        <is>
          <t>卸C</t>
        </is>
      </c>
      <c r="E403" s="4" t="n">
        <v>4457</v>
      </c>
      <c r="F403" s="4" t="n">
        <v>109196</v>
      </c>
    </row>
    <row r="404">
      <c r="A404" s="5" t="inlineStr">
        <is>
          <t>2023-12</t>
        </is>
      </c>
      <c r="B404" s="5" t="inlineStr">
        <is>
          <t>SKU0202</t>
        </is>
      </c>
      <c r="C404" s="5" t="inlineStr">
        <is>
          <t>アトルバスタチンOD錠「サンド」</t>
        </is>
      </c>
      <c r="D404" s="5" t="inlineStr">
        <is>
          <t>卸A</t>
        </is>
      </c>
      <c r="E404" s="5" t="n">
        <v>10291</v>
      </c>
      <c r="F404" s="5" t="n">
        <v>252142</v>
      </c>
    </row>
    <row r="405">
      <c r="A405" s="4" t="inlineStr">
        <is>
          <t>2023-12</t>
        </is>
      </c>
      <c r="B405" s="4" t="inlineStr">
        <is>
          <t>SKU0202</t>
        </is>
      </c>
      <c r="C405" s="4" t="inlineStr">
        <is>
          <t>アトルバスタチンOD錠「サンド」</t>
        </is>
      </c>
      <c r="D405" s="4" t="inlineStr">
        <is>
          <t>卸B</t>
        </is>
      </c>
      <c r="E405" s="4" t="n">
        <v>7984</v>
      </c>
      <c r="F405" s="4" t="n">
        <v>195612</v>
      </c>
    </row>
    <row r="406">
      <c r="A406" s="5" t="inlineStr">
        <is>
          <t>2023-12</t>
        </is>
      </c>
      <c r="B406" s="5" t="inlineStr">
        <is>
          <t>SKU0202</t>
        </is>
      </c>
      <c r="C406" s="5" t="inlineStr">
        <is>
          <t>アトルバスタチンOD錠「サンド」</t>
        </is>
      </c>
      <c r="D406" s="5" t="inlineStr">
        <is>
          <t>卸C</t>
        </is>
      </c>
      <c r="E406" s="5" t="n">
        <v>4082</v>
      </c>
      <c r="F406" s="5" t="n">
        <v>100007</v>
      </c>
    </row>
    <row r="407">
      <c r="A407" s="4" t="inlineStr">
        <is>
          <t>2024-01</t>
        </is>
      </c>
      <c r="B407" s="4" t="inlineStr">
        <is>
          <t>SKU0202</t>
        </is>
      </c>
      <c r="C407" s="4" t="inlineStr">
        <is>
          <t>アトルバスタチンOD錠「サンド」</t>
        </is>
      </c>
      <c r="D407" s="4" t="inlineStr">
        <is>
          <t>卸A</t>
        </is>
      </c>
      <c r="E407" s="4" t="n">
        <v>10533</v>
      </c>
      <c r="F407" s="4" t="n">
        <v>258047</v>
      </c>
    </row>
    <row r="408">
      <c r="A408" s="5" t="inlineStr">
        <is>
          <t>2024-01</t>
        </is>
      </c>
      <c r="B408" s="5" t="inlineStr">
        <is>
          <t>SKU0202</t>
        </is>
      </c>
      <c r="C408" s="5" t="inlineStr">
        <is>
          <t>アトルバスタチンOD錠「サンド」</t>
        </is>
      </c>
      <c r="D408" s="5" t="inlineStr">
        <is>
          <t>卸B</t>
        </is>
      </c>
      <c r="E408" s="5" t="n">
        <v>6605</v>
      </c>
      <c r="F408" s="5" t="n">
        <v>161824</v>
      </c>
    </row>
    <row r="409">
      <c r="A409" s="4" t="inlineStr">
        <is>
          <t>2024-01</t>
        </is>
      </c>
      <c r="B409" s="4" t="inlineStr">
        <is>
          <t>SKU0202</t>
        </is>
      </c>
      <c r="C409" s="4" t="inlineStr">
        <is>
          <t>アトルバスタチンOD錠「サンド」</t>
        </is>
      </c>
      <c r="D409" s="4" t="inlineStr">
        <is>
          <t>卸C</t>
        </is>
      </c>
      <c r="E409" s="4" t="n">
        <v>2806</v>
      </c>
      <c r="F409" s="4" t="n">
        <v>68747</v>
      </c>
    </row>
    <row r="410">
      <c r="A410" s="5" t="inlineStr">
        <is>
          <t>2024-02</t>
        </is>
      </c>
      <c r="B410" s="5" t="inlineStr">
        <is>
          <t>SKU0202</t>
        </is>
      </c>
      <c r="C410" s="5" t="inlineStr">
        <is>
          <t>アトルバスタチンOD錠「サンド」</t>
        </is>
      </c>
      <c r="D410" s="5" t="inlineStr">
        <is>
          <t>卸A</t>
        </is>
      </c>
      <c r="E410" s="5" t="n">
        <v>9218</v>
      </c>
      <c r="F410" s="5" t="n">
        <v>225847</v>
      </c>
    </row>
    <row r="411">
      <c r="A411" s="4" t="inlineStr">
        <is>
          <t>2024-02</t>
        </is>
      </c>
      <c r="B411" s="4" t="inlineStr">
        <is>
          <t>SKU0202</t>
        </is>
      </c>
      <c r="C411" s="4" t="inlineStr">
        <is>
          <t>アトルバスタチンOD錠「サンド」</t>
        </is>
      </c>
      <c r="D411" s="4" t="inlineStr">
        <is>
          <t>卸B</t>
        </is>
      </c>
      <c r="E411" s="4" t="n">
        <v>5539</v>
      </c>
      <c r="F411" s="4" t="n">
        <v>135695</v>
      </c>
    </row>
    <row r="412">
      <c r="A412" s="5" t="inlineStr">
        <is>
          <t>2024-02</t>
        </is>
      </c>
      <c r="B412" s="5" t="inlineStr">
        <is>
          <t>SKU0202</t>
        </is>
      </c>
      <c r="C412" s="5" t="inlineStr">
        <is>
          <t>アトルバスタチンOD錠「サンド」</t>
        </is>
      </c>
      <c r="D412" s="5" t="inlineStr">
        <is>
          <t>卸C</t>
        </is>
      </c>
      <c r="E412" s="5" t="n">
        <v>3484</v>
      </c>
      <c r="F412" s="5" t="n">
        <v>85351</v>
      </c>
    </row>
    <row r="413">
      <c r="A413" s="4" t="inlineStr">
        <is>
          <t>2024-03</t>
        </is>
      </c>
      <c r="B413" s="4" t="inlineStr">
        <is>
          <t>SKU0202</t>
        </is>
      </c>
      <c r="C413" s="4" t="inlineStr">
        <is>
          <t>アトルバスタチンOD錠「サンド」</t>
        </is>
      </c>
      <c r="D413" s="4" t="inlineStr">
        <is>
          <t>卸A</t>
        </is>
      </c>
      <c r="E413" s="4" t="n">
        <v>13411</v>
      </c>
      <c r="F413" s="4" t="n">
        <v>328579</v>
      </c>
    </row>
    <row r="414">
      <c r="A414" s="5" t="inlineStr">
        <is>
          <t>2024-03</t>
        </is>
      </c>
      <c r="B414" s="5" t="inlineStr">
        <is>
          <t>SKU0202</t>
        </is>
      </c>
      <c r="C414" s="5" t="inlineStr">
        <is>
          <t>アトルバスタチンOD錠「サンド」</t>
        </is>
      </c>
      <c r="D414" s="5" t="inlineStr">
        <is>
          <t>卸B</t>
        </is>
      </c>
      <c r="E414" s="5" t="n">
        <v>10127</v>
      </c>
      <c r="F414" s="5" t="n">
        <v>248102</v>
      </c>
    </row>
    <row r="415">
      <c r="A415" s="4" t="inlineStr">
        <is>
          <t>2024-03</t>
        </is>
      </c>
      <c r="B415" s="4" t="inlineStr">
        <is>
          <t>SKU0202</t>
        </is>
      </c>
      <c r="C415" s="4" t="inlineStr">
        <is>
          <t>アトルバスタチンOD錠「サンド」</t>
        </is>
      </c>
      <c r="D415" s="4" t="inlineStr">
        <is>
          <t>卸C</t>
        </is>
      </c>
      <c r="E415" s="4" t="n">
        <v>5189</v>
      </c>
      <c r="F415" s="4" t="n">
        <v>127128</v>
      </c>
    </row>
    <row r="416">
      <c r="A416" s="5" t="inlineStr">
        <is>
          <t>2024-04</t>
        </is>
      </c>
      <c r="B416" s="5" t="inlineStr">
        <is>
          <t>SKU0202</t>
        </is>
      </c>
      <c r="C416" s="5" t="inlineStr">
        <is>
          <t>アトルバスタチンOD錠「サンド」</t>
        </is>
      </c>
      <c r="D416" s="5" t="inlineStr">
        <is>
          <t>卸A</t>
        </is>
      </c>
      <c r="E416" s="5" t="n">
        <v>5162</v>
      </c>
      <c r="F416" s="5" t="n">
        <v>119511</v>
      </c>
    </row>
    <row r="417">
      <c r="A417" s="4" t="inlineStr">
        <is>
          <t>2024-04</t>
        </is>
      </c>
      <c r="B417" s="4" t="inlineStr">
        <is>
          <t>SKU0202</t>
        </is>
      </c>
      <c r="C417" s="4" t="inlineStr">
        <is>
          <t>アトルバスタチンOD錠「サンド」</t>
        </is>
      </c>
      <c r="D417" s="4" t="inlineStr">
        <is>
          <t>卸B</t>
        </is>
      </c>
      <c r="E417" s="4" t="n">
        <v>1445</v>
      </c>
      <c r="F417" s="4" t="n">
        <v>33463</v>
      </c>
    </row>
    <row r="418">
      <c r="A418" s="5" t="inlineStr">
        <is>
          <t>2024-04</t>
        </is>
      </c>
      <c r="B418" s="5" t="inlineStr">
        <is>
          <t>SKU0202</t>
        </is>
      </c>
      <c r="C418" s="5" t="inlineStr">
        <is>
          <t>アトルバスタチンOD錠「サンド」</t>
        </is>
      </c>
      <c r="D418" s="5" t="inlineStr">
        <is>
          <t>卸C</t>
        </is>
      </c>
      <c r="E418" s="5" t="n">
        <v>1370</v>
      </c>
      <c r="F418" s="5" t="n">
        <v>31727</v>
      </c>
    </row>
    <row r="419">
      <c r="A419" s="4" t="inlineStr">
        <is>
          <t>2024-05</t>
        </is>
      </c>
      <c r="B419" s="4" t="inlineStr">
        <is>
          <t>SKU0202</t>
        </is>
      </c>
      <c r="C419" s="4" t="inlineStr">
        <is>
          <t>アトルバスタチンOD錠「サンド」</t>
        </is>
      </c>
      <c r="D419" s="4" t="inlineStr">
        <is>
          <t>卸A</t>
        </is>
      </c>
      <c r="E419" s="4" t="n">
        <v>11178</v>
      </c>
      <c r="F419" s="4" t="n">
        <v>258810</v>
      </c>
    </row>
    <row r="420">
      <c r="A420" s="5" t="inlineStr">
        <is>
          <t>2024-05</t>
        </is>
      </c>
      <c r="B420" s="5" t="inlineStr">
        <is>
          <t>SKU0202</t>
        </is>
      </c>
      <c r="C420" s="5" t="inlineStr">
        <is>
          <t>アトルバスタチンOD錠「サンド」</t>
        </is>
      </c>
      <c r="D420" s="5" t="inlineStr">
        <is>
          <t>卸B</t>
        </is>
      </c>
      <c r="E420" s="5" t="n">
        <v>9315</v>
      </c>
      <c r="F420" s="5" t="n">
        <v>215674</v>
      </c>
    </row>
    <row r="421">
      <c r="A421" s="4" t="inlineStr">
        <is>
          <t>2024-05</t>
        </is>
      </c>
      <c r="B421" s="4" t="inlineStr">
        <is>
          <t>SKU0202</t>
        </is>
      </c>
      <c r="C421" s="4" t="inlineStr">
        <is>
          <t>アトルバスタチンOD錠「サンド」</t>
        </is>
      </c>
      <c r="D421" s="4" t="inlineStr">
        <is>
          <t>卸C</t>
        </is>
      </c>
      <c r="E421" s="4" t="n">
        <v>4578</v>
      </c>
      <c r="F421" s="4" t="n">
        <v>106000</v>
      </c>
    </row>
    <row r="422">
      <c r="A422" s="5" t="inlineStr">
        <is>
          <t>2024-06</t>
        </is>
      </c>
      <c r="B422" s="5" t="inlineStr">
        <is>
          <t>SKU0202</t>
        </is>
      </c>
      <c r="C422" s="5" t="inlineStr">
        <is>
          <t>アトルバスタチンOD錠「サンド」</t>
        </is>
      </c>
      <c r="D422" s="5" t="inlineStr">
        <is>
          <t>卸A</t>
        </is>
      </c>
      <c r="E422" s="5" t="n">
        <v>13899</v>
      </c>
      <c r="F422" s="5" t="n">
        <v>321797</v>
      </c>
    </row>
    <row r="423">
      <c r="A423" s="4" t="inlineStr">
        <is>
          <t>2024-06</t>
        </is>
      </c>
      <c r="B423" s="4" t="inlineStr">
        <is>
          <t>SKU0202</t>
        </is>
      </c>
      <c r="C423" s="4" t="inlineStr">
        <is>
          <t>アトルバスタチンOD錠「サンド」</t>
        </is>
      </c>
      <c r="D423" s="4" t="inlineStr">
        <is>
          <t>卸B</t>
        </is>
      </c>
      <c r="E423" s="4" t="n">
        <v>7896</v>
      </c>
      <c r="F423" s="4" t="n">
        <v>182804</v>
      </c>
    </row>
    <row r="424">
      <c r="A424" s="5" t="inlineStr">
        <is>
          <t>2024-06</t>
        </is>
      </c>
      <c r="B424" s="5" t="inlineStr">
        <is>
          <t>SKU0202</t>
        </is>
      </c>
      <c r="C424" s="5" t="inlineStr">
        <is>
          <t>アトルバスタチンOD錠「サンド」</t>
        </is>
      </c>
      <c r="D424" s="5" t="inlineStr">
        <is>
          <t>卸C</t>
        </is>
      </c>
      <c r="E424" s="5" t="n">
        <v>4863</v>
      </c>
      <c r="F424" s="5" t="n">
        <v>112584</v>
      </c>
    </row>
    <row r="425">
      <c r="A425" s="4" t="inlineStr">
        <is>
          <t>2024-07</t>
        </is>
      </c>
      <c r="B425" s="4" t="inlineStr">
        <is>
          <t>SKU0202</t>
        </is>
      </c>
      <c r="C425" s="4" t="inlineStr">
        <is>
          <t>アトルバスタチンOD錠「サンド」</t>
        </is>
      </c>
      <c r="D425" s="4" t="inlineStr">
        <is>
          <t>卸A</t>
        </is>
      </c>
      <c r="E425" s="4" t="n">
        <v>9379</v>
      </c>
      <c r="F425" s="4" t="n">
        <v>217139</v>
      </c>
    </row>
    <row r="426">
      <c r="A426" s="5" t="inlineStr">
        <is>
          <t>2024-07</t>
        </is>
      </c>
      <c r="B426" s="5" t="inlineStr">
        <is>
          <t>SKU0202</t>
        </is>
      </c>
      <c r="C426" s="5" t="inlineStr">
        <is>
          <t>アトルバスタチンOD錠「サンド」</t>
        </is>
      </c>
      <c r="D426" s="5" t="inlineStr">
        <is>
          <t>卸B</t>
        </is>
      </c>
      <c r="E426" s="5" t="n">
        <v>8805</v>
      </c>
      <c r="F426" s="5" t="n">
        <v>203857</v>
      </c>
    </row>
    <row r="427">
      <c r="A427" s="4" t="inlineStr">
        <is>
          <t>2024-07</t>
        </is>
      </c>
      <c r="B427" s="4" t="inlineStr">
        <is>
          <t>SKU0202</t>
        </is>
      </c>
      <c r="C427" s="4" t="inlineStr">
        <is>
          <t>アトルバスタチンOD錠「サンド」</t>
        </is>
      </c>
      <c r="D427" s="4" t="inlineStr">
        <is>
          <t>卸C</t>
        </is>
      </c>
      <c r="E427" s="4" t="n">
        <v>4580</v>
      </c>
      <c r="F427" s="4" t="n">
        <v>106031</v>
      </c>
    </row>
    <row r="428">
      <c r="A428" s="5" t="inlineStr">
        <is>
          <t>2024-08</t>
        </is>
      </c>
      <c r="B428" s="5" t="inlineStr">
        <is>
          <t>SKU0202</t>
        </is>
      </c>
      <c r="C428" s="5" t="inlineStr">
        <is>
          <t>アトルバスタチンOD錠「サンド」</t>
        </is>
      </c>
      <c r="D428" s="5" t="inlineStr">
        <is>
          <t>卸A</t>
        </is>
      </c>
      <c r="E428" s="5" t="n">
        <v>12245</v>
      </c>
      <c r="F428" s="5" t="n">
        <v>283511</v>
      </c>
    </row>
    <row r="429">
      <c r="A429" s="4" t="inlineStr">
        <is>
          <t>2024-08</t>
        </is>
      </c>
      <c r="B429" s="4" t="inlineStr">
        <is>
          <t>SKU0202</t>
        </is>
      </c>
      <c r="C429" s="4" t="inlineStr">
        <is>
          <t>アトルバスタチンOD錠「サンド」</t>
        </is>
      </c>
      <c r="D429" s="4" t="inlineStr">
        <is>
          <t>卸B</t>
        </is>
      </c>
      <c r="E429" s="4" t="n">
        <v>6156</v>
      </c>
      <c r="F429" s="4" t="n">
        <v>142538</v>
      </c>
    </row>
    <row r="430">
      <c r="A430" s="5" t="inlineStr">
        <is>
          <t>2024-08</t>
        </is>
      </c>
      <c r="B430" s="5" t="inlineStr">
        <is>
          <t>SKU0202</t>
        </is>
      </c>
      <c r="C430" s="5" t="inlineStr">
        <is>
          <t>アトルバスタチンOD錠「サンド」</t>
        </is>
      </c>
      <c r="D430" s="5" t="inlineStr">
        <is>
          <t>卸C</t>
        </is>
      </c>
      <c r="E430" s="5" t="n">
        <v>4767</v>
      </c>
      <c r="F430" s="5" t="n">
        <v>110380</v>
      </c>
    </row>
    <row r="431">
      <c r="A431" s="4" t="inlineStr">
        <is>
          <t>2024-09</t>
        </is>
      </c>
      <c r="B431" s="4" t="inlineStr">
        <is>
          <t>SKU0202</t>
        </is>
      </c>
      <c r="C431" s="4" t="inlineStr">
        <is>
          <t>アトルバスタチンOD錠「サンド」</t>
        </is>
      </c>
      <c r="D431" s="4" t="inlineStr">
        <is>
          <t>卸A</t>
        </is>
      </c>
      <c r="E431" s="4" t="n">
        <v>9973</v>
      </c>
      <c r="F431" s="4" t="n">
        <v>230908</v>
      </c>
    </row>
    <row r="432">
      <c r="A432" s="5" t="inlineStr">
        <is>
          <t>2024-09</t>
        </is>
      </c>
      <c r="B432" s="5" t="inlineStr">
        <is>
          <t>SKU0202</t>
        </is>
      </c>
      <c r="C432" s="5" t="inlineStr">
        <is>
          <t>アトルバスタチンOD錠「サンド」</t>
        </is>
      </c>
      <c r="D432" s="5" t="inlineStr">
        <is>
          <t>卸B</t>
        </is>
      </c>
      <c r="E432" s="5" t="n">
        <v>7142</v>
      </c>
      <c r="F432" s="5" t="n">
        <v>165362</v>
      </c>
    </row>
    <row r="433">
      <c r="A433" s="4" t="inlineStr">
        <is>
          <t>2024-09</t>
        </is>
      </c>
      <c r="B433" s="4" t="inlineStr">
        <is>
          <t>SKU0202</t>
        </is>
      </c>
      <c r="C433" s="4" t="inlineStr">
        <is>
          <t>アトルバスタチンOD錠「サンド」</t>
        </is>
      </c>
      <c r="D433" s="4" t="inlineStr">
        <is>
          <t>卸C</t>
        </is>
      </c>
      <c r="E433" s="4" t="n">
        <v>3502</v>
      </c>
      <c r="F433" s="4" t="n">
        <v>81085</v>
      </c>
    </row>
    <row r="434">
      <c r="A434" s="5" t="inlineStr">
        <is>
          <t>2024-10</t>
        </is>
      </c>
      <c r="B434" s="5" t="inlineStr">
        <is>
          <t>SKU0202</t>
        </is>
      </c>
      <c r="C434" s="5" t="inlineStr">
        <is>
          <t>アトルバスタチンOD錠「サンド」</t>
        </is>
      </c>
      <c r="D434" s="5" t="inlineStr">
        <is>
          <t>卸A</t>
        </is>
      </c>
      <c r="E434" s="5" t="n">
        <v>12995</v>
      </c>
      <c r="F434" s="5" t="n">
        <v>300859</v>
      </c>
    </row>
    <row r="435">
      <c r="A435" s="4" t="inlineStr">
        <is>
          <t>2024-10</t>
        </is>
      </c>
      <c r="B435" s="4" t="inlineStr">
        <is>
          <t>SKU0202</t>
        </is>
      </c>
      <c r="C435" s="4" t="inlineStr">
        <is>
          <t>アトルバスタチンOD錠「サンド」</t>
        </is>
      </c>
      <c r="D435" s="4" t="inlineStr">
        <is>
          <t>卸B</t>
        </is>
      </c>
      <c r="E435" s="4" t="n">
        <v>8425</v>
      </c>
      <c r="F435" s="4" t="n">
        <v>195061</v>
      </c>
    </row>
    <row r="436">
      <c r="A436" s="5" t="inlineStr">
        <is>
          <t>2024-10</t>
        </is>
      </c>
      <c r="B436" s="5" t="inlineStr">
        <is>
          <t>SKU0202</t>
        </is>
      </c>
      <c r="C436" s="5" t="inlineStr">
        <is>
          <t>アトルバスタチンOD錠「サンド」</t>
        </is>
      </c>
      <c r="D436" s="5" t="inlineStr">
        <is>
          <t>卸C</t>
        </is>
      </c>
      <c r="E436" s="5" t="n">
        <v>4524</v>
      </c>
      <c r="F436" s="5" t="n">
        <v>104731</v>
      </c>
    </row>
    <row r="437">
      <c r="A437" s="4" t="inlineStr">
        <is>
          <t>2024-11</t>
        </is>
      </c>
      <c r="B437" s="4" t="inlineStr">
        <is>
          <t>SKU0202</t>
        </is>
      </c>
      <c r="C437" s="4" t="inlineStr">
        <is>
          <t>アトルバスタチンOD錠「サンド」</t>
        </is>
      </c>
      <c r="D437" s="4" t="inlineStr">
        <is>
          <t>卸A</t>
        </is>
      </c>
      <c r="E437" s="4" t="n">
        <v>11668</v>
      </c>
      <c r="F437" s="4" t="n">
        <v>270146</v>
      </c>
    </row>
    <row r="438">
      <c r="A438" s="5" t="inlineStr">
        <is>
          <t>2024-11</t>
        </is>
      </c>
      <c r="B438" s="5" t="inlineStr">
        <is>
          <t>SKU0202</t>
        </is>
      </c>
      <c r="C438" s="5" t="inlineStr">
        <is>
          <t>アトルバスタチンOD錠「サンド」</t>
        </is>
      </c>
      <c r="D438" s="5" t="inlineStr">
        <is>
          <t>卸B</t>
        </is>
      </c>
      <c r="E438" s="5" t="n">
        <v>5989</v>
      </c>
      <c r="F438" s="5" t="n">
        <v>138654</v>
      </c>
    </row>
    <row r="439">
      <c r="A439" s="4" t="inlineStr">
        <is>
          <t>2024-11</t>
        </is>
      </c>
      <c r="B439" s="4" t="inlineStr">
        <is>
          <t>SKU0202</t>
        </is>
      </c>
      <c r="C439" s="4" t="inlineStr">
        <is>
          <t>アトルバスタチンOD錠「サンド」</t>
        </is>
      </c>
      <c r="D439" s="4" t="inlineStr">
        <is>
          <t>卸C</t>
        </is>
      </c>
      <c r="E439" s="4" t="n">
        <v>4323</v>
      </c>
      <c r="F439" s="4" t="n">
        <v>100089</v>
      </c>
    </row>
    <row r="440">
      <c r="A440" s="5" t="inlineStr">
        <is>
          <t>2024-12</t>
        </is>
      </c>
      <c r="B440" s="5" t="inlineStr">
        <is>
          <t>SKU0202</t>
        </is>
      </c>
      <c r="C440" s="5" t="inlineStr">
        <is>
          <t>アトルバスタチンOD錠「サンド」</t>
        </is>
      </c>
      <c r="D440" s="5" t="inlineStr">
        <is>
          <t>卸A</t>
        </is>
      </c>
      <c r="E440" s="5" t="n">
        <v>9608</v>
      </c>
      <c r="F440" s="5" t="n">
        <v>222448</v>
      </c>
    </row>
    <row r="441">
      <c r="A441" s="4" t="inlineStr">
        <is>
          <t>2024-12</t>
        </is>
      </c>
      <c r="B441" s="4" t="inlineStr">
        <is>
          <t>SKU0202</t>
        </is>
      </c>
      <c r="C441" s="4" t="inlineStr">
        <is>
          <t>アトルバスタチンOD錠「サンド」</t>
        </is>
      </c>
      <c r="D441" s="4" t="inlineStr">
        <is>
          <t>卸B</t>
        </is>
      </c>
      <c r="E441" s="4" t="n">
        <v>7783</v>
      </c>
      <c r="F441" s="4" t="n">
        <v>180196</v>
      </c>
    </row>
    <row r="442">
      <c r="A442" s="5" t="inlineStr">
        <is>
          <t>2024-12</t>
        </is>
      </c>
      <c r="B442" s="5" t="inlineStr">
        <is>
          <t>SKU0202</t>
        </is>
      </c>
      <c r="C442" s="5" t="inlineStr">
        <is>
          <t>アトルバスタチンOD錠「サンド」</t>
        </is>
      </c>
      <c r="D442" s="5" t="inlineStr">
        <is>
          <t>卸C</t>
        </is>
      </c>
      <c r="E442" s="5" t="n">
        <v>3662</v>
      </c>
      <c r="F442" s="5" t="n">
        <v>84790</v>
      </c>
    </row>
    <row r="443">
      <c r="A443" s="4" t="inlineStr">
        <is>
          <t>2025-01</t>
        </is>
      </c>
      <c r="B443" s="4" t="inlineStr">
        <is>
          <t>SKU0202</t>
        </is>
      </c>
      <c r="C443" s="4" t="inlineStr">
        <is>
          <t>アトルバスタチンOD錠「サンド」</t>
        </is>
      </c>
      <c r="D443" s="4" t="inlineStr">
        <is>
          <t>卸A</t>
        </is>
      </c>
      <c r="E443" s="4" t="n">
        <v>11152</v>
      </c>
      <c r="F443" s="4" t="n">
        <v>258208</v>
      </c>
    </row>
    <row r="444">
      <c r="A444" s="5" t="inlineStr">
        <is>
          <t>2025-01</t>
        </is>
      </c>
      <c r="B444" s="5" t="inlineStr">
        <is>
          <t>SKU0202</t>
        </is>
      </c>
      <c r="C444" s="5" t="inlineStr">
        <is>
          <t>アトルバスタチンOD錠「サンド」</t>
        </is>
      </c>
      <c r="D444" s="5" t="inlineStr">
        <is>
          <t>卸B</t>
        </is>
      </c>
      <c r="E444" s="5" t="n">
        <v>5768</v>
      </c>
      <c r="F444" s="5" t="n">
        <v>133551</v>
      </c>
    </row>
    <row r="445">
      <c r="A445" s="4" t="inlineStr">
        <is>
          <t>2025-01</t>
        </is>
      </c>
      <c r="B445" s="4" t="inlineStr">
        <is>
          <t>SKU0202</t>
        </is>
      </c>
      <c r="C445" s="4" t="inlineStr">
        <is>
          <t>アトルバスタチンOD錠「サンド」</t>
        </is>
      </c>
      <c r="D445" s="4" t="inlineStr">
        <is>
          <t>卸C</t>
        </is>
      </c>
      <c r="E445" s="4" t="n">
        <v>3649</v>
      </c>
      <c r="F445" s="4" t="n">
        <v>84477</v>
      </c>
    </row>
    <row r="446">
      <c r="A446" s="5" t="inlineStr">
        <is>
          <t>2025-02</t>
        </is>
      </c>
      <c r="B446" s="5" t="inlineStr">
        <is>
          <t>SKU0202</t>
        </is>
      </c>
      <c r="C446" s="5" t="inlineStr">
        <is>
          <t>アトルバスタチンOD錠「サンド」</t>
        </is>
      </c>
      <c r="D446" s="5" t="inlineStr">
        <is>
          <t>卸A</t>
        </is>
      </c>
      <c r="E446" s="5" t="n">
        <v>12296</v>
      </c>
      <c r="F446" s="5" t="n">
        <v>284692</v>
      </c>
    </row>
    <row r="447">
      <c r="A447" s="4" t="inlineStr">
        <is>
          <t>2025-02</t>
        </is>
      </c>
      <c r="B447" s="4" t="inlineStr">
        <is>
          <t>SKU0202</t>
        </is>
      </c>
      <c r="C447" s="4" t="inlineStr">
        <is>
          <t>アトルバスタチンOD錠「サンド」</t>
        </is>
      </c>
      <c r="D447" s="4" t="inlineStr">
        <is>
          <t>卸B</t>
        </is>
      </c>
      <c r="E447" s="4" t="n">
        <v>8578</v>
      </c>
      <c r="F447" s="4" t="n">
        <v>198610</v>
      </c>
    </row>
    <row r="448">
      <c r="A448" s="5" t="inlineStr">
        <is>
          <t>2025-02</t>
        </is>
      </c>
      <c r="B448" s="5" t="inlineStr">
        <is>
          <t>SKU0202</t>
        </is>
      </c>
      <c r="C448" s="5" t="inlineStr">
        <is>
          <t>アトルバスタチンOD錠「サンド」</t>
        </is>
      </c>
      <c r="D448" s="5" t="inlineStr">
        <is>
          <t>卸C</t>
        </is>
      </c>
      <c r="E448" s="5" t="n">
        <v>4367</v>
      </c>
      <c r="F448" s="5" t="n">
        <v>101118</v>
      </c>
    </row>
    <row r="449">
      <c r="A449" s="4" t="inlineStr">
        <is>
          <t>2025-03</t>
        </is>
      </c>
      <c r="B449" s="4" t="inlineStr">
        <is>
          <t>SKU0202</t>
        </is>
      </c>
      <c r="C449" s="4" t="inlineStr">
        <is>
          <t>アトルバスタチンOD錠「サンド」</t>
        </is>
      </c>
      <c r="D449" s="4" t="inlineStr">
        <is>
          <t>卸A</t>
        </is>
      </c>
      <c r="E449" s="4" t="n">
        <v>17601</v>
      </c>
      <c r="F449" s="4" t="n">
        <v>407509</v>
      </c>
    </row>
    <row r="450">
      <c r="A450" s="5" t="inlineStr">
        <is>
          <t>2025-03</t>
        </is>
      </c>
      <c r="B450" s="5" t="inlineStr">
        <is>
          <t>SKU0202</t>
        </is>
      </c>
      <c r="C450" s="5" t="inlineStr">
        <is>
          <t>アトルバスタチンOD錠「サンド」</t>
        </is>
      </c>
      <c r="D450" s="5" t="inlineStr">
        <is>
          <t>卸B</t>
        </is>
      </c>
      <c r="E450" s="5" t="n">
        <v>12171</v>
      </c>
      <c r="F450" s="5" t="n">
        <v>281782</v>
      </c>
    </row>
    <row r="451">
      <c r="A451" s="4" t="inlineStr">
        <is>
          <t>2025-03</t>
        </is>
      </c>
      <c r="B451" s="4" t="inlineStr">
        <is>
          <t>SKU0202</t>
        </is>
      </c>
      <c r="C451" s="4" t="inlineStr">
        <is>
          <t>アトルバスタチンOD錠「サンド」</t>
        </is>
      </c>
      <c r="D451" s="4" t="inlineStr">
        <is>
          <t>卸C</t>
        </is>
      </c>
      <c r="E451" s="4" t="n">
        <v>6854</v>
      </c>
      <c r="F451" s="4" t="n">
        <v>158689</v>
      </c>
    </row>
    <row r="452">
      <c r="A452" s="5" t="inlineStr">
        <is>
          <t>2025-04</t>
        </is>
      </c>
      <c r="B452" s="5" t="inlineStr">
        <is>
          <t>SKU0202</t>
        </is>
      </c>
      <c r="C452" s="5" t="inlineStr">
        <is>
          <t>アトルバスタチンOD錠「サンド」</t>
        </is>
      </c>
      <c r="D452" s="5" t="inlineStr">
        <is>
          <t>卸A</t>
        </is>
      </c>
      <c r="E452" s="5" t="n">
        <v>3507</v>
      </c>
      <c r="F452" s="5" t="n">
        <v>78765</v>
      </c>
    </row>
    <row r="453">
      <c r="A453" s="4" t="inlineStr">
        <is>
          <t>2025-04</t>
        </is>
      </c>
      <c r="B453" s="4" t="inlineStr">
        <is>
          <t>SKU0202</t>
        </is>
      </c>
      <c r="C453" s="4" t="inlineStr">
        <is>
          <t>アトルバスタチンOD錠「サンド」</t>
        </is>
      </c>
      <c r="D453" s="4" t="inlineStr">
        <is>
          <t>卸B</t>
        </is>
      </c>
      <c r="E453" s="4" t="n">
        <v>0</v>
      </c>
      <c r="F453" s="4" t="n">
        <v>0</v>
      </c>
    </row>
    <row r="454">
      <c r="A454" s="5" t="inlineStr">
        <is>
          <t>2025-04</t>
        </is>
      </c>
      <c r="B454" s="5" t="inlineStr">
        <is>
          <t>SKU0202</t>
        </is>
      </c>
      <c r="C454" s="5" t="inlineStr">
        <is>
          <t>アトルバスタチンOD錠「サンド」</t>
        </is>
      </c>
      <c r="D454" s="5" t="inlineStr">
        <is>
          <t>卸C</t>
        </is>
      </c>
      <c r="E454" s="5" t="n">
        <v>412</v>
      </c>
      <c r="F454" s="5" t="n">
        <v>9256</v>
      </c>
    </row>
    <row r="455">
      <c r="A455" s="4" t="inlineStr">
        <is>
          <t>2025-05</t>
        </is>
      </c>
      <c r="B455" s="4" t="inlineStr">
        <is>
          <t>SKU0202</t>
        </is>
      </c>
      <c r="C455" s="4" t="inlineStr">
        <is>
          <t>アトルバスタチンOD錠「サンド」</t>
        </is>
      </c>
      <c r="D455" s="4" t="inlineStr">
        <is>
          <t>卸A</t>
        </is>
      </c>
      <c r="E455" s="4" t="n">
        <v>13381</v>
      </c>
      <c r="F455" s="4" t="n">
        <v>300500</v>
      </c>
    </row>
    <row r="456">
      <c r="A456" s="5" t="inlineStr">
        <is>
          <t>2025-05</t>
        </is>
      </c>
      <c r="B456" s="5" t="inlineStr">
        <is>
          <t>SKU0202</t>
        </is>
      </c>
      <c r="C456" s="5" t="inlineStr">
        <is>
          <t>アトルバスタチンOD錠「サンド」</t>
        </is>
      </c>
      <c r="D456" s="5" t="inlineStr">
        <is>
          <t>卸B</t>
        </is>
      </c>
      <c r="E456" s="5" t="n">
        <v>9393</v>
      </c>
      <c r="F456" s="5" t="n">
        <v>210939</v>
      </c>
    </row>
    <row r="457">
      <c r="A457" s="4" t="inlineStr">
        <is>
          <t>2025-05</t>
        </is>
      </c>
      <c r="B457" s="4" t="inlineStr">
        <is>
          <t>SKU0202</t>
        </is>
      </c>
      <c r="C457" s="4" t="inlineStr">
        <is>
          <t>アトルバスタチンOD錠「サンド」</t>
        </is>
      </c>
      <c r="D457" s="4" t="inlineStr">
        <is>
          <t>卸C</t>
        </is>
      </c>
      <c r="E457" s="4" t="n">
        <v>5119</v>
      </c>
      <c r="F457" s="4" t="n">
        <v>114958</v>
      </c>
    </row>
    <row r="458">
      <c r="A458" s="5" t="inlineStr">
        <is>
          <t>2025-06</t>
        </is>
      </c>
      <c r="B458" s="5" t="inlineStr">
        <is>
          <t>SKU0202</t>
        </is>
      </c>
      <c r="C458" s="5" t="inlineStr">
        <is>
          <t>アトルバスタチンOD錠「サンド」</t>
        </is>
      </c>
      <c r="D458" s="5" t="inlineStr">
        <is>
          <t>卸A</t>
        </is>
      </c>
      <c r="E458" s="5" t="n">
        <v>14949</v>
      </c>
      <c r="F458" s="5" t="n">
        <v>335732</v>
      </c>
    </row>
    <row r="459">
      <c r="A459" s="4" t="inlineStr">
        <is>
          <t>2025-06</t>
        </is>
      </c>
      <c r="B459" s="4" t="inlineStr">
        <is>
          <t>SKU0202</t>
        </is>
      </c>
      <c r="C459" s="4" t="inlineStr">
        <is>
          <t>アトルバスタチンOD錠「サンド」</t>
        </is>
      </c>
      <c r="D459" s="4" t="inlineStr">
        <is>
          <t>卸B</t>
        </is>
      </c>
      <c r="E459" s="4" t="n">
        <v>8989</v>
      </c>
      <c r="F459" s="4" t="n">
        <v>201875</v>
      </c>
    </row>
    <row r="460">
      <c r="A460" s="5" t="inlineStr">
        <is>
          <t>2025-06</t>
        </is>
      </c>
      <c r="B460" s="5" t="inlineStr">
        <is>
          <t>SKU0202</t>
        </is>
      </c>
      <c r="C460" s="5" t="inlineStr">
        <is>
          <t>アトルバスタチンOD錠「サンド」</t>
        </is>
      </c>
      <c r="D460" s="5" t="inlineStr">
        <is>
          <t>卸C</t>
        </is>
      </c>
      <c r="E460" s="5" t="n">
        <v>5340</v>
      </c>
      <c r="F460" s="5" t="n">
        <v>119919</v>
      </c>
    </row>
    <row r="461">
      <c r="A461" s="4" t="inlineStr">
        <is>
          <t>2025-07</t>
        </is>
      </c>
      <c r="B461" s="4" t="inlineStr">
        <is>
          <t>SKU0202</t>
        </is>
      </c>
      <c r="C461" s="4" t="inlineStr">
        <is>
          <t>アトルバスタチンOD錠「サンド」</t>
        </is>
      </c>
      <c r="D461" s="4" t="inlineStr">
        <is>
          <t>卸A</t>
        </is>
      </c>
      <c r="E461" s="4" t="n">
        <v>11576</v>
      </c>
      <c r="F461" s="4" t="n">
        <v>259982</v>
      </c>
    </row>
    <row r="462">
      <c r="A462" s="5" t="inlineStr">
        <is>
          <t>2025-07</t>
        </is>
      </c>
      <c r="B462" s="5" t="inlineStr">
        <is>
          <t>SKU0202</t>
        </is>
      </c>
      <c r="C462" s="5" t="inlineStr">
        <is>
          <t>アトルバスタチンOD錠「サンド」</t>
        </is>
      </c>
      <c r="D462" s="5" t="inlineStr">
        <is>
          <t>卸B</t>
        </is>
      </c>
      <c r="E462" s="5" t="n">
        <v>6964</v>
      </c>
      <c r="F462" s="5" t="n">
        <v>156401</v>
      </c>
    </row>
    <row r="463">
      <c r="A463" s="4" t="inlineStr">
        <is>
          <t>2025-07</t>
        </is>
      </c>
      <c r="B463" s="4" t="inlineStr">
        <is>
          <t>SKU0202</t>
        </is>
      </c>
      <c r="C463" s="4" t="inlineStr">
        <is>
          <t>アトルバスタチンOD錠「サンド」</t>
        </is>
      </c>
      <c r="D463" s="4" t="inlineStr">
        <is>
          <t>卸C</t>
        </is>
      </c>
      <c r="E463" s="4" t="n">
        <v>4781</v>
      </c>
      <c r="F463" s="4" t="n">
        <v>107363</v>
      </c>
    </row>
    <row r="464">
      <c r="A464" s="5" t="inlineStr">
        <is>
          <t>2025-08</t>
        </is>
      </c>
      <c r="B464" s="5" t="inlineStr">
        <is>
          <t>SKU0202</t>
        </is>
      </c>
      <c r="C464" s="5" t="inlineStr">
        <is>
          <t>アトルバスタチンOD錠「サンド」</t>
        </is>
      </c>
      <c r="D464" s="5" t="inlineStr">
        <is>
          <t>卸A</t>
        </is>
      </c>
      <c r="E464" s="5" t="n">
        <v>14742</v>
      </c>
      <c r="F464" s="5" t="n">
        <v>331080</v>
      </c>
    </row>
    <row r="465">
      <c r="A465" s="4" t="inlineStr">
        <is>
          <t>2025-08</t>
        </is>
      </c>
      <c r="B465" s="4" t="inlineStr">
        <is>
          <t>SKU0202</t>
        </is>
      </c>
      <c r="C465" s="4" t="inlineStr">
        <is>
          <t>アトルバスタチンOD錠「サンド」</t>
        </is>
      </c>
      <c r="D465" s="4" t="inlineStr">
        <is>
          <t>卸B</t>
        </is>
      </c>
      <c r="E465" s="4" t="n">
        <v>10511</v>
      </c>
      <c r="F465" s="4" t="n">
        <v>236066</v>
      </c>
    </row>
    <row r="466">
      <c r="A466" s="5" t="inlineStr">
        <is>
          <t>2025-08</t>
        </is>
      </c>
      <c r="B466" s="5" t="inlineStr">
        <is>
          <t>SKU0202</t>
        </is>
      </c>
      <c r="C466" s="5" t="inlineStr">
        <is>
          <t>アトルバスタチンOD錠「サンド」</t>
        </is>
      </c>
      <c r="D466" s="5" t="inlineStr">
        <is>
          <t>卸C</t>
        </is>
      </c>
      <c r="E466" s="5" t="n">
        <v>4070</v>
      </c>
      <c r="F466" s="5" t="n">
        <v>91406</v>
      </c>
    </row>
    <row r="467">
      <c r="A467" s="4" t="inlineStr">
        <is>
          <t>2025-09</t>
        </is>
      </c>
      <c r="B467" s="4" t="inlineStr">
        <is>
          <t>SKU0202</t>
        </is>
      </c>
      <c r="C467" s="4" t="inlineStr">
        <is>
          <t>アトルバスタチンOD錠「サンド」</t>
        </is>
      </c>
      <c r="D467" s="4" t="inlineStr">
        <is>
          <t>卸A</t>
        </is>
      </c>
      <c r="E467" s="4" t="n">
        <v>12679</v>
      </c>
      <c r="F467" s="4" t="n">
        <v>284734</v>
      </c>
    </row>
    <row r="468">
      <c r="A468" s="5" t="inlineStr">
        <is>
          <t>2025-09</t>
        </is>
      </c>
      <c r="B468" s="5" t="inlineStr">
        <is>
          <t>SKU0202</t>
        </is>
      </c>
      <c r="C468" s="5" t="inlineStr">
        <is>
          <t>アトルバスタチンOD錠「サンド」</t>
        </is>
      </c>
      <c r="D468" s="5" t="inlineStr">
        <is>
          <t>卸B</t>
        </is>
      </c>
      <c r="E468" s="5" t="n">
        <v>6652</v>
      </c>
      <c r="F468" s="5" t="n">
        <v>149382</v>
      </c>
    </row>
    <row r="469">
      <c r="A469" s="4" t="inlineStr">
        <is>
          <t>2025-09</t>
        </is>
      </c>
      <c r="B469" s="4" t="inlineStr">
        <is>
          <t>SKU0202</t>
        </is>
      </c>
      <c r="C469" s="4" t="inlineStr">
        <is>
          <t>アトルバスタチンOD錠「サンド」</t>
        </is>
      </c>
      <c r="D469" s="4" t="inlineStr">
        <is>
          <t>卸C</t>
        </is>
      </c>
      <c r="E469" s="4" t="n">
        <v>4854</v>
      </c>
      <c r="F469" s="4" t="n">
        <v>109002</v>
      </c>
    </row>
    <row r="470">
      <c r="A470" s="5" t="inlineStr">
        <is>
          <t>2025-10</t>
        </is>
      </c>
      <c r="B470" s="5" t="inlineStr">
        <is>
          <t>SKU0202</t>
        </is>
      </c>
      <c r="C470" s="5" t="inlineStr">
        <is>
          <t>アトルバスタチンOD錠「サンド」</t>
        </is>
      </c>
      <c r="D470" s="5" t="inlineStr">
        <is>
          <t>卸A</t>
        </is>
      </c>
      <c r="E470" s="5" t="n">
        <v>13941</v>
      </c>
      <c r="F470" s="5" t="n">
        <v>313088</v>
      </c>
    </row>
    <row r="471">
      <c r="A471" s="4" t="inlineStr">
        <is>
          <t>2025-10</t>
        </is>
      </c>
      <c r="B471" s="4" t="inlineStr">
        <is>
          <t>SKU0202</t>
        </is>
      </c>
      <c r="C471" s="4" t="inlineStr">
        <is>
          <t>アトルバスタチンOD錠「サンド」</t>
        </is>
      </c>
      <c r="D471" s="4" t="inlineStr">
        <is>
          <t>卸B</t>
        </is>
      </c>
      <c r="E471" s="4" t="n">
        <v>8402</v>
      </c>
      <c r="F471" s="4" t="n">
        <v>188682</v>
      </c>
    </row>
    <row r="472">
      <c r="A472" s="5" t="inlineStr">
        <is>
          <t>2025-10</t>
        </is>
      </c>
      <c r="B472" s="5" t="inlineStr">
        <is>
          <t>SKU0202</t>
        </is>
      </c>
      <c r="C472" s="5" t="inlineStr">
        <is>
          <t>アトルバスタチンOD錠「サンド」</t>
        </is>
      </c>
      <c r="D472" s="5" t="inlineStr">
        <is>
          <t>卸C</t>
        </is>
      </c>
      <c r="E472" s="5" t="n">
        <v>4852</v>
      </c>
      <c r="F472" s="5" t="n">
        <v>108971</v>
      </c>
    </row>
    <row r="473">
      <c r="A473" s="4" t="inlineStr">
        <is>
          <t>2025-11</t>
        </is>
      </c>
      <c r="B473" s="4" t="inlineStr">
        <is>
          <t>SKU0202</t>
        </is>
      </c>
      <c r="C473" s="4" t="inlineStr">
        <is>
          <t>アトルバスタチンOD錠「サンド」</t>
        </is>
      </c>
      <c r="D473" s="4" t="inlineStr">
        <is>
          <t>卸A</t>
        </is>
      </c>
      <c r="E473" s="4" t="n">
        <v>14916</v>
      </c>
      <c r="F473" s="4" t="n">
        <v>334985</v>
      </c>
    </row>
    <row r="474">
      <c r="A474" s="5" t="inlineStr">
        <is>
          <t>2025-11</t>
        </is>
      </c>
      <c r="B474" s="5" t="inlineStr">
        <is>
          <t>SKU0202</t>
        </is>
      </c>
      <c r="C474" s="5" t="inlineStr">
        <is>
          <t>アトルバスタチンOD錠「サンド」</t>
        </is>
      </c>
      <c r="D474" s="5" t="inlineStr">
        <is>
          <t>卸B</t>
        </is>
      </c>
      <c r="E474" s="5" t="n">
        <v>10177</v>
      </c>
      <c r="F474" s="5" t="n">
        <v>228556</v>
      </c>
    </row>
    <row r="475">
      <c r="A475" s="4" t="inlineStr">
        <is>
          <t>2025-11</t>
        </is>
      </c>
      <c r="B475" s="4" t="inlineStr">
        <is>
          <t>SKU0202</t>
        </is>
      </c>
      <c r="C475" s="4" t="inlineStr">
        <is>
          <t>アトルバスタチンOD錠「サンド」</t>
        </is>
      </c>
      <c r="D475" s="4" t="inlineStr">
        <is>
          <t>卸C</t>
        </is>
      </c>
      <c r="E475" s="4" t="n">
        <v>5939</v>
      </c>
      <c r="F475" s="4" t="n">
        <v>133387</v>
      </c>
    </row>
    <row r="476">
      <c r="A476" s="5" t="inlineStr">
        <is>
          <t>2025-12</t>
        </is>
      </c>
      <c r="B476" s="5" t="inlineStr">
        <is>
          <t>SKU0202</t>
        </is>
      </c>
      <c r="C476" s="5" t="inlineStr">
        <is>
          <t>アトルバスタチンOD錠「サンド」</t>
        </is>
      </c>
      <c r="D476" s="5" t="inlineStr">
        <is>
          <t>卸A</t>
        </is>
      </c>
      <c r="E476" s="5" t="n">
        <v>14376</v>
      </c>
      <c r="F476" s="5" t="n">
        <v>322862</v>
      </c>
    </row>
    <row r="477">
      <c r="A477" s="4" t="inlineStr">
        <is>
          <t>2025-12</t>
        </is>
      </c>
      <c r="B477" s="4" t="inlineStr">
        <is>
          <t>SKU0202</t>
        </is>
      </c>
      <c r="C477" s="4" t="inlineStr">
        <is>
          <t>アトルバスタチンOD錠「サンド」</t>
        </is>
      </c>
      <c r="D477" s="4" t="inlineStr">
        <is>
          <t>卸B</t>
        </is>
      </c>
      <c r="E477" s="4" t="n">
        <v>8322</v>
      </c>
      <c r="F477" s="4" t="n">
        <v>186885</v>
      </c>
    </row>
    <row r="478">
      <c r="A478" s="5" t="inlineStr">
        <is>
          <t>2025-12</t>
        </is>
      </c>
      <c r="B478" s="5" t="inlineStr">
        <is>
          <t>SKU0202</t>
        </is>
      </c>
      <c r="C478" s="5" t="inlineStr">
        <is>
          <t>アトルバスタチンOD錠「サンド」</t>
        </is>
      </c>
      <c r="D478" s="5" t="inlineStr">
        <is>
          <t>卸C</t>
        </is>
      </c>
      <c r="E478" s="5" t="n">
        <v>4734</v>
      </c>
      <c r="F478" s="5" t="n">
        <v>106319</v>
      </c>
    </row>
    <row r="479">
      <c r="A479" s="4" t="inlineStr">
        <is>
          <t>2026-01</t>
        </is>
      </c>
      <c r="B479" s="4" t="inlineStr">
        <is>
          <t>SKU0202</t>
        </is>
      </c>
      <c r="C479" s="4" t="inlineStr">
        <is>
          <t>アトルバスタチンOD錠「サンド」</t>
        </is>
      </c>
      <c r="D479" s="4" t="inlineStr">
        <is>
          <t>卸A</t>
        </is>
      </c>
      <c r="E479" s="4" t="n">
        <v>11238</v>
      </c>
      <c r="F479" s="4" t="n">
        <v>252382</v>
      </c>
    </row>
    <row r="480">
      <c r="A480" s="5" t="inlineStr">
        <is>
          <t>2026-01</t>
        </is>
      </c>
      <c r="B480" s="5" t="inlineStr">
        <is>
          <t>SKU0202</t>
        </is>
      </c>
      <c r="C480" s="5" t="inlineStr">
        <is>
          <t>アトルバスタチンOD錠「サンド」</t>
        </is>
      </c>
      <c r="D480" s="5" t="inlineStr">
        <is>
          <t>卸B</t>
        </is>
      </c>
      <c r="E480" s="5" t="n">
        <v>5679</v>
      </c>
      <c r="F480" s="5" t="n">
        <v>127545</v>
      </c>
    </row>
    <row r="481">
      <c r="A481" s="4" t="inlineStr">
        <is>
          <t>2026-01</t>
        </is>
      </c>
      <c r="B481" s="4" t="inlineStr">
        <is>
          <t>SKU0202</t>
        </is>
      </c>
      <c r="C481" s="4" t="inlineStr">
        <is>
          <t>アトルバスタチンOD錠「サンド」</t>
        </is>
      </c>
      <c r="D481" s="4" t="inlineStr">
        <is>
          <t>卸C</t>
        </is>
      </c>
      <c r="E481" s="4" t="n">
        <v>3911</v>
      </c>
      <c r="F481" s="4" t="n">
        <v>87828</v>
      </c>
    </row>
    <row r="482">
      <c r="A482" s="5" t="inlineStr">
        <is>
          <t>2026-02</t>
        </is>
      </c>
      <c r="B482" s="5" t="inlineStr">
        <is>
          <t>SKU0202</t>
        </is>
      </c>
      <c r="C482" s="5" t="inlineStr">
        <is>
          <t>アトルバスタチンOD錠「サンド」</t>
        </is>
      </c>
      <c r="D482" s="5" t="inlineStr">
        <is>
          <t>卸A</t>
        </is>
      </c>
      <c r="E482" s="5" t="n">
        <v>15225</v>
      </c>
      <c r="F482" s="5" t="n">
        <v>341921</v>
      </c>
    </row>
    <row r="483">
      <c r="A483" s="4" t="inlineStr">
        <is>
          <t>2026-02</t>
        </is>
      </c>
      <c r="B483" s="4" t="inlineStr">
        <is>
          <t>SKU0202</t>
        </is>
      </c>
      <c r="C483" s="4" t="inlineStr">
        <is>
          <t>アトルバスタチンOD錠「サンド」</t>
        </is>
      </c>
      <c r="D483" s="4" t="inlineStr">
        <is>
          <t>卸B</t>
        </is>
      </c>
      <c r="E483" s="4" t="n">
        <v>9486</v>
      </c>
      <c r="F483" s="4" t="n">
        <v>213027</v>
      </c>
    </row>
    <row r="484">
      <c r="A484" s="5" t="inlineStr">
        <is>
          <t>2026-02</t>
        </is>
      </c>
      <c r="B484" s="5" t="inlineStr">
        <is>
          <t>SKU0202</t>
        </is>
      </c>
      <c r="C484" s="5" t="inlineStr">
        <is>
          <t>アトルバスタチンOD錠「サンド」</t>
        </is>
      </c>
      <c r="D484" s="5" t="inlineStr">
        <is>
          <t>卸C</t>
        </is>
      </c>
      <c r="E484" s="5" t="n">
        <v>4886</v>
      </c>
      <c r="F484" s="5" t="n">
        <v>109728</v>
      </c>
    </row>
    <row r="485">
      <c r="A485" s="4" t="inlineStr">
        <is>
          <t>2026-03</t>
        </is>
      </c>
      <c r="B485" s="4" t="inlineStr">
        <is>
          <t>SKU0202</t>
        </is>
      </c>
      <c r="C485" s="4" t="inlineStr">
        <is>
          <t>アトルバスタチンOD錠「サンド」</t>
        </is>
      </c>
      <c r="D485" s="4" t="inlineStr">
        <is>
          <t>卸A</t>
        </is>
      </c>
      <c r="E485" s="4" t="n">
        <v>20476</v>
      </c>
      <c r="F485" s="4" t="n">
        <v>459844</v>
      </c>
    </row>
    <row r="486">
      <c r="A486" s="5" t="inlineStr">
        <is>
          <t>2026-03</t>
        </is>
      </c>
      <c r="B486" s="5" t="inlineStr">
        <is>
          <t>SKU0202</t>
        </is>
      </c>
      <c r="C486" s="5" t="inlineStr">
        <is>
          <t>アトルバスタチンOD錠「サンド」</t>
        </is>
      </c>
      <c r="D486" s="5" t="inlineStr">
        <is>
          <t>卸B</t>
        </is>
      </c>
      <c r="E486" s="5" t="n">
        <v>12847</v>
      </c>
      <c r="F486" s="5" t="n">
        <v>288507</v>
      </c>
    </row>
    <row r="487">
      <c r="A487" s="4" t="inlineStr">
        <is>
          <t>2026-03</t>
        </is>
      </c>
      <c r="B487" s="4" t="inlineStr">
        <is>
          <t>SKU0202</t>
        </is>
      </c>
      <c r="C487" s="4" t="inlineStr">
        <is>
          <t>アトルバスタチンOD錠「サンド」</t>
        </is>
      </c>
      <c r="D487" s="4" t="inlineStr">
        <is>
          <t>卸C</t>
        </is>
      </c>
      <c r="E487" s="4" t="n">
        <v>8621</v>
      </c>
      <c r="F487" s="4" t="n">
        <v>193620</v>
      </c>
    </row>
    <row r="488">
      <c r="A488" s="5" t="inlineStr">
        <is>
          <t>2026-04</t>
        </is>
      </c>
      <c r="B488" s="5" t="inlineStr">
        <is>
          <t>SKU0202</t>
        </is>
      </c>
      <c r="C488" s="5" t="inlineStr">
        <is>
          <t>アトルバスタチンOD錠「サンド」</t>
        </is>
      </c>
      <c r="D488" s="5" t="inlineStr">
        <is>
          <t>卸A</t>
        </is>
      </c>
      <c r="E488" s="5" t="n">
        <v>8342</v>
      </c>
      <c r="F488" s="5" t="n">
        <v>176108</v>
      </c>
    </row>
    <row r="489">
      <c r="A489" s="4" t="inlineStr">
        <is>
          <t>2026-04</t>
        </is>
      </c>
      <c r="B489" s="4" t="inlineStr">
        <is>
          <t>SKU0202</t>
        </is>
      </c>
      <c r="C489" s="4" t="inlineStr">
        <is>
          <t>アトルバスタチンOD錠「サンド」</t>
        </is>
      </c>
      <c r="D489" s="4" t="inlineStr">
        <is>
          <t>卸B</t>
        </is>
      </c>
      <c r="E489" s="4" t="n">
        <v>3734</v>
      </c>
      <c r="F489" s="4" t="n">
        <v>78837</v>
      </c>
    </row>
    <row r="490">
      <c r="A490" s="5" t="inlineStr">
        <is>
          <t>2026-04</t>
        </is>
      </c>
      <c r="B490" s="5" t="inlineStr">
        <is>
          <t>SKU0202</t>
        </is>
      </c>
      <c r="C490" s="5" t="inlineStr">
        <is>
          <t>アトルバスタチンOD錠「サンド」</t>
        </is>
      </c>
      <c r="D490" s="5" t="inlineStr">
        <is>
          <t>卸C</t>
        </is>
      </c>
      <c r="E490" s="5" t="n">
        <v>708</v>
      </c>
      <c r="F490" s="5" t="n">
        <v>14948</v>
      </c>
    </row>
    <row r="491">
      <c r="A491" s="4" t="inlineStr">
        <is>
          <t>2026-05</t>
        </is>
      </c>
      <c r="B491" s="4" t="inlineStr">
        <is>
          <t>SKU0202</t>
        </is>
      </c>
      <c r="C491" s="4" t="inlineStr">
        <is>
          <t>アトルバスタチンOD錠「サンド」</t>
        </is>
      </c>
      <c r="D491" s="4" t="inlineStr">
        <is>
          <t>卸A</t>
        </is>
      </c>
      <c r="E491" s="4" t="n">
        <v>12733</v>
      </c>
      <c r="F491" s="4" t="n">
        <v>268789</v>
      </c>
    </row>
    <row r="492">
      <c r="A492" s="5" t="inlineStr">
        <is>
          <t>2026-05</t>
        </is>
      </c>
      <c r="B492" s="5" t="inlineStr">
        <is>
          <t>SKU0202</t>
        </is>
      </c>
      <c r="C492" s="5" t="inlineStr">
        <is>
          <t>アトルバスタチンOD錠「サンド」</t>
        </is>
      </c>
      <c r="D492" s="5" t="inlineStr">
        <is>
          <t>卸B</t>
        </is>
      </c>
      <c r="E492" s="5" t="n">
        <v>8901</v>
      </c>
      <c r="F492" s="5" t="n">
        <v>187899</v>
      </c>
    </row>
    <row r="493">
      <c r="A493" s="4" t="inlineStr">
        <is>
          <t>2026-05</t>
        </is>
      </c>
      <c r="B493" s="4" t="inlineStr">
        <is>
          <t>SKU0202</t>
        </is>
      </c>
      <c r="C493" s="4" t="inlineStr">
        <is>
          <t>アトルバスタチンOD錠「サンド」</t>
        </is>
      </c>
      <c r="D493" s="4" t="inlineStr">
        <is>
          <t>卸C</t>
        </is>
      </c>
      <c r="E493" s="4" t="n">
        <v>4783</v>
      </c>
      <c r="F493" s="4" t="n">
        <v>100969</v>
      </c>
    </row>
    <row r="494">
      <c r="A494" s="5" t="inlineStr">
        <is>
          <t>2023-01</t>
        </is>
      </c>
      <c r="B494" s="5" t="inlineStr">
        <is>
          <t>SKU0301</t>
        </is>
      </c>
      <c r="C494" s="5" t="inlineStr">
        <is>
          <t>フィルグラスチムBS注「サンド」</t>
        </is>
      </c>
      <c r="D494" s="5" t="inlineStr">
        <is>
          <t>卸A</t>
        </is>
      </c>
      <c r="E494" s="5" t="n">
        <v>6</v>
      </c>
      <c r="F494" s="5" t="n">
        <v>33412</v>
      </c>
    </row>
    <row r="495">
      <c r="A495" s="4" t="inlineStr">
        <is>
          <t>2023-01</t>
        </is>
      </c>
      <c r="B495" s="4" t="inlineStr">
        <is>
          <t>SKU0301</t>
        </is>
      </c>
      <c r="C495" s="4" t="inlineStr">
        <is>
          <t>フィルグラスチムBS注「サンド」</t>
        </is>
      </c>
      <c r="D495" s="4" t="inlineStr">
        <is>
          <t>卸B</t>
        </is>
      </c>
      <c r="E495" s="4" t="n">
        <v>4</v>
      </c>
      <c r="F495" s="4" t="n">
        <v>21301</v>
      </c>
    </row>
    <row r="496">
      <c r="A496" s="5" t="inlineStr">
        <is>
          <t>2023-01</t>
        </is>
      </c>
      <c r="B496" s="5" t="inlineStr">
        <is>
          <t>SKU0301</t>
        </is>
      </c>
      <c r="C496" s="5" t="inlineStr">
        <is>
          <t>フィルグラスチムBS注「サンド」</t>
        </is>
      </c>
      <c r="D496" s="5" t="inlineStr">
        <is>
          <t>卸C</t>
        </is>
      </c>
      <c r="E496" s="5" t="n">
        <v>2</v>
      </c>
      <c r="F496" s="5" t="n">
        <v>11815</v>
      </c>
    </row>
    <row r="497">
      <c r="A497" s="4" t="inlineStr">
        <is>
          <t>2023-02</t>
        </is>
      </c>
      <c r="B497" s="4" t="inlineStr">
        <is>
          <t>SKU0301</t>
        </is>
      </c>
      <c r="C497" s="4" t="inlineStr">
        <is>
          <t>フィルグラスチムBS注「サンド」</t>
        </is>
      </c>
      <c r="D497" s="4" t="inlineStr">
        <is>
          <t>卸A</t>
        </is>
      </c>
      <c r="E497" s="4" t="n">
        <v>6</v>
      </c>
      <c r="F497" s="4" t="n">
        <v>32183</v>
      </c>
    </row>
    <row r="498">
      <c r="A498" s="5" t="inlineStr">
        <is>
          <t>2023-02</t>
        </is>
      </c>
      <c r="B498" s="5" t="inlineStr">
        <is>
          <t>SKU0301</t>
        </is>
      </c>
      <c r="C498" s="5" t="inlineStr">
        <is>
          <t>フィルグラスチムBS注「サンド」</t>
        </is>
      </c>
      <c r="D498" s="5" t="inlineStr">
        <is>
          <t>卸B</t>
        </is>
      </c>
      <c r="E498" s="5" t="n">
        <v>3</v>
      </c>
      <c r="F498" s="5" t="n">
        <v>19297</v>
      </c>
    </row>
    <row r="499">
      <c r="A499" s="4" t="inlineStr">
        <is>
          <t>2023-02</t>
        </is>
      </c>
      <c r="B499" s="4" t="inlineStr">
        <is>
          <t>SKU0301</t>
        </is>
      </c>
      <c r="C499" s="4" t="inlineStr">
        <is>
          <t>フィルグラスチムBS注「サンド」</t>
        </is>
      </c>
      <c r="D499" s="4" t="inlineStr">
        <is>
          <t>卸C</t>
        </is>
      </c>
      <c r="E499" s="4" t="n">
        <v>2</v>
      </c>
      <c r="F499" s="4" t="n">
        <v>10731</v>
      </c>
    </row>
    <row r="500">
      <c r="A500" s="5" t="inlineStr">
        <is>
          <t>2023-03</t>
        </is>
      </c>
      <c r="B500" s="5" t="inlineStr">
        <is>
          <t>SKU0301</t>
        </is>
      </c>
      <c r="C500" s="5" t="inlineStr">
        <is>
          <t>フィルグラスチムBS注「サンド」</t>
        </is>
      </c>
      <c r="D500" s="5" t="inlineStr">
        <is>
          <t>卸A</t>
        </is>
      </c>
      <c r="E500" s="5" t="n">
        <v>11</v>
      </c>
      <c r="F500" s="5" t="n">
        <v>65949</v>
      </c>
    </row>
    <row r="501">
      <c r="A501" s="4" t="inlineStr">
        <is>
          <t>2023-03</t>
        </is>
      </c>
      <c r="B501" s="4" t="inlineStr">
        <is>
          <t>SKU0301</t>
        </is>
      </c>
      <c r="C501" s="4" t="inlineStr">
        <is>
          <t>フィルグラスチムBS注「サンド」</t>
        </is>
      </c>
      <c r="D501" s="4" t="inlineStr">
        <is>
          <t>卸B</t>
        </is>
      </c>
      <c r="E501" s="4" t="n">
        <v>8</v>
      </c>
      <c r="F501" s="4" t="n">
        <v>45592</v>
      </c>
    </row>
    <row r="502">
      <c r="A502" s="5" t="inlineStr">
        <is>
          <t>2023-03</t>
        </is>
      </c>
      <c r="B502" s="5" t="inlineStr">
        <is>
          <t>SKU0301</t>
        </is>
      </c>
      <c r="C502" s="5" t="inlineStr">
        <is>
          <t>フィルグラスチムBS注「サンド」</t>
        </is>
      </c>
      <c r="D502" s="5" t="inlineStr">
        <is>
          <t>卸C</t>
        </is>
      </c>
      <c r="E502" s="5" t="n">
        <v>4</v>
      </c>
      <c r="F502" s="5" t="n">
        <v>23013</v>
      </c>
    </row>
    <row r="503">
      <c r="A503" s="4" t="inlineStr">
        <is>
          <t>2023-04</t>
        </is>
      </c>
      <c r="B503" s="4" t="inlineStr">
        <is>
          <t>SKU0301</t>
        </is>
      </c>
      <c r="C503" s="4" t="inlineStr">
        <is>
          <t>フィルグラスチムBS注「サンド」</t>
        </is>
      </c>
      <c r="D503" s="4" t="inlineStr">
        <is>
          <t>卸A</t>
        </is>
      </c>
      <c r="E503" s="4" t="n">
        <v>9</v>
      </c>
      <c r="F503" s="4" t="n">
        <v>52857</v>
      </c>
    </row>
    <row r="504">
      <c r="A504" s="5" t="inlineStr">
        <is>
          <t>2023-04</t>
        </is>
      </c>
      <c r="B504" s="5" t="inlineStr">
        <is>
          <t>SKU0301</t>
        </is>
      </c>
      <c r="C504" s="5" t="inlineStr">
        <is>
          <t>フィルグラスチムBS注「サンド」</t>
        </is>
      </c>
      <c r="D504" s="5" t="inlineStr">
        <is>
          <t>卸B</t>
        </is>
      </c>
      <c r="E504" s="5" t="n">
        <v>5</v>
      </c>
      <c r="F504" s="5" t="n">
        <v>31053</v>
      </c>
    </row>
    <row r="505">
      <c r="A505" s="4" t="inlineStr">
        <is>
          <t>2023-04</t>
        </is>
      </c>
      <c r="B505" s="4" t="inlineStr">
        <is>
          <t>SKU0301</t>
        </is>
      </c>
      <c r="C505" s="4" t="inlineStr">
        <is>
          <t>フィルグラスチムBS注「サンド」</t>
        </is>
      </c>
      <c r="D505" s="4" t="inlineStr">
        <is>
          <t>卸C</t>
        </is>
      </c>
      <c r="E505" s="4" t="n">
        <v>4</v>
      </c>
      <c r="F505" s="4" t="n">
        <v>22786</v>
      </c>
    </row>
    <row r="506">
      <c r="A506" s="5" t="inlineStr">
        <is>
          <t>2023-05</t>
        </is>
      </c>
      <c r="B506" s="5" t="inlineStr">
        <is>
          <t>SKU0301</t>
        </is>
      </c>
      <c r="C506" s="5" t="inlineStr">
        <is>
          <t>フィルグラスチムBS注「サンド」</t>
        </is>
      </c>
      <c r="D506" s="5" t="inlineStr">
        <is>
          <t>卸A</t>
        </is>
      </c>
      <c r="E506" s="5" t="n">
        <v>13</v>
      </c>
      <c r="F506" s="5" t="n">
        <v>77663</v>
      </c>
    </row>
    <row r="507">
      <c r="A507" s="4" t="inlineStr">
        <is>
          <t>2023-05</t>
        </is>
      </c>
      <c r="B507" s="4" t="inlineStr">
        <is>
          <t>SKU0301</t>
        </is>
      </c>
      <c r="C507" s="4" t="inlineStr">
        <is>
          <t>フィルグラスチムBS注「サンド」</t>
        </is>
      </c>
      <c r="D507" s="4" t="inlineStr">
        <is>
          <t>卸B</t>
        </is>
      </c>
      <c r="E507" s="4" t="n">
        <v>11</v>
      </c>
      <c r="F507" s="4" t="n">
        <v>63182</v>
      </c>
    </row>
    <row r="508">
      <c r="A508" s="5" t="inlineStr">
        <is>
          <t>2023-05</t>
        </is>
      </c>
      <c r="B508" s="5" t="inlineStr">
        <is>
          <t>SKU0301</t>
        </is>
      </c>
      <c r="C508" s="5" t="inlineStr">
        <is>
          <t>フィルグラスチムBS注「サンド」</t>
        </is>
      </c>
      <c r="D508" s="5" t="inlineStr">
        <is>
          <t>卸C</t>
        </is>
      </c>
      <c r="E508" s="5" t="n">
        <v>6</v>
      </c>
      <c r="F508" s="5" t="n">
        <v>32507</v>
      </c>
    </row>
    <row r="509">
      <c r="A509" s="4" t="inlineStr">
        <is>
          <t>2023-06</t>
        </is>
      </c>
      <c r="B509" s="4" t="inlineStr">
        <is>
          <t>SKU0301</t>
        </is>
      </c>
      <c r="C509" s="4" t="inlineStr">
        <is>
          <t>フィルグラスチムBS注「サンド」</t>
        </is>
      </c>
      <c r="D509" s="4" t="inlineStr">
        <is>
          <t>卸A</t>
        </is>
      </c>
      <c r="E509" s="4" t="n">
        <v>19</v>
      </c>
      <c r="F509" s="4" t="n">
        <v>111278</v>
      </c>
    </row>
    <row r="510">
      <c r="A510" s="5" t="inlineStr">
        <is>
          <t>2023-06</t>
        </is>
      </c>
      <c r="B510" s="5" t="inlineStr">
        <is>
          <t>SKU0301</t>
        </is>
      </c>
      <c r="C510" s="5" t="inlineStr">
        <is>
          <t>フィルグラスチムBS注「サンド」</t>
        </is>
      </c>
      <c r="D510" s="5" t="inlineStr">
        <is>
          <t>卸B</t>
        </is>
      </c>
      <c r="E510" s="5" t="n">
        <v>15</v>
      </c>
      <c r="F510" s="5" t="n">
        <v>89722</v>
      </c>
    </row>
    <row r="511">
      <c r="A511" s="4" t="inlineStr">
        <is>
          <t>2023-06</t>
        </is>
      </c>
      <c r="B511" s="4" t="inlineStr">
        <is>
          <t>SKU0301</t>
        </is>
      </c>
      <c r="C511" s="4" t="inlineStr">
        <is>
          <t>フィルグラスチムBS注「サンド」</t>
        </is>
      </c>
      <c r="D511" s="4" t="inlineStr">
        <is>
          <t>卸C</t>
        </is>
      </c>
      <c r="E511" s="4" t="n">
        <v>8</v>
      </c>
      <c r="F511" s="4" t="n">
        <v>43586</v>
      </c>
    </row>
    <row r="512">
      <c r="A512" s="5" t="inlineStr">
        <is>
          <t>2023-07</t>
        </is>
      </c>
      <c r="B512" s="5" t="inlineStr">
        <is>
          <t>SKU0301</t>
        </is>
      </c>
      <c r="C512" s="5" t="inlineStr">
        <is>
          <t>フィルグラスチムBS注「サンド」</t>
        </is>
      </c>
      <c r="D512" s="5" t="inlineStr">
        <is>
          <t>卸A</t>
        </is>
      </c>
      <c r="E512" s="5" t="n">
        <v>22</v>
      </c>
      <c r="F512" s="5" t="n">
        <v>129106</v>
      </c>
    </row>
    <row r="513">
      <c r="A513" s="4" t="inlineStr">
        <is>
          <t>2023-07</t>
        </is>
      </c>
      <c r="B513" s="4" t="inlineStr">
        <is>
          <t>SKU0301</t>
        </is>
      </c>
      <c r="C513" s="4" t="inlineStr">
        <is>
          <t>フィルグラスチムBS注「サンド」</t>
        </is>
      </c>
      <c r="D513" s="4" t="inlineStr">
        <is>
          <t>卸B</t>
        </is>
      </c>
      <c r="E513" s="4" t="n">
        <v>16</v>
      </c>
      <c r="F513" s="4" t="n">
        <v>93683</v>
      </c>
    </row>
    <row r="514">
      <c r="A514" s="5" t="inlineStr">
        <is>
          <t>2023-07</t>
        </is>
      </c>
      <c r="B514" s="5" t="inlineStr">
        <is>
          <t>SKU0301</t>
        </is>
      </c>
      <c r="C514" s="5" t="inlineStr">
        <is>
          <t>フィルグラスチムBS注「サンド」</t>
        </is>
      </c>
      <c r="D514" s="5" t="inlineStr">
        <is>
          <t>卸C</t>
        </is>
      </c>
      <c r="E514" s="5" t="n">
        <v>10</v>
      </c>
      <c r="F514" s="5" t="n">
        <v>56546</v>
      </c>
    </row>
    <row r="515">
      <c r="A515" s="4" t="inlineStr">
        <is>
          <t>2023-08</t>
        </is>
      </c>
      <c r="B515" s="4" t="inlineStr">
        <is>
          <t>SKU0301</t>
        </is>
      </c>
      <c r="C515" s="4" t="inlineStr">
        <is>
          <t>フィルグラスチムBS注「サンド」</t>
        </is>
      </c>
      <c r="D515" s="4" t="inlineStr">
        <is>
          <t>卸A</t>
        </is>
      </c>
      <c r="E515" s="4" t="n">
        <v>26</v>
      </c>
      <c r="F515" s="4" t="n">
        <v>150253</v>
      </c>
    </row>
    <row r="516">
      <c r="A516" s="5" t="inlineStr">
        <is>
          <t>2023-08</t>
        </is>
      </c>
      <c r="B516" s="5" t="inlineStr">
        <is>
          <t>SKU0301</t>
        </is>
      </c>
      <c r="C516" s="5" t="inlineStr">
        <is>
          <t>フィルグラスチムBS注「サンド」</t>
        </is>
      </c>
      <c r="D516" s="5" t="inlineStr">
        <is>
          <t>卸B</t>
        </is>
      </c>
      <c r="E516" s="5" t="n">
        <v>15</v>
      </c>
      <c r="F516" s="5" t="n">
        <v>85360</v>
      </c>
    </row>
    <row r="517">
      <c r="A517" s="4" t="inlineStr">
        <is>
          <t>2023-08</t>
        </is>
      </c>
      <c r="B517" s="4" t="inlineStr">
        <is>
          <t>SKU0301</t>
        </is>
      </c>
      <c r="C517" s="4" t="inlineStr">
        <is>
          <t>フィルグラスチムBS注「サンド」</t>
        </is>
      </c>
      <c r="D517" s="4" t="inlineStr">
        <is>
          <t>卸C</t>
        </is>
      </c>
      <c r="E517" s="4" t="n">
        <v>8</v>
      </c>
      <c r="F517" s="4" t="n">
        <v>45037</v>
      </c>
    </row>
    <row r="518">
      <c r="A518" s="5" t="inlineStr">
        <is>
          <t>2023-09</t>
        </is>
      </c>
      <c r="B518" s="5" t="inlineStr">
        <is>
          <t>SKU0301</t>
        </is>
      </c>
      <c r="C518" s="5" t="inlineStr">
        <is>
          <t>フィルグラスチムBS注「サンド」</t>
        </is>
      </c>
      <c r="D518" s="5" t="inlineStr">
        <is>
          <t>卸A</t>
        </is>
      </c>
      <c r="E518" s="5" t="n">
        <v>28</v>
      </c>
      <c r="F518" s="5" t="n">
        <v>164860</v>
      </c>
    </row>
    <row r="519">
      <c r="A519" s="4" t="inlineStr">
        <is>
          <t>2023-09</t>
        </is>
      </c>
      <c r="B519" s="4" t="inlineStr">
        <is>
          <t>SKU0301</t>
        </is>
      </c>
      <c r="C519" s="4" t="inlineStr">
        <is>
          <t>フィルグラスチムBS注「サンド」</t>
        </is>
      </c>
      <c r="D519" s="4" t="inlineStr">
        <is>
          <t>卸B</t>
        </is>
      </c>
      <c r="E519" s="4" t="n">
        <v>19</v>
      </c>
      <c r="F519" s="4" t="n">
        <v>112928</v>
      </c>
    </row>
    <row r="520">
      <c r="A520" s="5" t="inlineStr">
        <is>
          <t>2023-09</t>
        </is>
      </c>
      <c r="B520" s="5" t="inlineStr">
        <is>
          <t>SKU0301</t>
        </is>
      </c>
      <c r="C520" s="5" t="inlineStr">
        <is>
          <t>フィルグラスチムBS注「サンド」</t>
        </is>
      </c>
      <c r="D520" s="5" t="inlineStr">
        <is>
          <t>卸C</t>
        </is>
      </c>
      <c r="E520" s="5" t="n">
        <v>12</v>
      </c>
      <c r="F520" s="5" t="n">
        <v>69687</v>
      </c>
    </row>
    <row r="521">
      <c r="A521" s="4" t="inlineStr">
        <is>
          <t>2023-10</t>
        </is>
      </c>
      <c r="B521" s="4" t="inlineStr">
        <is>
          <t>SKU0301</t>
        </is>
      </c>
      <c r="C521" s="4" t="inlineStr">
        <is>
          <t>フィルグラスチムBS注「サンド」</t>
        </is>
      </c>
      <c r="D521" s="4" t="inlineStr">
        <is>
          <t>卸A</t>
        </is>
      </c>
      <c r="E521" s="4" t="n">
        <v>35</v>
      </c>
      <c r="F521" s="4" t="n">
        <v>201593</v>
      </c>
    </row>
    <row r="522">
      <c r="A522" s="5" t="inlineStr">
        <is>
          <t>2023-10</t>
        </is>
      </c>
      <c r="B522" s="5" t="inlineStr">
        <is>
          <t>SKU0301</t>
        </is>
      </c>
      <c r="C522" s="5" t="inlineStr">
        <is>
          <t>フィルグラスチムBS注「サンド」</t>
        </is>
      </c>
      <c r="D522" s="5" t="inlineStr">
        <is>
          <t>卸B</t>
        </is>
      </c>
      <c r="E522" s="5" t="n">
        <v>24</v>
      </c>
      <c r="F522" s="5" t="n">
        <v>141540</v>
      </c>
    </row>
    <row r="523">
      <c r="A523" s="4" t="inlineStr">
        <is>
          <t>2023-10</t>
        </is>
      </c>
      <c r="B523" s="4" t="inlineStr">
        <is>
          <t>SKU0301</t>
        </is>
      </c>
      <c r="C523" s="4" t="inlineStr">
        <is>
          <t>フィルグラスチムBS注「サンド」</t>
        </is>
      </c>
      <c r="D523" s="4" t="inlineStr">
        <is>
          <t>卸C</t>
        </is>
      </c>
      <c r="E523" s="4" t="n">
        <v>13</v>
      </c>
      <c r="F523" s="4" t="n">
        <v>74758</v>
      </c>
    </row>
    <row r="524">
      <c r="A524" s="5" t="inlineStr">
        <is>
          <t>2023-11</t>
        </is>
      </c>
      <c r="B524" s="5" t="inlineStr">
        <is>
          <t>SKU0301</t>
        </is>
      </c>
      <c r="C524" s="5" t="inlineStr">
        <is>
          <t>フィルグラスチムBS注「サンド」</t>
        </is>
      </c>
      <c r="D524" s="5" t="inlineStr">
        <is>
          <t>卸A</t>
        </is>
      </c>
      <c r="E524" s="5" t="n">
        <v>52</v>
      </c>
      <c r="F524" s="5" t="n">
        <v>300997</v>
      </c>
    </row>
    <row r="525">
      <c r="A525" s="4" t="inlineStr">
        <is>
          <t>2023-11</t>
        </is>
      </c>
      <c r="B525" s="4" t="inlineStr">
        <is>
          <t>SKU0301</t>
        </is>
      </c>
      <c r="C525" s="4" t="inlineStr">
        <is>
          <t>フィルグラスチムBS注「サンド」</t>
        </is>
      </c>
      <c r="D525" s="4" t="inlineStr">
        <is>
          <t>卸B</t>
        </is>
      </c>
      <c r="E525" s="4" t="n">
        <v>38</v>
      </c>
      <c r="F525" s="4" t="n">
        <v>220378</v>
      </c>
    </row>
    <row r="526">
      <c r="A526" s="5" t="inlineStr">
        <is>
          <t>2023-11</t>
        </is>
      </c>
      <c r="B526" s="5" t="inlineStr">
        <is>
          <t>SKU0301</t>
        </is>
      </c>
      <c r="C526" s="5" t="inlineStr">
        <is>
          <t>フィルグラスチムBS注「サンド」</t>
        </is>
      </c>
      <c r="D526" s="5" t="inlineStr">
        <is>
          <t>卸C</t>
        </is>
      </c>
      <c r="E526" s="5" t="n">
        <v>23</v>
      </c>
      <c r="F526" s="5" t="n">
        <v>134672</v>
      </c>
    </row>
    <row r="527">
      <c r="A527" s="4" t="inlineStr">
        <is>
          <t>2023-12</t>
        </is>
      </c>
      <c r="B527" s="4" t="inlineStr">
        <is>
          <t>SKU0301</t>
        </is>
      </c>
      <c r="C527" s="4" t="inlineStr">
        <is>
          <t>フィルグラスチムBS注「サンド」</t>
        </is>
      </c>
      <c r="D527" s="4" t="inlineStr">
        <is>
          <t>卸A</t>
        </is>
      </c>
      <c r="E527" s="4" t="n">
        <v>44</v>
      </c>
      <c r="F527" s="4" t="n">
        <v>254246</v>
      </c>
    </row>
    <row r="528">
      <c r="A528" s="5" t="inlineStr">
        <is>
          <t>2023-12</t>
        </is>
      </c>
      <c r="B528" s="5" t="inlineStr">
        <is>
          <t>SKU0301</t>
        </is>
      </c>
      <c r="C528" s="5" t="inlineStr">
        <is>
          <t>フィルグラスチムBS注「サンド」</t>
        </is>
      </c>
      <c r="D528" s="5" t="inlineStr">
        <is>
          <t>卸B</t>
        </is>
      </c>
      <c r="E528" s="5" t="n">
        <v>29</v>
      </c>
      <c r="F528" s="5" t="n">
        <v>169320</v>
      </c>
    </row>
    <row r="529">
      <c r="A529" s="4" t="inlineStr">
        <is>
          <t>2023-12</t>
        </is>
      </c>
      <c r="B529" s="4" t="inlineStr">
        <is>
          <t>SKU0301</t>
        </is>
      </c>
      <c r="C529" s="4" t="inlineStr">
        <is>
          <t>フィルグラスチムBS注「サンド」</t>
        </is>
      </c>
      <c r="D529" s="4" t="inlineStr">
        <is>
          <t>卸C</t>
        </is>
      </c>
      <c r="E529" s="4" t="n">
        <v>15</v>
      </c>
      <c r="F529" s="4" t="n">
        <v>89108</v>
      </c>
    </row>
    <row r="530">
      <c r="A530" s="5" t="inlineStr">
        <is>
          <t>2024-01</t>
        </is>
      </c>
      <c r="B530" s="5" t="inlineStr">
        <is>
          <t>SKU0301</t>
        </is>
      </c>
      <c r="C530" s="5" t="inlineStr">
        <is>
          <t>フィルグラスチムBS注「サンド」</t>
        </is>
      </c>
      <c r="D530" s="5" t="inlineStr">
        <is>
          <t>卸A</t>
        </is>
      </c>
      <c r="E530" s="5" t="n">
        <v>70</v>
      </c>
      <c r="F530" s="5" t="n">
        <v>403757</v>
      </c>
    </row>
    <row r="531">
      <c r="A531" s="4" t="inlineStr">
        <is>
          <t>2024-01</t>
        </is>
      </c>
      <c r="B531" s="4" t="inlineStr">
        <is>
          <t>SKU0301</t>
        </is>
      </c>
      <c r="C531" s="4" t="inlineStr">
        <is>
          <t>フィルグラスチムBS注「サンド」</t>
        </is>
      </c>
      <c r="D531" s="4" t="inlineStr">
        <is>
          <t>卸B</t>
        </is>
      </c>
      <c r="E531" s="4" t="n">
        <v>47</v>
      </c>
      <c r="F531" s="4" t="n">
        <v>272267</v>
      </c>
    </row>
    <row r="532">
      <c r="A532" s="5" t="inlineStr">
        <is>
          <t>2024-01</t>
        </is>
      </c>
      <c r="B532" s="5" t="inlineStr">
        <is>
          <t>SKU0301</t>
        </is>
      </c>
      <c r="C532" s="5" t="inlineStr">
        <is>
          <t>フィルグラスチムBS注「サンド」</t>
        </is>
      </c>
      <c r="D532" s="5" t="inlineStr">
        <is>
          <t>卸C</t>
        </is>
      </c>
      <c r="E532" s="5" t="n">
        <v>29</v>
      </c>
      <c r="F532" s="5" t="n">
        <v>169021</v>
      </c>
    </row>
    <row r="533">
      <c r="A533" s="4" t="inlineStr">
        <is>
          <t>2024-02</t>
        </is>
      </c>
      <c r="B533" s="4" t="inlineStr">
        <is>
          <t>SKU0301</t>
        </is>
      </c>
      <c r="C533" s="4" t="inlineStr">
        <is>
          <t>フィルグラスチムBS注「サンド」</t>
        </is>
      </c>
      <c r="D533" s="4" t="inlineStr">
        <is>
          <t>卸A</t>
        </is>
      </c>
      <c r="E533" s="4" t="n">
        <v>73</v>
      </c>
      <c r="F533" s="4" t="n">
        <v>424046</v>
      </c>
    </row>
    <row r="534">
      <c r="A534" s="5" t="inlineStr">
        <is>
          <t>2024-02</t>
        </is>
      </c>
      <c r="B534" s="5" t="inlineStr">
        <is>
          <t>SKU0301</t>
        </is>
      </c>
      <c r="C534" s="5" t="inlineStr">
        <is>
          <t>フィルグラスチムBS注「サンド」</t>
        </is>
      </c>
      <c r="D534" s="5" t="inlineStr">
        <is>
          <t>卸B</t>
        </is>
      </c>
      <c r="E534" s="5" t="n">
        <v>45</v>
      </c>
      <c r="F534" s="5" t="n">
        <v>260505</v>
      </c>
    </row>
    <row r="535">
      <c r="A535" s="4" t="inlineStr">
        <is>
          <t>2024-02</t>
        </is>
      </c>
      <c r="B535" s="4" t="inlineStr">
        <is>
          <t>SKU0301</t>
        </is>
      </c>
      <c r="C535" s="4" t="inlineStr">
        <is>
          <t>フィルグラスチムBS注「サンド」</t>
        </is>
      </c>
      <c r="D535" s="4" t="inlineStr">
        <is>
          <t>卸C</t>
        </is>
      </c>
      <c r="E535" s="4" t="n">
        <v>23</v>
      </c>
      <c r="F535" s="4" t="n">
        <v>132748</v>
      </c>
    </row>
    <row r="536">
      <c r="A536" s="5" t="inlineStr">
        <is>
          <t>2024-03</t>
        </is>
      </c>
      <c r="B536" s="5" t="inlineStr">
        <is>
          <t>SKU0301</t>
        </is>
      </c>
      <c r="C536" s="5" t="inlineStr">
        <is>
          <t>フィルグラスチムBS注「サンド」</t>
        </is>
      </c>
      <c r="D536" s="5" t="inlineStr">
        <is>
          <t>卸A</t>
        </is>
      </c>
      <c r="E536" s="5" t="n">
        <v>133</v>
      </c>
      <c r="F536" s="5" t="n">
        <v>773926</v>
      </c>
    </row>
    <row r="537">
      <c r="A537" s="4" t="inlineStr">
        <is>
          <t>2024-03</t>
        </is>
      </c>
      <c r="B537" s="4" t="inlineStr">
        <is>
          <t>SKU0301</t>
        </is>
      </c>
      <c r="C537" s="4" t="inlineStr">
        <is>
          <t>フィルグラスチムBS注「サンド」</t>
        </is>
      </c>
      <c r="D537" s="4" t="inlineStr">
        <is>
          <t>卸B</t>
        </is>
      </c>
      <c r="E537" s="4" t="n">
        <v>83</v>
      </c>
      <c r="F537" s="4" t="n">
        <v>481028</v>
      </c>
    </row>
    <row r="538">
      <c r="A538" s="5" t="inlineStr">
        <is>
          <t>2024-03</t>
        </is>
      </c>
      <c r="B538" s="5" t="inlineStr">
        <is>
          <t>SKU0301</t>
        </is>
      </c>
      <c r="C538" s="5" t="inlineStr">
        <is>
          <t>フィルグラスチムBS注「サンド」</t>
        </is>
      </c>
      <c r="D538" s="5" t="inlineStr">
        <is>
          <t>卸C</t>
        </is>
      </c>
      <c r="E538" s="5" t="n">
        <v>59</v>
      </c>
      <c r="F538" s="5" t="n">
        <v>342947</v>
      </c>
    </row>
    <row r="539">
      <c r="A539" s="4" t="inlineStr">
        <is>
          <t>2024-04</t>
        </is>
      </c>
      <c r="B539" s="4" t="inlineStr">
        <is>
          <t>SKU0301</t>
        </is>
      </c>
      <c r="C539" s="4" t="inlineStr">
        <is>
          <t>フィルグラスチムBS注「サンド」</t>
        </is>
      </c>
      <c r="D539" s="4" t="inlineStr">
        <is>
          <t>卸A</t>
        </is>
      </c>
      <c r="E539" s="4" t="n">
        <v>47</v>
      </c>
      <c r="F539" s="4" t="n">
        <v>256324</v>
      </c>
    </row>
    <row r="540">
      <c r="A540" s="5" t="inlineStr">
        <is>
          <t>2024-04</t>
        </is>
      </c>
      <c r="B540" s="5" t="inlineStr">
        <is>
          <t>SKU0301</t>
        </is>
      </c>
      <c r="C540" s="5" t="inlineStr">
        <is>
          <t>フィルグラスチムBS注「サンド」</t>
        </is>
      </c>
      <c r="D540" s="5" t="inlineStr">
        <is>
          <t>卸B</t>
        </is>
      </c>
      <c r="E540" s="5" t="n">
        <v>26</v>
      </c>
      <c r="F540" s="5" t="n">
        <v>144086</v>
      </c>
    </row>
    <row r="541">
      <c r="A541" s="4" t="inlineStr">
        <is>
          <t>2024-04</t>
        </is>
      </c>
      <c r="B541" s="4" t="inlineStr">
        <is>
          <t>SKU0301</t>
        </is>
      </c>
      <c r="C541" s="4" t="inlineStr">
        <is>
          <t>フィルグラスチムBS注「サンド」</t>
        </is>
      </c>
      <c r="D541" s="4" t="inlineStr">
        <is>
          <t>卸C</t>
        </is>
      </c>
      <c r="E541" s="4" t="n">
        <v>5</v>
      </c>
      <c r="F541" s="4" t="n">
        <v>29621</v>
      </c>
    </row>
    <row r="542">
      <c r="A542" s="5" t="inlineStr">
        <is>
          <t>2024-05</t>
        </is>
      </c>
      <c r="B542" s="5" t="inlineStr">
        <is>
          <t>SKU0301</t>
        </is>
      </c>
      <c r="C542" s="5" t="inlineStr">
        <is>
          <t>フィルグラスチムBS注「サンド」</t>
        </is>
      </c>
      <c r="D542" s="5" t="inlineStr">
        <is>
          <t>卸A</t>
        </is>
      </c>
      <c r="E542" s="5" t="n">
        <v>117</v>
      </c>
      <c r="F542" s="5" t="n">
        <v>641540</v>
      </c>
    </row>
    <row r="543">
      <c r="A543" s="4" t="inlineStr">
        <is>
          <t>2024-05</t>
        </is>
      </c>
      <c r="B543" s="4" t="inlineStr">
        <is>
          <t>SKU0301</t>
        </is>
      </c>
      <c r="C543" s="4" t="inlineStr">
        <is>
          <t>フィルグラスチムBS注「サンド」</t>
        </is>
      </c>
      <c r="D543" s="4" t="inlineStr">
        <is>
          <t>卸B</t>
        </is>
      </c>
      <c r="E543" s="4" t="n">
        <v>72</v>
      </c>
      <c r="F543" s="4" t="n">
        <v>395416</v>
      </c>
    </row>
    <row r="544">
      <c r="A544" s="5" t="inlineStr">
        <is>
          <t>2024-05</t>
        </is>
      </c>
      <c r="B544" s="5" t="inlineStr">
        <is>
          <t>SKU0301</t>
        </is>
      </c>
      <c r="C544" s="5" t="inlineStr">
        <is>
          <t>フィルグラスチムBS注「サンド」</t>
        </is>
      </c>
      <c r="D544" s="5" t="inlineStr">
        <is>
          <t>卸C</t>
        </is>
      </c>
      <c r="E544" s="5" t="n">
        <v>44</v>
      </c>
      <c r="F544" s="5" t="n">
        <v>241811</v>
      </c>
    </row>
    <row r="545">
      <c r="A545" s="4" t="inlineStr">
        <is>
          <t>2024-06</t>
        </is>
      </c>
      <c r="B545" s="4" t="inlineStr">
        <is>
          <t>SKU0301</t>
        </is>
      </c>
      <c r="C545" s="4" t="inlineStr">
        <is>
          <t>フィルグラスチムBS注「サンド」</t>
        </is>
      </c>
      <c r="D545" s="4" t="inlineStr">
        <is>
          <t>卸A</t>
        </is>
      </c>
      <c r="E545" s="4" t="n">
        <v>135</v>
      </c>
      <c r="F545" s="4" t="n">
        <v>741977</v>
      </c>
    </row>
    <row r="546">
      <c r="A546" s="5" t="inlineStr">
        <is>
          <t>2024-06</t>
        </is>
      </c>
      <c r="B546" s="5" t="inlineStr">
        <is>
          <t>SKU0301</t>
        </is>
      </c>
      <c r="C546" s="5" t="inlineStr">
        <is>
          <t>フィルグラスチムBS注「サンド」</t>
        </is>
      </c>
      <c r="D546" s="5" t="inlineStr">
        <is>
          <t>卸B</t>
        </is>
      </c>
      <c r="E546" s="5" t="n">
        <v>91</v>
      </c>
      <c r="F546" s="5" t="n">
        <v>496090</v>
      </c>
    </row>
    <row r="547">
      <c r="A547" s="4" t="inlineStr">
        <is>
          <t>2024-06</t>
        </is>
      </c>
      <c r="B547" s="4" t="inlineStr">
        <is>
          <t>SKU0301</t>
        </is>
      </c>
      <c r="C547" s="4" t="inlineStr">
        <is>
          <t>フィルグラスチムBS注「サンド」</t>
        </is>
      </c>
      <c r="D547" s="4" t="inlineStr">
        <is>
          <t>卸C</t>
        </is>
      </c>
      <c r="E547" s="4" t="n">
        <v>54</v>
      </c>
      <c r="F547" s="4" t="n">
        <v>293708</v>
      </c>
    </row>
    <row r="548">
      <c r="A548" s="5" t="inlineStr">
        <is>
          <t>2024-07</t>
        </is>
      </c>
      <c r="B548" s="5" t="inlineStr">
        <is>
          <t>SKU0301</t>
        </is>
      </c>
      <c r="C548" s="5" t="inlineStr">
        <is>
          <t>フィルグラスチムBS注「サンド」</t>
        </is>
      </c>
      <c r="D548" s="5" t="inlineStr">
        <is>
          <t>卸A</t>
        </is>
      </c>
      <c r="E548" s="5" t="n">
        <v>165</v>
      </c>
      <c r="F548" s="5" t="n">
        <v>903490</v>
      </c>
    </row>
    <row r="549">
      <c r="A549" s="4" t="inlineStr">
        <is>
          <t>2024-07</t>
        </is>
      </c>
      <c r="B549" s="4" t="inlineStr">
        <is>
          <t>SKU0301</t>
        </is>
      </c>
      <c r="C549" s="4" t="inlineStr">
        <is>
          <t>フィルグラスチムBS注「サンド」</t>
        </is>
      </c>
      <c r="D549" s="4" t="inlineStr">
        <is>
          <t>卸B</t>
        </is>
      </c>
      <c r="E549" s="4" t="n">
        <v>105</v>
      </c>
      <c r="F549" s="4" t="n">
        <v>572903</v>
      </c>
    </row>
    <row r="550">
      <c r="A550" s="5" t="inlineStr">
        <is>
          <t>2024-07</t>
        </is>
      </c>
      <c r="B550" s="5" t="inlineStr">
        <is>
          <t>SKU0301</t>
        </is>
      </c>
      <c r="C550" s="5" t="inlineStr">
        <is>
          <t>フィルグラスチムBS注「サンド」</t>
        </is>
      </c>
      <c r="D550" s="5" t="inlineStr">
        <is>
          <t>卸C</t>
        </is>
      </c>
      <c r="E550" s="5" t="n">
        <v>70</v>
      </c>
      <c r="F550" s="5" t="n">
        <v>385450</v>
      </c>
    </row>
    <row r="551">
      <c r="A551" s="4" t="inlineStr">
        <is>
          <t>2024-08</t>
        </is>
      </c>
      <c r="B551" s="4" t="inlineStr">
        <is>
          <t>SKU0301</t>
        </is>
      </c>
      <c r="C551" s="4" t="inlineStr">
        <is>
          <t>フィルグラスチムBS注「サンド」</t>
        </is>
      </c>
      <c r="D551" s="4" t="inlineStr">
        <is>
          <t>卸A</t>
        </is>
      </c>
      <c r="E551" s="4" t="n">
        <v>139</v>
      </c>
      <c r="F551" s="4" t="n">
        <v>760698</v>
      </c>
    </row>
    <row r="552">
      <c r="A552" s="5" t="inlineStr">
        <is>
          <t>2024-08</t>
        </is>
      </c>
      <c r="B552" s="5" t="inlineStr">
        <is>
          <t>SKU0301</t>
        </is>
      </c>
      <c r="C552" s="5" t="inlineStr">
        <is>
          <t>フィルグラスチムBS注「サンド」</t>
        </is>
      </c>
      <c r="D552" s="5" t="inlineStr">
        <is>
          <t>卸B</t>
        </is>
      </c>
      <c r="E552" s="5" t="n">
        <v>99</v>
      </c>
      <c r="F552" s="5" t="n">
        <v>540283</v>
      </c>
    </row>
    <row r="553">
      <c r="A553" s="4" t="inlineStr">
        <is>
          <t>2024-08</t>
        </is>
      </c>
      <c r="B553" s="4" t="inlineStr">
        <is>
          <t>SKU0301</t>
        </is>
      </c>
      <c r="C553" s="4" t="inlineStr">
        <is>
          <t>フィルグラスチムBS注「サンド」</t>
        </is>
      </c>
      <c r="D553" s="4" t="inlineStr">
        <is>
          <t>卸C</t>
        </is>
      </c>
      <c r="E553" s="4" t="n">
        <v>50</v>
      </c>
      <c r="F553" s="4" t="n">
        <v>275758</v>
      </c>
    </row>
    <row r="554">
      <c r="A554" s="5" t="inlineStr">
        <is>
          <t>2024-09</t>
        </is>
      </c>
      <c r="B554" s="5" t="inlineStr">
        <is>
          <t>SKU0301</t>
        </is>
      </c>
      <c r="C554" s="5" t="inlineStr">
        <is>
          <t>フィルグラスチムBS注「サンド」</t>
        </is>
      </c>
      <c r="D554" s="5" t="inlineStr">
        <is>
          <t>卸A</t>
        </is>
      </c>
      <c r="E554" s="5" t="n">
        <v>210</v>
      </c>
      <c r="F554" s="5" t="n">
        <v>1150360</v>
      </c>
    </row>
    <row r="555">
      <c r="A555" s="4" t="inlineStr">
        <is>
          <t>2024-09</t>
        </is>
      </c>
      <c r="B555" s="4" t="inlineStr">
        <is>
          <t>SKU0301</t>
        </is>
      </c>
      <c r="C555" s="4" t="inlineStr">
        <is>
          <t>フィルグラスチムBS注「サンド」</t>
        </is>
      </c>
      <c r="D555" s="4" t="inlineStr">
        <is>
          <t>卸B</t>
        </is>
      </c>
      <c r="E555" s="4" t="n">
        <v>115</v>
      </c>
      <c r="F555" s="4" t="n">
        <v>628066</v>
      </c>
    </row>
    <row r="556">
      <c r="A556" s="5" t="inlineStr">
        <is>
          <t>2024-09</t>
        </is>
      </c>
      <c r="B556" s="5" t="inlineStr">
        <is>
          <t>SKU0301</t>
        </is>
      </c>
      <c r="C556" s="5" t="inlineStr">
        <is>
          <t>フィルグラスチムBS注「サンド」</t>
        </is>
      </c>
      <c r="D556" s="5" t="inlineStr">
        <is>
          <t>卸C</t>
        </is>
      </c>
      <c r="E556" s="5" t="n">
        <v>65</v>
      </c>
      <c r="F556" s="5" t="n">
        <v>354040</v>
      </c>
    </row>
    <row r="557">
      <c r="A557" s="4" t="inlineStr">
        <is>
          <t>2024-10</t>
        </is>
      </c>
      <c r="B557" s="4" t="inlineStr">
        <is>
          <t>SKU0301</t>
        </is>
      </c>
      <c r="C557" s="4" t="inlineStr">
        <is>
          <t>フィルグラスチムBS注「サンド」</t>
        </is>
      </c>
      <c r="D557" s="4" t="inlineStr">
        <is>
          <t>卸A</t>
        </is>
      </c>
      <c r="E557" s="4" t="n">
        <v>202</v>
      </c>
      <c r="F557" s="4" t="n">
        <v>1106795</v>
      </c>
    </row>
    <row r="558">
      <c r="A558" s="5" t="inlineStr">
        <is>
          <t>2024-10</t>
        </is>
      </c>
      <c r="B558" s="5" t="inlineStr">
        <is>
          <t>SKU0301</t>
        </is>
      </c>
      <c r="C558" s="5" t="inlineStr">
        <is>
          <t>フィルグラスチムBS注「サンド」</t>
        </is>
      </c>
      <c r="D558" s="5" t="inlineStr">
        <is>
          <t>卸B</t>
        </is>
      </c>
      <c r="E558" s="5" t="n">
        <v>141</v>
      </c>
      <c r="F558" s="5" t="n">
        <v>770806</v>
      </c>
    </row>
    <row r="559">
      <c r="A559" s="4" t="inlineStr">
        <is>
          <t>2024-10</t>
        </is>
      </c>
      <c r="B559" s="4" t="inlineStr">
        <is>
          <t>SKU0301</t>
        </is>
      </c>
      <c r="C559" s="4" t="inlineStr">
        <is>
          <t>フィルグラスチムBS注「サンド」</t>
        </is>
      </c>
      <c r="D559" s="4" t="inlineStr">
        <is>
          <t>卸C</t>
        </is>
      </c>
      <c r="E559" s="4" t="n">
        <v>84</v>
      </c>
      <c r="F559" s="4" t="n">
        <v>462990</v>
      </c>
    </row>
    <row r="560">
      <c r="A560" s="5" t="inlineStr">
        <is>
          <t>2024-11</t>
        </is>
      </c>
      <c r="B560" s="5" t="inlineStr">
        <is>
          <t>SKU0301</t>
        </is>
      </c>
      <c r="C560" s="5" t="inlineStr">
        <is>
          <t>フィルグラスチムBS注「サンド」</t>
        </is>
      </c>
      <c r="D560" s="5" t="inlineStr">
        <is>
          <t>卸A</t>
        </is>
      </c>
      <c r="E560" s="5" t="n">
        <v>238</v>
      </c>
      <c r="F560" s="5" t="n">
        <v>1302086</v>
      </c>
    </row>
    <row r="561">
      <c r="A561" s="4" t="inlineStr">
        <is>
          <t>2024-11</t>
        </is>
      </c>
      <c r="B561" s="4" t="inlineStr">
        <is>
          <t>SKU0301</t>
        </is>
      </c>
      <c r="C561" s="4" t="inlineStr">
        <is>
          <t>フィルグラスチムBS注「サンド」</t>
        </is>
      </c>
      <c r="D561" s="4" t="inlineStr">
        <is>
          <t>卸B</t>
        </is>
      </c>
      <c r="E561" s="4" t="n">
        <v>146</v>
      </c>
      <c r="F561" s="4" t="n">
        <v>798316</v>
      </c>
    </row>
    <row r="562">
      <c r="A562" s="5" t="inlineStr">
        <is>
          <t>2024-11</t>
        </is>
      </c>
      <c r="B562" s="5" t="inlineStr">
        <is>
          <t>SKU0301</t>
        </is>
      </c>
      <c r="C562" s="5" t="inlineStr">
        <is>
          <t>フィルグラスチムBS注「サンド」</t>
        </is>
      </c>
      <c r="D562" s="5" t="inlineStr">
        <is>
          <t>卸C</t>
        </is>
      </c>
      <c r="E562" s="5" t="n">
        <v>85</v>
      </c>
      <c r="F562" s="5" t="n">
        <v>466576</v>
      </c>
    </row>
    <row r="563">
      <c r="A563" s="4" t="inlineStr">
        <is>
          <t>2024-12</t>
        </is>
      </c>
      <c r="B563" s="4" t="inlineStr">
        <is>
          <t>SKU0301</t>
        </is>
      </c>
      <c r="C563" s="4" t="inlineStr">
        <is>
          <t>フィルグラスチムBS注「サンド」</t>
        </is>
      </c>
      <c r="D563" s="4" t="inlineStr">
        <is>
          <t>卸A</t>
        </is>
      </c>
      <c r="E563" s="4" t="n">
        <v>256</v>
      </c>
      <c r="F563" s="4" t="n">
        <v>1405247</v>
      </c>
    </row>
    <row r="564">
      <c r="A564" s="5" t="inlineStr">
        <is>
          <t>2024-12</t>
        </is>
      </c>
      <c r="B564" s="5" t="inlineStr">
        <is>
          <t>SKU0301</t>
        </is>
      </c>
      <c r="C564" s="5" t="inlineStr">
        <is>
          <t>フィルグラスチムBS注「サンド」</t>
        </is>
      </c>
      <c r="D564" s="5" t="inlineStr">
        <is>
          <t>卸B</t>
        </is>
      </c>
      <c r="E564" s="5" t="n">
        <v>171</v>
      </c>
      <c r="F564" s="5" t="n">
        <v>934822</v>
      </c>
    </row>
    <row r="565">
      <c r="A565" s="4" t="inlineStr">
        <is>
          <t>2024-12</t>
        </is>
      </c>
      <c r="B565" s="4" t="inlineStr">
        <is>
          <t>SKU0301</t>
        </is>
      </c>
      <c r="C565" s="4" t="inlineStr">
        <is>
          <t>フィルグラスチムBS注「サンド」</t>
        </is>
      </c>
      <c r="D565" s="4" t="inlineStr">
        <is>
          <t>卸C</t>
        </is>
      </c>
      <c r="E565" s="4" t="n">
        <v>114</v>
      </c>
      <c r="F565" s="4" t="n">
        <v>622378</v>
      </c>
    </row>
    <row r="566">
      <c r="A566" s="5" t="inlineStr">
        <is>
          <t>2025-01</t>
        </is>
      </c>
      <c r="B566" s="5" t="inlineStr">
        <is>
          <t>SKU0301</t>
        </is>
      </c>
      <c r="C566" s="5" t="inlineStr">
        <is>
          <t>フィルグラスチムBS注「サンド」</t>
        </is>
      </c>
      <c r="D566" s="5" t="inlineStr">
        <is>
          <t>卸A</t>
        </is>
      </c>
      <c r="E566" s="5" t="n">
        <v>280</v>
      </c>
      <c r="F566" s="5" t="n">
        <v>1532777</v>
      </c>
    </row>
    <row r="567">
      <c r="A567" s="4" t="inlineStr">
        <is>
          <t>2025-01</t>
        </is>
      </c>
      <c r="B567" s="4" t="inlineStr">
        <is>
          <t>SKU0301</t>
        </is>
      </c>
      <c r="C567" s="4" t="inlineStr">
        <is>
          <t>フィルグラスチムBS注「サンド」</t>
        </is>
      </c>
      <c r="D567" s="4" t="inlineStr">
        <is>
          <t>卸B</t>
        </is>
      </c>
      <c r="E567" s="4" t="n">
        <v>192</v>
      </c>
      <c r="F567" s="4" t="n">
        <v>1052041</v>
      </c>
    </row>
    <row r="568">
      <c r="A568" s="5" t="inlineStr">
        <is>
          <t>2025-01</t>
        </is>
      </c>
      <c r="B568" s="5" t="inlineStr">
        <is>
          <t>SKU0301</t>
        </is>
      </c>
      <c r="C568" s="5" t="inlineStr">
        <is>
          <t>フィルグラスチムBS注「サンド」</t>
        </is>
      </c>
      <c r="D568" s="5" t="inlineStr">
        <is>
          <t>卸C</t>
        </is>
      </c>
      <c r="E568" s="5" t="n">
        <v>87</v>
      </c>
      <c r="F568" s="5" t="n">
        <v>478174</v>
      </c>
    </row>
    <row r="569">
      <c r="A569" s="4" t="inlineStr">
        <is>
          <t>2025-02</t>
        </is>
      </c>
      <c r="B569" s="4" t="inlineStr">
        <is>
          <t>SKU0301</t>
        </is>
      </c>
      <c r="C569" s="4" t="inlineStr">
        <is>
          <t>フィルグラスチムBS注「サンド」</t>
        </is>
      </c>
      <c r="D569" s="4" t="inlineStr">
        <is>
          <t>卸A</t>
        </is>
      </c>
      <c r="E569" s="4" t="n">
        <v>299</v>
      </c>
      <c r="F569" s="4" t="n">
        <v>1641244</v>
      </c>
    </row>
    <row r="570">
      <c r="A570" s="5" t="inlineStr">
        <is>
          <t>2025-02</t>
        </is>
      </c>
      <c r="B570" s="5" t="inlineStr">
        <is>
          <t>SKU0301</t>
        </is>
      </c>
      <c r="C570" s="5" t="inlineStr">
        <is>
          <t>フィルグラスチムBS注「サンド」</t>
        </is>
      </c>
      <c r="D570" s="5" t="inlineStr">
        <is>
          <t>卸B</t>
        </is>
      </c>
      <c r="E570" s="5" t="n">
        <v>182</v>
      </c>
      <c r="F570" s="5" t="n">
        <v>998781</v>
      </c>
    </row>
    <row r="571">
      <c r="A571" s="4" t="inlineStr">
        <is>
          <t>2025-02</t>
        </is>
      </c>
      <c r="B571" s="4" t="inlineStr">
        <is>
          <t>SKU0301</t>
        </is>
      </c>
      <c r="C571" s="4" t="inlineStr">
        <is>
          <t>フィルグラスチムBS注「サンド」</t>
        </is>
      </c>
      <c r="D571" s="4" t="inlineStr">
        <is>
          <t>卸C</t>
        </is>
      </c>
      <c r="E571" s="4" t="n">
        <v>103</v>
      </c>
      <c r="F571" s="4" t="n">
        <v>564067</v>
      </c>
    </row>
    <row r="572">
      <c r="A572" s="5" t="inlineStr">
        <is>
          <t>2025-03</t>
        </is>
      </c>
      <c r="B572" s="5" t="inlineStr">
        <is>
          <t>SKU0301</t>
        </is>
      </c>
      <c r="C572" s="5" t="inlineStr">
        <is>
          <t>フィルグラスチムBS注「サンド」</t>
        </is>
      </c>
      <c r="D572" s="5" t="inlineStr">
        <is>
          <t>卸A</t>
        </is>
      </c>
      <c r="E572" s="5" t="n">
        <v>488</v>
      </c>
      <c r="F572" s="5" t="n">
        <v>2672004</v>
      </c>
    </row>
    <row r="573">
      <c r="A573" s="4" t="inlineStr">
        <is>
          <t>2025-03</t>
        </is>
      </c>
      <c r="B573" s="4" t="inlineStr">
        <is>
          <t>SKU0301</t>
        </is>
      </c>
      <c r="C573" s="4" t="inlineStr">
        <is>
          <t>フィルグラスチムBS注「サンド」</t>
        </is>
      </c>
      <c r="D573" s="4" t="inlineStr">
        <is>
          <t>卸B</t>
        </is>
      </c>
      <c r="E573" s="4" t="n">
        <v>299</v>
      </c>
      <c r="F573" s="4" t="n">
        <v>1637472</v>
      </c>
    </row>
    <row r="574">
      <c r="A574" s="5" t="inlineStr">
        <is>
          <t>2025-03</t>
        </is>
      </c>
      <c r="B574" s="5" t="inlineStr">
        <is>
          <t>SKU0301</t>
        </is>
      </c>
      <c r="C574" s="5" t="inlineStr">
        <is>
          <t>フィルグラスチムBS注「サンド」</t>
        </is>
      </c>
      <c r="D574" s="5" t="inlineStr">
        <is>
          <t>卸C</t>
        </is>
      </c>
      <c r="E574" s="5" t="n">
        <v>217</v>
      </c>
      <c r="F574" s="5" t="n">
        <v>1190293</v>
      </c>
    </row>
    <row r="575">
      <c r="A575" s="4" t="inlineStr">
        <is>
          <t>2025-04</t>
        </is>
      </c>
      <c r="B575" s="4" t="inlineStr">
        <is>
          <t>SKU0301</t>
        </is>
      </c>
      <c r="C575" s="4" t="inlineStr">
        <is>
          <t>フィルグラスチムBS注「サンド」</t>
        </is>
      </c>
      <c r="D575" s="4" t="inlineStr">
        <is>
          <t>卸A</t>
        </is>
      </c>
      <c r="E575" s="4" t="n">
        <v>119</v>
      </c>
      <c r="F575" s="4" t="n">
        <v>631495</v>
      </c>
    </row>
    <row r="576">
      <c r="A576" s="5" t="inlineStr">
        <is>
          <t>2025-04</t>
        </is>
      </c>
      <c r="B576" s="5" t="inlineStr">
        <is>
          <t>SKU0301</t>
        </is>
      </c>
      <c r="C576" s="5" t="inlineStr">
        <is>
          <t>フィルグラスチムBS注「サンド」</t>
        </is>
      </c>
      <c r="D576" s="5" t="inlineStr">
        <is>
          <t>卸B</t>
        </is>
      </c>
      <c r="E576" s="5" t="n">
        <v>55</v>
      </c>
      <c r="F576" s="5" t="n">
        <v>292322</v>
      </c>
    </row>
    <row r="577">
      <c r="A577" s="4" t="inlineStr">
        <is>
          <t>2025-04</t>
        </is>
      </c>
      <c r="B577" s="4" t="inlineStr">
        <is>
          <t>SKU0301</t>
        </is>
      </c>
      <c r="C577" s="4" t="inlineStr">
        <is>
          <t>フィルグラスチムBS注「サンド」</t>
        </is>
      </c>
      <c r="D577" s="4" t="inlineStr">
        <is>
          <t>卸C</t>
        </is>
      </c>
      <c r="E577" s="4" t="n">
        <v>0</v>
      </c>
      <c r="F577" s="4" t="n">
        <v>0</v>
      </c>
    </row>
    <row r="578">
      <c r="A578" s="5" t="inlineStr">
        <is>
          <t>2025-05</t>
        </is>
      </c>
      <c r="B578" s="5" t="inlineStr">
        <is>
          <t>SKU0301</t>
        </is>
      </c>
      <c r="C578" s="5" t="inlineStr">
        <is>
          <t>フィルグラスチムBS注「サンド」</t>
        </is>
      </c>
      <c r="D578" s="5" t="inlineStr">
        <is>
          <t>卸A</t>
        </is>
      </c>
      <c r="E578" s="5" t="n">
        <v>317</v>
      </c>
      <c r="F578" s="5" t="n">
        <v>1687952</v>
      </c>
    </row>
    <row r="579">
      <c r="A579" s="4" t="inlineStr">
        <is>
          <t>2025-05</t>
        </is>
      </c>
      <c r="B579" s="4" t="inlineStr">
        <is>
          <t>SKU0301</t>
        </is>
      </c>
      <c r="C579" s="4" t="inlineStr">
        <is>
          <t>フィルグラスチムBS注「サンド」</t>
        </is>
      </c>
      <c r="D579" s="4" t="inlineStr">
        <is>
          <t>卸B</t>
        </is>
      </c>
      <c r="E579" s="4" t="n">
        <v>208</v>
      </c>
      <c r="F579" s="4" t="n">
        <v>1104891</v>
      </c>
    </row>
    <row r="580">
      <c r="A580" s="5" t="inlineStr">
        <is>
          <t>2025-05</t>
        </is>
      </c>
      <c r="B580" s="5" t="inlineStr">
        <is>
          <t>SKU0301</t>
        </is>
      </c>
      <c r="C580" s="5" t="inlineStr">
        <is>
          <t>フィルグラスチムBS注「サンド」</t>
        </is>
      </c>
      <c r="D580" s="5" t="inlineStr">
        <is>
          <t>卸C</t>
        </is>
      </c>
      <c r="E580" s="5" t="n">
        <v>128</v>
      </c>
      <c r="F580" s="5" t="n">
        <v>679563</v>
      </c>
    </row>
    <row r="581">
      <c r="A581" s="4" t="inlineStr">
        <is>
          <t>2025-06</t>
        </is>
      </c>
      <c r="B581" s="4" t="inlineStr">
        <is>
          <t>SKU0301</t>
        </is>
      </c>
      <c r="C581" s="4" t="inlineStr">
        <is>
          <t>フィルグラスチムBS注「サンド」</t>
        </is>
      </c>
      <c r="D581" s="4" t="inlineStr">
        <is>
          <t>卸A</t>
        </is>
      </c>
      <c r="E581" s="4" t="n">
        <v>467</v>
      </c>
      <c r="F581" s="4" t="n">
        <v>2482750</v>
      </c>
    </row>
    <row r="582">
      <c r="A582" s="5" t="inlineStr">
        <is>
          <t>2025-06</t>
        </is>
      </c>
      <c r="B582" s="5" t="inlineStr">
        <is>
          <t>SKU0301</t>
        </is>
      </c>
      <c r="C582" s="5" t="inlineStr">
        <is>
          <t>フィルグラスチムBS注「サンド」</t>
        </is>
      </c>
      <c r="D582" s="5" t="inlineStr">
        <is>
          <t>卸B</t>
        </is>
      </c>
      <c r="E582" s="5" t="n">
        <v>331</v>
      </c>
      <c r="F582" s="5" t="n">
        <v>1762082</v>
      </c>
    </row>
    <row r="583">
      <c r="A583" s="4" t="inlineStr">
        <is>
          <t>2025-06</t>
        </is>
      </c>
      <c r="B583" s="4" t="inlineStr">
        <is>
          <t>SKU0301</t>
        </is>
      </c>
      <c r="C583" s="4" t="inlineStr">
        <is>
          <t>フィルグラスチムBS注「サンド」</t>
        </is>
      </c>
      <c r="D583" s="4" t="inlineStr">
        <is>
          <t>卸C</t>
        </is>
      </c>
      <c r="E583" s="4" t="n">
        <v>179</v>
      </c>
      <c r="F583" s="4" t="n">
        <v>949094</v>
      </c>
    </row>
    <row r="584">
      <c r="A584" s="5" t="inlineStr">
        <is>
          <t>2025-07</t>
        </is>
      </c>
      <c r="B584" s="5" t="inlineStr">
        <is>
          <t>SKU0301</t>
        </is>
      </c>
      <c r="C584" s="5" t="inlineStr">
        <is>
          <t>フィルグラスチムBS注「サンド」</t>
        </is>
      </c>
      <c r="D584" s="5" t="inlineStr">
        <is>
          <t>卸A</t>
        </is>
      </c>
      <c r="E584" s="5" t="n">
        <v>420</v>
      </c>
      <c r="F584" s="5" t="n">
        <v>2231539</v>
      </c>
    </row>
    <row r="585">
      <c r="A585" s="4" t="inlineStr">
        <is>
          <t>2025-07</t>
        </is>
      </c>
      <c r="B585" s="4" t="inlineStr">
        <is>
          <t>SKU0301</t>
        </is>
      </c>
      <c r="C585" s="4" t="inlineStr">
        <is>
          <t>フィルグラスチムBS注「サンド」</t>
        </is>
      </c>
      <c r="D585" s="4" t="inlineStr">
        <is>
          <t>卸B</t>
        </is>
      </c>
      <c r="E585" s="4" t="n">
        <v>245</v>
      </c>
      <c r="F585" s="4" t="n">
        <v>1302298</v>
      </c>
    </row>
    <row r="586">
      <c r="A586" s="5" t="inlineStr">
        <is>
          <t>2025-07</t>
        </is>
      </c>
      <c r="B586" s="5" t="inlineStr">
        <is>
          <t>SKU0301</t>
        </is>
      </c>
      <c r="C586" s="5" t="inlineStr">
        <is>
          <t>フィルグラスチムBS注「サンド」</t>
        </is>
      </c>
      <c r="D586" s="5" t="inlineStr">
        <is>
          <t>卸C</t>
        </is>
      </c>
      <c r="E586" s="5" t="n">
        <v>147</v>
      </c>
      <c r="F586" s="5" t="n">
        <v>783096</v>
      </c>
    </row>
    <row r="587">
      <c r="A587" s="4" t="inlineStr">
        <is>
          <t>2025-08</t>
        </is>
      </c>
      <c r="B587" s="4" t="inlineStr">
        <is>
          <t>SKU0301</t>
        </is>
      </c>
      <c r="C587" s="4" t="inlineStr">
        <is>
          <t>フィルグラスチムBS注「サンド」</t>
        </is>
      </c>
      <c r="D587" s="4" t="inlineStr">
        <is>
          <t>卸A</t>
        </is>
      </c>
      <c r="E587" s="4" t="n">
        <v>444</v>
      </c>
      <c r="F587" s="4" t="n">
        <v>2360832</v>
      </c>
    </row>
    <row r="588">
      <c r="A588" s="5" t="inlineStr">
        <is>
          <t>2025-08</t>
        </is>
      </c>
      <c r="B588" s="5" t="inlineStr">
        <is>
          <t>SKU0301</t>
        </is>
      </c>
      <c r="C588" s="5" t="inlineStr">
        <is>
          <t>フィルグラスチムBS注「サンド」</t>
        </is>
      </c>
      <c r="D588" s="5" t="inlineStr">
        <is>
          <t>卸B</t>
        </is>
      </c>
      <c r="E588" s="5" t="n">
        <v>281</v>
      </c>
      <c r="F588" s="5" t="n">
        <v>1495796</v>
      </c>
    </row>
    <row r="589">
      <c r="A589" s="4" t="inlineStr">
        <is>
          <t>2025-08</t>
        </is>
      </c>
      <c r="B589" s="4" t="inlineStr">
        <is>
          <t>SKU0301</t>
        </is>
      </c>
      <c r="C589" s="4" t="inlineStr">
        <is>
          <t>フィルグラスチムBS注「サンド」</t>
        </is>
      </c>
      <c r="D589" s="4" t="inlineStr">
        <is>
          <t>卸C</t>
        </is>
      </c>
      <c r="E589" s="4" t="n">
        <v>187</v>
      </c>
      <c r="F589" s="4" t="n">
        <v>994243</v>
      </c>
    </row>
    <row r="590">
      <c r="A590" s="5" t="inlineStr">
        <is>
          <t>2025-09</t>
        </is>
      </c>
      <c r="B590" s="5" t="inlineStr">
        <is>
          <t>SKU0301</t>
        </is>
      </c>
      <c r="C590" s="5" t="inlineStr">
        <is>
          <t>フィルグラスチムBS注「サンド」</t>
        </is>
      </c>
      <c r="D590" s="5" t="inlineStr">
        <is>
          <t>卸A</t>
        </is>
      </c>
      <c r="E590" s="5" t="n">
        <v>452</v>
      </c>
      <c r="F590" s="5" t="n">
        <v>2405327</v>
      </c>
    </row>
    <row r="591">
      <c r="A591" s="4" t="inlineStr">
        <is>
          <t>2025-09</t>
        </is>
      </c>
      <c r="B591" s="4" t="inlineStr">
        <is>
          <t>SKU0301</t>
        </is>
      </c>
      <c r="C591" s="4" t="inlineStr">
        <is>
          <t>フィルグラスチムBS注「サンド」</t>
        </is>
      </c>
      <c r="D591" s="4" t="inlineStr">
        <is>
          <t>卸B</t>
        </is>
      </c>
      <c r="E591" s="4" t="n">
        <v>286</v>
      </c>
      <c r="F591" s="4" t="n">
        <v>1520581</v>
      </c>
    </row>
    <row r="592">
      <c r="A592" s="5" t="inlineStr">
        <is>
          <t>2025-09</t>
        </is>
      </c>
      <c r="B592" s="5" t="inlineStr">
        <is>
          <t>SKU0301</t>
        </is>
      </c>
      <c r="C592" s="5" t="inlineStr">
        <is>
          <t>フィルグラスチムBS注「サンド」</t>
        </is>
      </c>
      <c r="D592" s="5" t="inlineStr">
        <is>
          <t>卸C</t>
        </is>
      </c>
      <c r="E592" s="5" t="n">
        <v>168</v>
      </c>
      <c r="F592" s="5" t="n">
        <v>894586</v>
      </c>
    </row>
    <row r="593">
      <c r="A593" s="4" t="inlineStr">
        <is>
          <t>2025-10</t>
        </is>
      </c>
      <c r="B593" s="4" t="inlineStr">
        <is>
          <t>SKU0301</t>
        </is>
      </c>
      <c r="C593" s="4" t="inlineStr">
        <is>
          <t>フィルグラスチムBS注「サンド」</t>
        </is>
      </c>
      <c r="D593" s="4" t="inlineStr">
        <is>
          <t>卸A</t>
        </is>
      </c>
      <c r="E593" s="4" t="n">
        <v>492</v>
      </c>
      <c r="F593" s="4" t="n">
        <v>2616177</v>
      </c>
    </row>
    <row r="594">
      <c r="A594" s="5" t="inlineStr">
        <is>
          <t>2025-10</t>
        </is>
      </c>
      <c r="B594" s="5" t="inlineStr">
        <is>
          <t>SKU0301</t>
        </is>
      </c>
      <c r="C594" s="5" t="inlineStr">
        <is>
          <t>フィルグラスチムBS注「サンド」</t>
        </is>
      </c>
      <c r="D594" s="5" t="inlineStr">
        <is>
          <t>卸B</t>
        </is>
      </c>
      <c r="E594" s="5" t="n">
        <v>377</v>
      </c>
      <c r="F594" s="5" t="n">
        <v>2003116</v>
      </c>
    </row>
    <row r="595">
      <c r="A595" s="4" t="inlineStr">
        <is>
          <t>2025-10</t>
        </is>
      </c>
      <c r="B595" s="4" t="inlineStr">
        <is>
          <t>SKU0301</t>
        </is>
      </c>
      <c r="C595" s="4" t="inlineStr">
        <is>
          <t>フィルグラスチムBS注「サンド」</t>
        </is>
      </c>
      <c r="D595" s="4" t="inlineStr">
        <is>
          <t>卸C</t>
        </is>
      </c>
      <c r="E595" s="4" t="n">
        <v>173</v>
      </c>
      <c r="F595" s="4" t="n">
        <v>918010</v>
      </c>
    </row>
    <row r="596">
      <c r="A596" s="5" t="inlineStr">
        <is>
          <t>2025-11</t>
        </is>
      </c>
      <c r="B596" s="5" t="inlineStr">
        <is>
          <t>SKU0301</t>
        </is>
      </c>
      <c r="C596" s="5" t="inlineStr">
        <is>
          <t>フィルグラスチムBS注「サンド」</t>
        </is>
      </c>
      <c r="D596" s="5" t="inlineStr">
        <is>
          <t>卸A</t>
        </is>
      </c>
      <c r="E596" s="5" t="n">
        <v>426</v>
      </c>
      <c r="F596" s="5" t="n">
        <v>2264910</v>
      </c>
    </row>
    <row r="597">
      <c r="A597" s="4" t="inlineStr">
        <is>
          <t>2025-11</t>
        </is>
      </c>
      <c r="B597" s="4" t="inlineStr">
        <is>
          <t>SKU0301</t>
        </is>
      </c>
      <c r="C597" s="4" t="inlineStr">
        <is>
          <t>フィルグラスチムBS注「サンド」</t>
        </is>
      </c>
      <c r="D597" s="4" t="inlineStr">
        <is>
          <t>卸B</t>
        </is>
      </c>
      <c r="E597" s="4" t="n">
        <v>218</v>
      </c>
      <c r="F597" s="4" t="n">
        <v>1159111</v>
      </c>
    </row>
    <row r="598">
      <c r="A598" s="5" t="inlineStr">
        <is>
          <t>2025-11</t>
        </is>
      </c>
      <c r="B598" s="5" t="inlineStr">
        <is>
          <t>SKU0301</t>
        </is>
      </c>
      <c r="C598" s="5" t="inlineStr">
        <is>
          <t>フィルグラスチムBS注「サンド」</t>
        </is>
      </c>
      <c r="D598" s="5" t="inlineStr">
        <is>
          <t>卸C</t>
        </is>
      </c>
      <c r="E598" s="5" t="n">
        <v>165</v>
      </c>
      <c r="F598" s="5" t="n">
        <v>878998</v>
      </c>
    </row>
    <row r="599">
      <c r="A599" s="4" t="inlineStr">
        <is>
          <t>2025-12</t>
        </is>
      </c>
      <c r="B599" s="4" t="inlineStr">
        <is>
          <t>SKU0301</t>
        </is>
      </c>
      <c r="C599" s="4" t="inlineStr">
        <is>
          <t>フィルグラスチムBS注「サンド」</t>
        </is>
      </c>
      <c r="D599" s="4" t="inlineStr">
        <is>
          <t>卸A</t>
        </is>
      </c>
      <c r="E599" s="4" t="n">
        <v>630</v>
      </c>
      <c r="F599" s="4" t="n">
        <v>3351745</v>
      </c>
    </row>
    <row r="600">
      <c r="A600" s="5" t="inlineStr">
        <is>
          <t>2025-12</t>
        </is>
      </c>
      <c r="B600" s="5" t="inlineStr">
        <is>
          <t>SKU0301</t>
        </is>
      </c>
      <c r="C600" s="5" t="inlineStr">
        <is>
          <t>フィルグラスチムBS注「サンド」</t>
        </is>
      </c>
      <c r="D600" s="5" t="inlineStr">
        <is>
          <t>卸B</t>
        </is>
      </c>
      <c r="E600" s="5" t="n">
        <v>388</v>
      </c>
      <c r="F600" s="5" t="n">
        <v>2064571</v>
      </c>
    </row>
    <row r="601">
      <c r="A601" s="4" t="inlineStr">
        <is>
          <t>2025-12</t>
        </is>
      </c>
      <c r="B601" s="4" t="inlineStr">
        <is>
          <t>SKU0301</t>
        </is>
      </c>
      <c r="C601" s="4" t="inlineStr">
        <is>
          <t>フィルグラスチムBS注「サンド」</t>
        </is>
      </c>
      <c r="D601" s="4" t="inlineStr">
        <is>
          <t>卸C</t>
        </is>
      </c>
      <c r="E601" s="4" t="n">
        <v>189</v>
      </c>
      <c r="F601" s="4" t="n">
        <v>1005458</v>
      </c>
    </row>
    <row r="602">
      <c r="A602" s="5" t="inlineStr">
        <is>
          <t>2026-01</t>
        </is>
      </c>
      <c r="B602" s="5" t="inlineStr">
        <is>
          <t>SKU0301</t>
        </is>
      </c>
      <c r="C602" s="5" t="inlineStr">
        <is>
          <t>フィルグラスチムBS注「サンド」</t>
        </is>
      </c>
      <c r="D602" s="5" t="inlineStr">
        <is>
          <t>卸A</t>
        </is>
      </c>
      <c r="E602" s="5" t="n">
        <v>438</v>
      </c>
      <c r="F602" s="5" t="n">
        <v>2329660</v>
      </c>
    </row>
    <row r="603">
      <c r="A603" s="4" t="inlineStr">
        <is>
          <t>2026-01</t>
        </is>
      </c>
      <c r="B603" s="4" t="inlineStr">
        <is>
          <t>SKU0301</t>
        </is>
      </c>
      <c r="C603" s="4" t="inlineStr">
        <is>
          <t>フィルグラスチムBS注「サンド」</t>
        </is>
      </c>
      <c r="D603" s="4" t="inlineStr">
        <is>
          <t>卸B</t>
        </is>
      </c>
      <c r="E603" s="4" t="n">
        <v>343</v>
      </c>
      <c r="F603" s="4" t="n">
        <v>1824751</v>
      </c>
    </row>
    <row r="604">
      <c r="A604" s="5" t="inlineStr">
        <is>
          <t>2026-01</t>
        </is>
      </c>
      <c r="B604" s="5" t="inlineStr">
        <is>
          <t>SKU0301</t>
        </is>
      </c>
      <c r="C604" s="5" t="inlineStr">
        <is>
          <t>フィルグラスチムBS注「サンド」</t>
        </is>
      </c>
      <c r="D604" s="5" t="inlineStr">
        <is>
          <t>卸C</t>
        </is>
      </c>
      <c r="E604" s="5" t="n">
        <v>215</v>
      </c>
      <c r="F604" s="5" t="n">
        <v>1144537</v>
      </c>
    </row>
    <row r="605">
      <c r="A605" s="4" t="inlineStr">
        <is>
          <t>2026-02</t>
        </is>
      </c>
      <c r="B605" s="4" t="inlineStr">
        <is>
          <t>SKU0301</t>
        </is>
      </c>
      <c r="C605" s="4" t="inlineStr">
        <is>
          <t>フィルグラスチムBS注「サンド」</t>
        </is>
      </c>
      <c r="D605" s="4" t="inlineStr">
        <is>
          <t>卸A</t>
        </is>
      </c>
      <c r="E605" s="4" t="n">
        <v>460</v>
      </c>
      <c r="F605" s="4" t="n">
        <v>2445584</v>
      </c>
    </row>
    <row r="606">
      <c r="A606" s="5" t="inlineStr">
        <is>
          <t>2026-02</t>
        </is>
      </c>
      <c r="B606" s="5" t="inlineStr">
        <is>
          <t>SKU0301</t>
        </is>
      </c>
      <c r="C606" s="5" t="inlineStr">
        <is>
          <t>フィルグラスチムBS注「サンド」</t>
        </is>
      </c>
      <c r="D606" s="5" t="inlineStr">
        <is>
          <t>卸B</t>
        </is>
      </c>
      <c r="E606" s="5" t="n">
        <v>292</v>
      </c>
      <c r="F606" s="5" t="n">
        <v>1554931</v>
      </c>
    </row>
    <row r="607">
      <c r="A607" s="4" t="inlineStr">
        <is>
          <t>2026-02</t>
        </is>
      </c>
      <c r="B607" s="4" t="inlineStr">
        <is>
          <t>SKU0301</t>
        </is>
      </c>
      <c r="C607" s="4" t="inlineStr">
        <is>
          <t>フィルグラスチムBS注「サンド」</t>
        </is>
      </c>
      <c r="D607" s="4" t="inlineStr">
        <is>
          <t>卸C</t>
        </is>
      </c>
      <c r="E607" s="4" t="n">
        <v>187</v>
      </c>
      <c r="F607" s="4" t="n">
        <v>993488</v>
      </c>
    </row>
    <row r="608">
      <c r="A608" s="5" t="inlineStr">
        <is>
          <t>2026-03</t>
        </is>
      </c>
      <c r="B608" s="5" t="inlineStr">
        <is>
          <t>SKU0301</t>
        </is>
      </c>
      <c r="C608" s="5" t="inlineStr">
        <is>
          <t>フィルグラスチムBS注「サンド」</t>
        </is>
      </c>
      <c r="D608" s="5" t="inlineStr">
        <is>
          <t>卸A</t>
        </is>
      </c>
      <c r="E608" s="5" t="n">
        <v>657</v>
      </c>
      <c r="F608" s="5" t="n">
        <v>3491430</v>
      </c>
    </row>
    <row r="609">
      <c r="A609" s="4" t="inlineStr">
        <is>
          <t>2026-03</t>
        </is>
      </c>
      <c r="B609" s="4" t="inlineStr">
        <is>
          <t>SKU0301</t>
        </is>
      </c>
      <c r="C609" s="4" t="inlineStr">
        <is>
          <t>フィルグラスチムBS注「サンド」</t>
        </is>
      </c>
      <c r="D609" s="4" t="inlineStr">
        <is>
          <t>卸B</t>
        </is>
      </c>
      <c r="E609" s="4" t="n">
        <v>475</v>
      </c>
      <c r="F609" s="4" t="n">
        <v>2525343</v>
      </c>
    </row>
    <row r="610">
      <c r="A610" s="5" t="inlineStr">
        <is>
          <t>2026-03</t>
        </is>
      </c>
      <c r="B610" s="5" t="inlineStr">
        <is>
          <t>SKU0301</t>
        </is>
      </c>
      <c r="C610" s="5" t="inlineStr">
        <is>
          <t>フィルグラスチムBS注「サンド」</t>
        </is>
      </c>
      <c r="D610" s="5" t="inlineStr">
        <is>
          <t>卸C</t>
        </is>
      </c>
      <c r="E610" s="5" t="n">
        <v>264</v>
      </c>
      <c r="F610" s="5" t="n">
        <v>1404438</v>
      </c>
    </row>
    <row r="611">
      <c r="A611" s="4" t="inlineStr">
        <is>
          <t>2026-04</t>
        </is>
      </c>
      <c r="B611" s="4" t="inlineStr">
        <is>
          <t>SKU0301</t>
        </is>
      </c>
      <c r="C611" s="4" t="inlineStr">
        <is>
          <t>フィルグラスチムBS注「サンド」</t>
        </is>
      </c>
      <c r="D611" s="4" t="inlineStr">
        <is>
          <t>卸A</t>
        </is>
      </c>
      <c r="E611" s="4" t="n">
        <v>454</v>
      </c>
      <c r="F611" s="4" t="n">
        <v>2267109</v>
      </c>
    </row>
    <row r="612">
      <c r="A612" s="5" t="inlineStr">
        <is>
          <t>2026-04</t>
        </is>
      </c>
      <c r="B612" s="5" t="inlineStr">
        <is>
          <t>SKU0301</t>
        </is>
      </c>
      <c r="C612" s="5" t="inlineStr">
        <is>
          <t>フィルグラスチムBS注「サンド」</t>
        </is>
      </c>
      <c r="D612" s="5" t="inlineStr">
        <is>
          <t>卸B</t>
        </is>
      </c>
      <c r="E612" s="5" t="n">
        <v>142</v>
      </c>
      <c r="F612" s="5" t="n">
        <v>708030</v>
      </c>
    </row>
    <row r="613">
      <c r="A613" s="4" t="inlineStr">
        <is>
          <t>2026-04</t>
        </is>
      </c>
      <c r="B613" s="4" t="inlineStr">
        <is>
          <t>SKU0301</t>
        </is>
      </c>
      <c r="C613" s="4" t="inlineStr">
        <is>
          <t>フィルグラスチムBS注「サンド」</t>
        </is>
      </c>
      <c r="D613" s="4" t="inlineStr">
        <is>
          <t>卸C</t>
        </is>
      </c>
      <c r="E613" s="4" t="n">
        <v>71</v>
      </c>
      <c r="F613" s="4" t="n">
        <v>356057</v>
      </c>
    </row>
    <row r="614">
      <c r="A614" s="5" t="inlineStr">
        <is>
          <t>2026-05</t>
        </is>
      </c>
      <c r="B614" s="5" t="inlineStr">
        <is>
          <t>SKU0301</t>
        </is>
      </c>
      <c r="C614" s="5" t="inlineStr">
        <is>
          <t>フィルグラスチムBS注「サンド」</t>
        </is>
      </c>
      <c r="D614" s="5" t="inlineStr">
        <is>
          <t>卸A</t>
        </is>
      </c>
      <c r="E614" s="5" t="n">
        <v>683</v>
      </c>
      <c r="F614" s="5" t="n">
        <v>3412734</v>
      </c>
    </row>
    <row r="615">
      <c r="A615" s="4" t="inlineStr">
        <is>
          <t>2026-05</t>
        </is>
      </c>
      <c r="B615" s="4" t="inlineStr">
        <is>
          <t>SKU0301</t>
        </is>
      </c>
      <c r="C615" s="4" t="inlineStr">
        <is>
          <t>フィルグラスチムBS注「サンド」</t>
        </is>
      </c>
      <c r="D615" s="4" t="inlineStr">
        <is>
          <t>卸B</t>
        </is>
      </c>
      <c r="E615" s="4" t="n">
        <v>460</v>
      </c>
      <c r="F615" s="4" t="n">
        <v>2296592</v>
      </c>
    </row>
    <row r="616">
      <c r="A616" s="5" t="inlineStr">
        <is>
          <t>2026-05</t>
        </is>
      </c>
      <c r="B616" s="5" t="inlineStr">
        <is>
          <t>SKU0301</t>
        </is>
      </c>
      <c r="C616" s="5" t="inlineStr">
        <is>
          <t>フィルグラスチムBS注「サンド」</t>
        </is>
      </c>
      <c r="D616" s="5" t="inlineStr">
        <is>
          <t>卸C</t>
        </is>
      </c>
      <c r="E616" s="5" t="n">
        <v>229</v>
      </c>
      <c r="F616" s="5" t="n">
        <v>1144738</v>
      </c>
    </row>
    <row r="617">
      <c r="A617" s="4" t="inlineStr">
        <is>
          <t>2023-01</t>
        </is>
      </c>
      <c r="B617" s="4" t="inlineStr">
        <is>
          <t>SKU0302</t>
        </is>
      </c>
      <c r="C617" s="4" t="inlineStr">
        <is>
          <t>フィルグラスチムBS注「サンド」</t>
        </is>
      </c>
      <c r="D617" s="4" t="inlineStr">
        <is>
          <t>卸A</t>
        </is>
      </c>
      <c r="E617" s="4" t="n">
        <v>10</v>
      </c>
      <c r="F617" s="4" t="n">
        <v>106139</v>
      </c>
    </row>
    <row r="618">
      <c r="A618" s="5" t="inlineStr">
        <is>
          <t>2023-01</t>
        </is>
      </c>
      <c r="B618" s="5" t="inlineStr">
        <is>
          <t>SKU0302</t>
        </is>
      </c>
      <c r="C618" s="5" t="inlineStr">
        <is>
          <t>フィルグラスチムBS注「サンド」</t>
        </is>
      </c>
      <c r="D618" s="5" t="inlineStr">
        <is>
          <t>卸B</t>
        </is>
      </c>
      <c r="E618" s="5" t="n">
        <v>6</v>
      </c>
      <c r="F618" s="5" t="n">
        <v>62888</v>
      </c>
    </row>
    <row r="619">
      <c r="A619" s="4" t="inlineStr">
        <is>
          <t>2023-01</t>
        </is>
      </c>
      <c r="B619" s="4" t="inlineStr">
        <is>
          <t>SKU0302</t>
        </is>
      </c>
      <c r="C619" s="4" t="inlineStr">
        <is>
          <t>フィルグラスチムBS注「サンド」</t>
        </is>
      </c>
      <c r="D619" s="4" t="inlineStr">
        <is>
          <t>卸C</t>
        </is>
      </c>
      <c r="E619" s="4" t="n">
        <v>4</v>
      </c>
      <c r="F619" s="4" t="n">
        <v>39487</v>
      </c>
    </row>
    <row r="620">
      <c r="A620" s="5" t="inlineStr">
        <is>
          <t>2023-02</t>
        </is>
      </c>
      <c r="B620" s="5" t="inlineStr">
        <is>
          <t>SKU0302</t>
        </is>
      </c>
      <c r="C620" s="5" t="inlineStr">
        <is>
          <t>フィルグラスチムBS注「サンド」</t>
        </is>
      </c>
      <c r="D620" s="5" t="inlineStr">
        <is>
          <t>卸A</t>
        </is>
      </c>
      <c r="E620" s="5" t="n">
        <v>11</v>
      </c>
      <c r="F620" s="5" t="n">
        <v>113130</v>
      </c>
    </row>
    <row r="621">
      <c r="A621" s="4" t="inlineStr">
        <is>
          <t>2023-02</t>
        </is>
      </c>
      <c r="B621" s="4" t="inlineStr">
        <is>
          <t>SKU0302</t>
        </is>
      </c>
      <c r="C621" s="4" t="inlineStr">
        <is>
          <t>フィルグラスチムBS注「サンド」</t>
        </is>
      </c>
      <c r="D621" s="4" t="inlineStr">
        <is>
          <t>卸B</t>
        </is>
      </c>
      <c r="E621" s="4" t="n">
        <v>6</v>
      </c>
      <c r="F621" s="4" t="n">
        <v>62719</v>
      </c>
    </row>
    <row r="622">
      <c r="A622" s="5" t="inlineStr">
        <is>
          <t>2023-02</t>
        </is>
      </c>
      <c r="B622" s="5" t="inlineStr">
        <is>
          <t>SKU0302</t>
        </is>
      </c>
      <c r="C622" s="5" t="inlineStr">
        <is>
          <t>フィルグラスチムBS注「サンド」</t>
        </is>
      </c>
      <c r="D622" s="5" t="inlineStr">
        <is>
          <t>卸C</t>
        </is>
      </c>
      <c r="E622" s="5" t="n">
        <v>3</v>
      </c>
      <c r="F622" s="5" t="n">
        <v>32562</v>
      </c>
    </row>
    <row r="623">
      <c r="A623" s="4" t="inlineStr">
        <is>
          <t>2023-03</t>
        </is>
      </c>
      <c r="B623" s="4" t="inlineStr">
        <is>
          <t>SKU0302</t>
        </is>
      </c>
      <c r="C623" s="4" t="inlineStr">
        <is>
          <t>フィルグラスチムBS注「サンド」</t>
        </is>
      </c>
      <c r="D623" s="4" t="inlineStr">
        <is>
          <t>卸A</t>
        </is>
      </c>
      <c r="E623" s="4" t="n">
        <v>18</v>
      </c>
      <c r="F623" s="4" t="n">
        <v>182278</v>
      </c>
    </row>
    <row r="624">
      <c r="A624" s="5" t="inlineStr">
        <is>
          <t>2023-03</t>
        </is>
      </c>
      <c r="B624" s="5" t="inlineStr">
        <is>
          <t>SKU0302</t>
        </is>
      </c>
      <c r="C624" s="5" t="inlineStr">
        <is>
          <t>フィルグラスチムBS注「サンド」</t>
        </is>
      </c>
      <c r="D624" s="5" t="inlineStr">
        <is>
          <t>卸B</t>
        </is>
      </c>
      <c r="E624" s="5" t="n">
        <v>14</v>
      </c>
      <c r="F624" s="5" t="n">
        <v>144720</v>
      </c>
    </row>
    <row r="625">
      <c r="A625" s="4" t="inlineStr">
        <is>
          <t>2023-03</t>
        </is>
      </c>
      <c r="B625" s="4" t="inlineStr">
        <is>
          <t>SKU0302</t>
        </is>
      </c>
      <c r="C625" s="4" t="inlineStr">
        <is>
          <t>フィルグラスチムBS注「サンド」</t>
        </is>
      </c>
      <c r="D625" s="4" t="inlineStr">
        <is>
          <t>卸C</t>
        </is>
      </c>
      <c r="E625" s="4" t="n">
        <v>9</v>
      </c>
      <c r="F625" s="4" t="n">
        <v>89351</v>
      </c>
    </row>
    <row r="626">
      <c r="A626" s="5" t="inlineStr">
        <is>
          <t>2023-04</t>
        </is>
      </c>
      <c r="B626" s="5" t="inlineStr">
        <is>
          <t>SKU0302</t>
        </is>
      </c>
      <c r="C626" s="5" t="inlineStr">
        <is>
          <t>フィルグラスチムBS注「サンド」</t>
        </is>
      </c>
      <c r="D626" s="5" t="inlineStr">
        <is>
          <t>卸A</t>
        </is>
      </c>
      <c r="E626" s="5" t="n">
        <v>18</v>
      </c>
      <c r="F626" s="5" t="n">
        <v>184293</v>
      </c>
    </row>
    <row r="627">
      <c r="A627" s="4" t="inlineStr">
        <is>
          <t>2023-04</t>
        </is>
      </c>
      <c r="B627" s="4" t="inlineStr">
        <is>
          <t>SKU0302</t>
        </is>
      </c>
      <c r="C627" s="4" t="inlineStr">
        <is>
          <t>フィルグラスチムBS注「サンド」</t>
        </is>
      </c>
      <c r="D627" s="4" t="inlineStr">
        <is>
          <t>卸B</t>
        </is>
      </c>
      <c r="E627" s="4" t="n">
        <v>10</v>
      </c>
      <c r="F627" s="4" t="n">
        <v>102351</v>
      </c>
    </row>
    <row r="628">
      <c r="A628" s="5" t="inlineStr">
        <is>
          <t>2023-04</t>
        </is>
      </c>
      <c r="B628" s="5" t="inlineStr">
        <is>
          <t>SKU0302</t>
        </is>
      </c>
      <c r="C628" s="5" t="inlineStr">
        <is>
          <t>フィルグラスチムBS注「サンド」</t>
        </is>
      </c>
      <c r="D628" s="5" t="inlineStr">
        <is>
          <t>卸C</t>
        </is>
      </c>
      <c r="E628" s="5" t="n">
        <v>6</v>
      </c>
      <c r="F628" s="5" t="n">
        <v>57251</v>
      </c>
    </row>
    <row r="629">
      <c r="A629" s="4" t="inlineStr">
        <is>
          <t>2023-05</t>
        </is>
      </c>
      <c r="B629" s="4" t="inlineStr">
        <is>
          <t>SKU0302</t>
        </is>
      </c>
      <c r="C629" s="4" t="inlineStr">
        <is>
          <t>フィルグラスチムBS注「サンド」</t>
        </is>
      </c>
      <c r="D629" s="4" t="inlineStr">
        <is>
          <t>卸A</t>
        </is>
      </c>
      <c r="E629" s="4" t="n">
        <v>23</v>
      </c>
      <c r="F629" s="4" t="n">
        <v>235408</v>
      </c>
    </row>
    <row r="630">
      <c r="A630" s="5" t="inlineStr">
        <is>
          <t>2023-05</t>
        </is>
      </c>
      <c r="B630" s="5" t="inlineStr">
        <is>
          <t>SKU0302</t>
        </is>
      </c>
      <c r="C630" s="5" t="inlineStr">
        <is>
          <t>フィルグラスチムBS注「サンド」</t>
        </is>
      </c>
      <c r="D630" s="5" t="inlineStr">
        <is>
          <t>卸B</t>
        </is>
      </c>
      <c r="E630" s="5" t="n">
        <v>17</v>
      </c>
      <c r="F630" s="5" t="n">
        <v>178180</v>
      </c>
    </row>
    <row r="631">
      <c r="A631" s="4" t="inlineStr">
        <is>
          <t>2023-05</t>
        </is>
      </c>
      <c r="B631" s="4" t="inlineStr">
        <is>
          <t>SKU0302</t>
        </is>
      </c>
      <c r="C631" s="4" t="inlineStr">
        <is>
          <t>フィルグラスチムBS注「サンド」</t>
        </is>
      </c>
      <c r="D631" s="4" t="inlineStr">
        <is>
          <t>卸C</t>
        </is>
      </c>
      <c r="E631" s="4" t="n">
        <v>10</v>
      </c>
      <c r="F631" s="4" t="n">
        <v>102421</v>
      </c>
    </row>
    <row r="632">
      <c r="A632" s="5" t="inlineStr">
        <is>
          <t>2023-06</t>
        </is>
      </c>
      <c r="B632" s="5" t="inlineStr">
        <is>
          <t>SKU0302</t>
        </is>
      </c>
      <c r="C632" s="5" t="inlineStr">
        <is>
          <t>フィルグラスチムBS注「サンド」</t>
        </is>
      </c>
      <c r="D632" s="5" t="inlineStr">
        <is>
          <t>卸A</t>
        </is>
      </c>
      <c r="E632" s="5" t="n">
        <v>33</v>
      </c>
      <c r="F632" s="5" t="n">
        <v>332273</v>
      </c>
    </row>
    <row r="633">
      <c r="A633" s="4" t="inlineStr">
        <is>
          <t>2023-06</t>
        </is>
      </c>
      <c r="B633" s="4" t="inlineStr">
        <is>
          <t>SKU0302</t>
        </is>
      </c>
      <c r="C633" s="4" t="inlineStr">
        <is>
          <t>フィルグラスチムBS注「サンド」</t>
        </is>
      </c>
      <c r="D633" s="4" t="inlineStr">
        <is>
          <t>卸B</t>
        </is>
      </c>
      <c r="E633" s="4" t="n">
        <v>19</v>
      </c>
      <c r="F633" s="4" t="n">
        <v>189418</v>
      </c>
    </row>
    <row r="634">
      <c r="A634" s="5" t="inlineStr">
        <is>
          <t>2023-06</t>
        </is>
      </c>
      <c r="B634" s="5" t="inlineStr">
        <is>
          <t>SKU0302</t>
        </is>
      </c>
      <c r="C634" s="5" t="inlineStr">
        <is>
          <t>フィルグラスチムBS注「サンド」</t>
        </is>
      </c>
      <c r="D634" s="5" t="inlineStr">
        <is>
          <t>卸C</t>
        </is>
      </c>
      <c r="E634" s="5" t="n">
        <v>13</v>
      </c>
      <c r="F634" s="5" t="n">
        <v>132532</v>
      </c>
    </row>
    <row r="635">
      <c r="A635" s="4" t="inlineStr">
        <is>
          <t>2023-07</t>
        </is>
      </c>
      <c r="B635" s="4" t="inlineStr">
        <is>
          <t>SKU0302</t>
        </is>
      </c>
      <c r="C635" s="4" t="inlineStr">
        <is>
          <t>フィルグラスチムBS注「サンド」</t>
        </is>
      </c>
      <c r="D635" s="4" t="inlineStr">
        <is>
          <t>卸A</t>
        </is>
      </c>
      <c r="E635" s="4" t="n">
        <v>41</v>
      </c>
      <c r="F635" s="4" t="n">
        <v>414770</v>
      </c>
    </row>
    <row r="636">
      <c r="A636" s="5" t="inlineStr">
        <is>
          <t>2023-07</t>
        </is>
      </c>
      <c r="B636" s="5" t="inlineStr">
        <is>
          <t>SKU0302</t>
        </is>
      </c>
      <c r="C636" s="5" t="inlineStr">
        <is>
          <t>フィルグラスチムBS注「サンド」</t>
        </is>
      </c>
      <c r="D636" s="5" t="inlineStr">
        <is>
          <t>卸B</t>
        </is>
      </c>
      <c r="E636" s="5" t="n">
        <v>30</v>
      </c>
      <c r="F636" s="5" t="n">
        <v>301205</v>
      </c>
    </row>
    <row r="637">
      <c r="A637" s="4" t="inlineStr">
        <is>
          <t>2023-07</t>
        </is>
      </c>
      <c r="B637" s="4" t="inlineStr">
        <is>
          <t>SKU0302</t>
        </is>
      </c>
      <c r="C637" s="4" t="inlineStr">
        <is>
          <t>フィルグラスチムBS注「サンド」</t>
        </is>
      </c>
      <c r="D637" s="4" t="inlineStr">
        <is>
          <t>卸C</t>
        </is>
      </c>
      <c r="E637" s="4" t="n">
        <v>15</v>
      </c>
      <c r="F637" s="4" t="n">
        <v>157708</v>
      </c>
    </row>
    <row r="638">
      <c r="A638" s="5" t="inlineStr">
        <is>
          <t>2023-08</t>
        </is>
      </c>
      <c r="B638" s="5" t="inlineStr">
        <is>
          <t>SKU0302</t>
        </is>
      </c>
      <c r="C638" s="5" t="inlineStr">
        <is>
          <t>フィルグラスチムBS注「サンド」</t>
        </is>
      </c>
      <c r="D638" s="5" t="inlineStr">
        <is>
          <t>卸A</t>
        </is>
      </c>
      <c r="E638" s="5" t="n">
        <v>34</v>
      </c>
      <c r="F638" s="5" t="n">
        <v>351480</v>
      </c>
    </row>
    <row r="639">
      <c r="A639" s="4" t="inlineStr">
        <is>
          <t>2023-08</t>
        </is>
      </c>
      <c r="B639" s="4" t="inlineStr">
        <is>
          <t>SKU0302</t>
        </is>
      </c>
      <c r="C639" s="4" t="inlineStr">
        <is>
          <t>フィルグラスチムBS注「サンド」</t>
        </is>
      </c>
      <c r="D639" s="4" t="inlineStr">
        <is>
          <t>卸B</t>
        </is>
      </c>
      <c r="E639" s="4" t="n">
        <v>23</v>
      </c>
      <c r="F639" s="4" t="n">
        <v>231912</v>
      </c>
    </row>
    <row r="640">
      <c r="A640" s="5" t="inlineStr">
        <is>
          <t>2023-08</t>
        </is>
      </c>
      <c r="B640" s="5" t="inlineStr">
        <is>
          <t>SKU0302</t>
        </is>
      </c>
      <c r="C640" s="5" t="inlineStr">
        <is>
          <t>フィルグラスチムBS注「サンド」</t>
        </is>
      </c>
      <c r="D640" s="5" t="inlineStr">
        <is>
          <t>卸C</t>
        </is>
      </c>
      <c r="E640" s="5" t="n">
        <v>13</v>
      </c>
      <c r="F640" s="5" t="n">
        <v>134418</v>
      </c>
    </row>
    <row r="641">
      <c r="A641" s="4" t="inlineStr">
        <is>
          <t>2023-09</t>
        </is>
      </c>
      <c r="B641" s="4" t="inlineStr">
        <is>
          <t>SKU0302</t>
        </is>
      </c>
      <c r="C641" s="4" t="inlineStr">
        <is>
          <t>フィルグラスチムBS注「サンド」</t>
        </is>
      </c>
      <c r="D641" s="4" t="inlineStr">
        <is>
          <t>卸A</t>
        </is>
      </c>
      <c r="E641" s="4" t="n">
        <v>49</v>
      </c>
      <c r="F641" s="4" t="n">
        <v>497607</v>
      </c>
    </row>
    <row r="642">
      <c r="A642" s="5" t="inlineStr">
        <is>
          <t>2023-09</t>
        </is>
      </c>
      <c r="B642" s="5" t="inlineStr">
        <is>
          <t>SKU0302</t>
        </is>
      </c>
      <c r="C642" s="5" t="inlineStr">
        <is>
          <t>フィルグラスチムBS注「サンド」</t>
        </is>
      </c>
      <c r="D642" s="5" t="inlineStr">
        <is>
          <t>卸B</t>
        </is>
      </c>
      <c r="E642" s="5" t="n">
        <v>29</v>
      </c>
      <c r="F642" s="5" t="n">
        <v>296702</v>
      </c>
    </row>
    <row r="643">
      <c r="A643" s="4" t="inlineStr">
        <is>
          <t>2023-09</t>
        </is>
      </c>
      <c r="B643" s="4" t="inlineStr">
        <is>
          <t>SKU0302</t>
        </is>
      </c>
      <c r="C643" s="4" t="inlineStr">
        <is>
          <t>フィルグラスチムBS注「サンド」</t>
        </is>
      </c>
      <c r="D643" s="4" t="inlineStr">
        <is>
          <t>卸C</t>
        </is>
      </c>
      <c r="E643" s="4" t="n">
        <v>15</v>
      </c>
      <c r="F643" s="4" t="n">
        <v>156493</v>
      </c>
    </row>
    <row r="644">
      <c r="A644" s="5" t="inlineStr">
        <is>
          <t>2023-10</t>
        </is>
      </c>
      <c r="B644" s="5" t="inlineStr">
        <is>
          <t>SKU0302</t>
        </is>
      </c>
      <c r="C644" s="5" t="inlineStr">
        <is>
          <t>フィルグラスチムBS注「サンド」</t>
        </is>
      </c>
      <c r="D644" s="5" t="inlineStr">
        <is>
          <t>卸A</t>
        </is>
      </c>
      <c r="E644" s="5" t="n">
        <v>50</v>
      </c>
      <c r="F644" s="5" t="n">
        <v>508711</v>
      </c>
    </row>
    <row r="645">
      <c r="A645" s="4" t="inlineStr">
        <is>
          <t>2023-10</t>
        </is>
      </c>
      <c r="B645" s="4" t="inlineStr">
        <is>
          <t>SKU0302</t>
        </is>
      </c>
      <c r="C645" s="4" t="inlineStr">
        <is>
          <t>フィルグラスチムBS注「サンド」</t>
        </is>
      </c>
      <c r="D645" s="4" t="inlineStr">
        <is>
          <t>卸B</t>
        </is>
      </c>
      <c r="E645" s="4" t="n">
        <v>38</v>
      </c>
      <c r="F645" s="4" t="n">
        <v>391477</v>
      </c>
    </row>
    <row r="646">
      <c r="A646" s="5" t="inlineStr">
        <is>
          <t>2023-10</t>
        </is>
      </c>
      <c r="B646" s="5" t="inlineStr">
        <is>
          <t>SKU0302</t>
        </is>
      </c>
      <c r="C646" s="5" t="inlineStr">
        <is>
          <t>フィルグラスチムBS注「サンド」</t>
        </is>
      </c>
      <c r="D646" s="5" t="inlineStr">
        <is>
          <t>卸C</t>
        </is>
      </c>
      <c r="E646" s="5" t="n">
        <v>26</v>
      </c>
      <c r="F646" s="5" t="n">
        <v>260451</v>
      </c>
    </row>
    <row r="647">
      <c r="A647" s="4" t="inlineStr">
        <is>
          <t>2023-11</t>
        </is>
      </c>
      <c r="B647" s="4" t="inlineStr">
        <is>
          <t>SKU0302</t>
        </is>
      </c>
      <c r="C647" s="4" t="inlineStr">
        <is>
          <t>フィルグラスチムBS注「サンド」</t>
        </is>
      </c>
      <c r="D647" s="4" t="inlineStr">
        <is>
          <t>卸A</t>
        </is>
      </c>
      <c r="E647" s="4" t="n">
        <v>78</v>
      </c>
      <c r="F647" s="4" t="n">
        <v>795373</v>
      </c>
    </row>
    <row r="648">
      <c r="A648" s="5" t="inlineStr">
        <is>
          <t>2023-11</t>
        </is>
      </c>
      <c r="B648" s="5" t="inlineStr">
        <is>
          <t>SKU0302</t>
        </is>
      </c>
      <c r="C648" s="5" t="inlineStr">
        <is>
          <t>フィルグラスチムBS注「サンド」</t>
        </is>
      </c>
      <c r="D648" s="5" t="inlineStr">
        <is>
          <t>卸B</t>
        </is>
      </c>
      <c r="E648" s="5" t="n">
        <v>54</v>
      </c>
      <c r="F648" s="5" t="n">
        <v>554068</v>
      </c>
    </row>
    <row r="649">
      <c r="A649" s="4" t="inlineStr">
        <is>
          <t>2023-11</t>
        </is>
      </c>
      <c r="B649" s="4" t="inlineStr">
        <is>
          <t>SKU0302</t>
        </is>
      </c>
      <c r="C649" s="4" t="inlineStr">
        <is>
          <t>フィルグラスチムBS注「サンド」</t>
        </is>
      </c>
      <c r="D649" s="4" t="inlineStr">
        <is>
          <t>卸C</t>
        </is>
      </c>
      <c r="E649" s="4" t="n">
        <v>29</v>
      </c>
      <c r="F649" s="4" t="n">
        <v>300518</v>
      </c>
    </row>
    <row r="650">
      <c r="A650" s="5" t="inlineStr">
        <is>
          <t>2023-12</t>
        </is>
      </c>
      <c r="B650" s="5" t="inlineStr">
        <is>
          <t>SKU0302</t>
        </is>
      </c>
      <c r="C650" s="5" t="inlineStr">
        <is>
          <t>フィルグラスチムBS注「サンド」</t>
        </is>
      </c>
      <c r="D650" s="5" t="inlineStr">
        <is>
          <t>卸A</t>
        </is>
      </c>
      <c r="E650" s="5" t="n">
        <v>63</v>
      </c>
      <c r="F650" s="5" t="n">
        <v>644450</v>
      </c>
    </row>
    <row r="651">
      <c r="A651" s="4" t="inlineStr">
        <is>
          <t>2023-12</t>
        </is>
      </c>
      <c r="B651" s="4" t="inlineStr">
        <is>
          <t>SKU0302</t>
        </is>
      </c>
      <c r="C651" s="4" t="inlineStr">
        <is>
          <t>フィルグラスチムBS注「サンド」</t>
        </is>
      </c>
      <c r="D651" s="4" t="inlineStr">
        <is>
          <t>卸B</t>
        </is>
      </c>
      <c r="E651" s="4" t="n">
        <v>40</v>
      </c>
      <c r="F651" s="4" t="n">
        <v>406238</v>
      </c>
    </row>
    <row r="652">
      <c r="A652" s="5" t="inlineStr">
        <is>
          <t>2023-12</t>
        </is>
      </c>
      <c r="B652" s="5" t="inlineStr">
        <is>
          <t>SKU0302</t>
        </is>
      </c>
      <c r="C652" s="5" t="inlineStr">
        <is>
          <t>フィルグラスチムBS注「サンド」</t>
        </is>
      </c>
      <c r="D652" s="5" t="inlineStr">
        <is>
          <t>卸C</t>
        </is>
      </c>
      <c r="E652" s="5" t="n">
        <v>22</v>
      </c>
      <c r="F652" s="5" t="n">
        <v>228671</v>
      </c>
    </row>
    <row r="653">
      <c r="A653" s="4" t="inlineStr">
        <is>
          <t>2024-01</t>
        </is>
      </c>
      <c r="B653" s="4" t="inlineStr">
        <is>
          <t>SKU0302</t>
        </is>
      </c>
      <c r="C653" s="4" t="inlineStr">
        <is>
          <t>フィルグラスチムBS注「サンド」</t>
        </is>
      </c>
      <c r="D653" s="4" t="inlineStr">
        <is>
          <t>卸A</t>
        </is>
      </c>
      <c r="E653" s="4" t="n">
        <v>101</v>
      </c>
      <c r="F653" s="4" t="n">
        <v>1034039</v>
      </c>
    </row>
    <row r="654">
      <c r="A654" s="5" t="inlineStr">
        <is>
          <t>2024-01</t>
        </is>
      </c>
      <c r="B654" s="5" t="inlineStr">
        <is>
          <t>SKU0302</t>
        </is>
      </c>
      <c r="C654" s="5" t="inlineStr">
        <is>
          <t>フィルグラスチムBS注「サンド」</t>
        </is>
      </c>
      <c r="D654" s="5" t="inlineStr">
        <is>
          <t>卸B</t>
        </is>
      </c>
      <c r="E654" s="5" t="n">
        <v>65</v>
      </c>
      <c r="F654" s="5" t="n">
        <v>664991</v>
      </c>
    </row>
    <row r="655">
      <c r="A655" s="4" t="inlineStr">
        <is>
          <t>2024-01</t>
        </is>
      </c>
      <c r="B655" s="4" t="inlineStr">
        <is>
          <t>SKU0302</t>
        </is>
      </c>
      <c r="C655" s="4" t="inlineStr">
        <is>
          <t>フィルグラスチムBS注「サンド」</t>
        </is>
      </c>
      <c r="D655" s="4" t="inlineStr">
        <is>
          <t>卸C</t>
        </is>
      </c>
      <c r="E655" s="4" t="n">
        <v>37</v>
      </c>
      <c r="F655" s="4" t="n">
        <v>380671</v>
      </c>
    </row>
    <row r="656">
      <c r="A656" s="5" t="inlineStr">
        <is>
          <t>2024-02</t>
        </is>
      </c>
      <c r="B656" s="5" t="inlineStr">
        <is>
          <t>SKU0302</t>
        </is>
      </c>
      <c r="C656" s="5" t="inlineStr">
        <is>
          <t>フィルグラスチムBS注「サンド」</t>
        </is>
      </c>
      <c r="D656" s="5" t="inlineStr">
        <is>
          <t>卸A</t>
        </is>
      </c>
      <c r="E656" s="5" t="n">
        <v>99</v>
      </c>
      <c r="F656" s="5" t="n">
        <v>1010553</v>
      </c>
    </row>
    <row r="657">
      <c r="A657" s="4" t="inlineStr">
        <is>
          <t>2024-02</t>
        </is>
      </c>
      <c r="B657" s="4" t="inlineStr">
        <is>
          <t>SKU0302</t>
        </is>
      </c>
      <c r="C657" s="4" t="inlineStr">
        <is>
          <t>フィルグラスチムBS注「サンド」</t>
        </is>
      </c>
      <c r="D657" s="4" t="inlineStr">
        <is>
          <t>卸B</t>
        </is>
      </c>
      <c r="E657" s="4" t="n">
        <v>61</v>
      </c>
      <c r="F657" s="4" t="n">
        <v>621371</v>
      </c>
    </row>
    <row r="658">
      <c r="A658" s="5" t="inlineStr">
        <is>
          <t>2024-02</t>
        </is>
      </c>
      <c r="B658" s="5" t="inlineStr">
        <is>
          <t>SKU0302</t>
        </is>
      </c>
      <c r="C658" s="5" t="inlineStr">
        <is>
          <t>フィルグラスチムBS注「サンド」</t>
        </is>
      </c>
      <c r="D658" s="5" t="inlineStr">
        <is>
          <t>卸C</t>
        </is>
      </c>
      <c r="E658" s="5" t="n">
        <v>41</v>
      </c>
      <c r="F658" s="5" t="n">
        <v>414411</v>
      </c>
    </row>
    <row r="659">
      <c r="A659" s="4" t="inlineStr">
        <is>
          <t>2024-03</t>
        </is>
      </c>
      <c r="B659" s="4" t="inlineStr">
        <is>
          <t>SKU0302</t>
        </is>
      </c>
      <c r="C659" s="4" t="inlineStr">
        <is>
          <t>フィルグラスチムBS注「サンド」</t>
        </is>
      </c>
      <c r="D659" s="4" t="inlineStr">
        <is>
          <t>卸A</t>
        </is>
      </c>
      <c r="E659" s="4" t="n">
        <v>171</v>
      </c>
      <c r="F659" s="4" t="n">
        <v>1741722</v>
      </c>
    </row>
    <row r="660">
      <c r="A660" s="5" t="inlineStr">
        <is>
          <t>2024-03</t>
        </is>
      </c>
      <c r="B660" s="5" t="inlineStr">
        <is>
          <t>SKU0302</t>
        </is>
      </c>
      <c r="C660" s="5" t="inlineStr">
        <is>
          <t>フィルグラスチムBS注「サンド」</t>
        </is>
      </c>
      <c r="D660" s="5" t="inlineStr">
        <is>
          <t>卸B</t>
        </is>
      </c>
      <c r="E660" s="5" t="n">
        <v>117</v>
      </c>
      <c r="F660" s="5" t="n">
        <v>1189498</v>
      </c>
    </row>
    <row r="661">
      <c r="A661" s="4" t="inlineStr">
        <is>
          <t>2024-03</t>
        </is>
      </c>
      <c r="B661" s="4" t="inlineStr">
        <is>
          <t>SKU0302</t>
        </is>
      </c>
      <c r="C661" s="4" t="inlineStr">
        <is>
          <t>フィルグラスチムBS注「サンド」</t>
        </is>
      </c>
      <c r="D661" s="4" t="inlineStr">
        <is>
          <t>卸C</t>
        </is>
      </c>
      <c r="E661" s="4" t="n">
        <v>75</v>
      </c>
      <c r="F661" s="4" t="n">
        <v>768034</v>
      </c>
    </row>
    <row r="662">
      <c r="A662" s="5" t="inlineStr">
        <is>
          <t>2024-04</t>
        </is>
      </c>
      <c r="B662" s="5" t="inlineStr">
        <is>
          <t>SKU0302</t>
        </is>
      </c>
      <c r="C662" s="5" t="inlineStr">
        <is>
          <t>フィルグラスチムBS注「サンド」</t>
        </is>
      </c>
      <c r="D662" s="5" t="inlineStr">
        <is>
          <t>卸A</t>
        </is>
      </c>
      <c r="E662" s="5" t="n">
        <v>56</v>
      </c>
      <c r="F662" s="5" t="n">
        <v>543220</v>
      </c>
    </row>
    <row r="663">
      <c r="A663" s="4" t="inlineStr">
        <is>
          <t>2024-04</t>
        </is>
      </c>
      <c r="B663" s="4" t="inlineStr">
        <is>
          <t>SKU0302</t>
        </is>
      </c>
      <c r="C663" s="4" t="inlineStr">
        <is>
          <t>フィルグラスチムBS注「サンド」</t>
        </is>
      </c>
      <c r="D663" s="4" t="inlineStr">
        <is>
          <t>卸B</t>
        </is>
      </c>
      <c r="E663" s="4" t="n">
        <v>31</v>
      </c>
      <c r="F663" s="4" t="n">
        <v>298027</v>
      </c>
    </row>
    <row r="664">
      <c r="A664" s="5" t="inlineStr">
        <is>
          <t>2024-04</t>
        </is>
      </c>
      <c r="B664" s="5" t="inlineStr">
        <is>
          <t>SKU0302</t>
        </is>
      </c>
      <c r="C664" s="5" t="inlineStr">
        <is>
          <t>フィルグラスチムBS注「サンド」</t>
        </is>
      </c>
      <c r="D664" s="5" t="inlineStr">
        <is>
          <t>卸C</t>
        </is>
      </c>
      <c r="E664" s="5" t="n">
        <v>10</v>
      </c>
      <c r="F664" s="5" t="n">
        <v>92708</v>
      </c>
    </row>
    <row r="665">
      <c r="A665" s="4" t="inlineStr">
        <is>
          <t>2024-05</t>
        </is>
      </c>
      <c r="B665" s="4" t="inlineStr">
        <is>
          <t>SKU0302</t>
        </is>
      </c>
      <c r="C665" s="4" t="inlineStr">
        <is>
          <t>フィルグラスチムBS注「サンド」</t>
        </is>
      </c>
      <c r="D665" s="4" t="inlineStr">
        <is>
          <t>卸A</t>
        </is>
      </c>
      <c r="E665" s="4" t="n">
        <v>165</v>
      </c>
      <c r="F665" s="4" t="n">
        <v>1590215</v>
      </c>
    </row>
    <row r="666">
      <c r="A666" s="5" t="inlineStr">
        <is>
          <t>2024-05</t>
        </is>
      </c>
      <c r="B666" s="5" t="inlineStr">
        <is>
          <t>SKU0302</t>
        </is>
      </c>
      <c r="C666" s="5" t="inlineStr">
        <is>
          <t>フィルグラスチムBS注「サンド」</t>
        </is>
      </c>
      <c r="D666" s="5" t="inlineStr">
        <is>
          <t>卸B</t>
        </is>
      </c>
      <c r="E666" s="5" t="n">
        <v>103</v>
      </c>
      <c r="F666" s="5" t="n">
        <v>988165</v>
      </c>
    </row>
    <row r="667">
      <c r="A667" s="4" t="inlineStr">
        <is>
          <t>2024-05</t>
        </is>
      </c>
      <c r="B667" s="4" t="inlineStr">
        <is>
          <t>SKU0302</t>
        </is>
      </c>
      <c r="C667" s="4" t="inlineStr">
        <is>
          <t>フィルグラスチムBS注「サンド」</t>
        </is>
      </c>
      <c r="D667" s="4" t="inlineStr">
        <is>
          <t>卸C</t>
        </is>
      </c>
      <c r="E667" s="4" t="n">
        <v>52</v>
      </c>
      <c r="F667" s="4" t="n">
        <v>501898</v>
      </c>
    </row>
    <row r="668">
      <c r="A668" s="5" t="inlineStr">
        <is>
          <t>2024-06</t>
        </is>
      </c>
      <c r="B668" s="5" t="inlineStr">
        <is>
          <t>SKU0302</t>
        </is>
      </c>
      <c r="C668" s="5" t="inlineStr">
        <is>
          <t>フィルグラスチムBS注「サンド」</t>
        </is>
      </c>
      <c r="D668" s="5" t="inlineStr">
        <is>
          <t>卸A</t>
        </is>
      </c>
      <c r="E668" s="5" t="n">
        <v>162</v>
      </c>
      <c r="F668" s="5" t="n">
        <v>1557585</v>
      </c>
    </row>
    <row r="669">
      <c r="A669" s="4" t="inlineStr">
        <is>
          <t>2024-06</t>
        </is>
      </c>
      <c r="B669" s="4" t="inlineStr">
        <is>
          <t>SKU0302</t>
        </is>
      </c>
      <c r="C669" s="4" t="inlineStr">
        <is>
          <t>フィルグラスチムBS注「サンド」</t>
        </is>
      </c>
      <c r="D669" s="4" t="inlineStr">
        <is>
          <t>卸B</t>
        </is>
      </c>
      <c r="E669" s="4" t="n">
        <v>116</v>
      </c>
      <c r="F669" s="4" t="n">
        <v>1121687</v>
      </c>
    </row>
    <row r="670">
      <c r="A670" s="5" t="inlineStr">
        <is>
          <t>2024-06</t>
        </is>
      </c>
      <c r="B670" s="5" t="inlineStr">
        <is>
          <t>SKU0302</t>
        </is>
      </c>
      <c r="C670" s="5" t="inlineStr">
        <is>
          <t>フィルグラスチムBS注「サンド」</t>
        </is>
      </c>
      <c r="D670" s="5" t="inlineStr">
        <is>
          <t>卸C</t>
        </is>
      </c>
      <c r="E670" s="5" t="n">
        <v>69</v>
      </c>
      <c r="F670" s="5" t="n">
        <v>661700</v>
      </c>
    </row>
    <row r="671">
      <c r="A671" s="4" t="inlineStr">
        <is>
          <t>2024-07</t>
        </is>
      </c>
      <c r="B671" s="4" t="inlineStr">
        <is>
          <t>SKU0302</t>
        </is>
      </c>
      <c r="C671" s="4" t="inlineStr">
        <is>
          <t>フィルグラスチムBS注「サンド」</t>
        </is>
      </c>
      <c r="D671" s="4" t="inlineStr">
        <is>
          <t>卸A</t>
        </is>
      </c>
      <c r="E671" s="4" t="n">
        <v>227</v>
      </c>
      <c r="F671" s="4" t="n">
        <v>2191839</v>
      </c>
    </row>
    <row r="672">
      <c r="A672" s="5" t="inlineStr">
        <is>
          <t>2024-07</t>
        </is>
      </c>
      <c r="B672" s="5" t="inlineStr">
        <is>
          <t>SKU0302</t>
        </is>
      </c>
      <c r="C672" s="5" t="inlineStr">
        <is>
          <t>フィルグラスチムBS注「サンド」</t>
        </is>
      </c>
      <c r="D672" s="5" t="inlineStr">
        <is>
          <t>卸B</t>
        </is>
      </c>
      <c r="E672" s="5" t="n">
        <v>163</v>
      </c>
      <c r="F672" s="5" t="n">
        <v>1567685</v>
      </c>
    </row>
    <row r="673">
      <c r="A673" s="4" t="inlineStr">
        <is>
          <t>2024-07</t>
        </is>
      </c>
      <c r="B673" s="4" t="inlineStr">
        <is>
          <t>SKU0302</t>
        </is>
      </c>
      <c r="C673" s="4" t="inlineStr">
        <is>
          <t>フィルグラスチムBS注「サンド」</t>
        </is>
      </c>
      <c r="D673" s="4" t="inlineStr">
        <is>
          <t>卸C</t>
        </is>
      </c>
      <c r="E673" s="4" t="n">
        <v>80</v>
      </c>
      <c r="F673" s="4" t="n">
        <v>771575</v>
      </c>
    </row>
    <row r="674">
      <c r="A674" s="5" t="inlineStr">
        <is>
          <t>2024-08</t>
        </is>
      </c>
      <c r="B674" s="5" t="inlineStr">
        <is>
          <t>SKU0302</t>
        </is>
      </c>
      <c r="C674" s="5" t="inlineStr">
        <is>
          <t>フィルグラスチムBS注「サンド」</t>
        </is>
      </c>
      <c r="D674" s="5" t="inlineStr">
        <is>
          <t>卸A</t>
        </is>
      </c>
      <c r="E674" s="5" t="n">
        <v>184</v>
      </c>
      <c r="F674" s="5" t="n">
        <v>1771175</v>
      </c>
    </row>
    <row r="675">
      <c r="A675" s="4" t="inlineStr">
        <is>
          <t>2024-08</t>
        </is>
      </c>
      <c r="B675" s="4" t="inlineStr">
        <is>
          <t>SKU0302</t>
        </is>
      </c>
      <c r="C675" s="4" t="inlineStr">
        <is>
          <t>フィルグラスチムBS注「サンド」</t>
        </is>
      </c>
      <c r="D675" s="4" t="inlineStr">
        <is>
          <t>卸B</t>
        </is>
      </c>
      <c r="E675" s="4" t="n">
        <v>121</v>
      </c>
      <c r="F675" s="4" t="n">
        <v>1167117</v>
      </c>
    </row>
    <row r="676">
      <c r="A676" s="5" t="inlineStr">
        <is>
          <t>2024-08</t>
        </is>
      </c>
      <c r="B676" s="5" t="inlineStr">
        <is>
          <t>SKU0302</t>
        </is>
      </c>
      <c r="C676" s="5" t="inlineStr">
        <is>
          <t>フィルグラスチムBS注「サンド」</t>
        </is>
      </c>
      <c r="D676" s="5" t="inlineStr">
        <is>
          <t>卸C</t>
        </is>
      </c>
      <c r="E676" s="5" t="n">
        <v>73</v>
      </c>
      <c r="F676" s="5" t="n">
        <v>699417</v>
      </c>
    </row>
    <row r="677">
      <c r="A677" s="4" t="inlineStr">
        <is>
          <t>2024-09</t>
        </is>
      </c>
      <c r="B677" s="4" t="inlineStr">
        <is>
          <t>SKU0302</t>
        </is>
      </c>
      <c r="C677" s="4" t="inlineStr">
        <is>
          <t>フィルグラスチムBS注「サンド」</t>
        </is>
      </c>
      <c r="D677" s="4" t="inlineStr">
        <is>
          <t>卸A</t>
        </is>
      </c>
      <c r="E677" s="4" t="n">
        <v>193</v>
      </c>
      <c r="F677" s="4" t="n">
        <v>1862921</v>
      </c>
    </row>
    <row r="678">
      <c r="A678" s="5" t="inlineStr">
        <is>
          <t>2024-09</t>
        </is>
      </c>
      <c r="B678" s="5" t="inlineStr">
        <is>
          <t>SKU0302</t>
        </is>
      </c>
      <c r="C678" s="5" t="inlineStr">
        <is>
          <t>フィルグラスチムBS注「サンド」</t>
        </is>
      </c>
      <c r="D678" s="5" t="inlineStr">
        <is>
          <t>卸B</t>
        </is>
      </c>
      <c r="E678" s="5" t="n">
        <v>142</v>
      </c>
      <c r="F678" s="5" t="n">
        <v>1371945</v>
      </c>
    </row>
    <row r="679">
      <c r="A679" s="4" t="inlineStr">
        <is>
          <t>2024-09</t>
        </is>
      </c>
      <c r="B679" s="4" t="inlineStr">
        <is>
          <t>SKU0302</t>
        </is>
      </c>
      <c r="C679" s="4" t="inlineStr">
        <is>
          <t>フィルグラスチムBS注「サンド」</t>
        </is>
      </c>
      <c r="D679" s="4" t="inlineStr">
        <is>
          <t>卸C</t>
        </is>
      </c>
      <c r="E679" s="4" t="n">
        <v>70</v>
      </c>
      <c r="F679" s="4" t="n">
        <v>673124</v>
      </c>
    </row>
    <row r="680">
      <c r="A680" s="5" t="inlineStr">
        <is>
          <t>2024-10</t>
        </is>
      </c>
      <c r="B680" s="5" t="inlineStr">
        <is>
          <t>SKU0302</t>
        </is>
      </c>
      <c r="C680" s="5" t="inlineStr">
        <is>
          <t>フィルグラスチムBS注「サンド」</t>
        </is>
      </c>
      <c r="D680" s="5" t="inlineStr">
        <is>
          <t>卸A</t>
        </is>
      </c>
      <c r="E680" s="5" t="n">
        <v>245</v>
      </c>
      <c r="F680" s="5" t="n">
        <v>2357601</v>
      </c>
    </row>
    <row r="681">
      <c r="A681" s="4" t="inlineStr">
        <is>
          <t>2024-10</t>
        </is>
      </c>
      <c r="B681" s="4" t="inlineStr">
        <is>
          <t>SKU0302</t>
        </is>
      </c>
      <c r="C681" s="4" t="inlineStr">
        <is>
          <t>フィルグラスチムBS注「サンド」</t>
        </is>
      </c>
      <c r="D681" s="4" t="inlineStr">
        <is>
          <t>卸B</t>
        </is>
      </c>
      <c r="E681" s="4" t="n">
        <v>154</v>
      </c>
      <c r="F681" s="4" t="n">
        <v>1487281</v>
      </c>
    </row>
    <row r="682">
      <c r="A682" s="5" t="inlineStr">
        <is>
          <t>2024-10</t>
        </is>
      </c>
      <c r="B682" s="5" t="inlineStr">
        <is>
          <t>SKU0302</t>
        </is>
      </c>
      <c r="C682" s="5" t="inlineStr">
        <is>
          <t>フィルグラスチムBS注「サンド」</t>
        </is>
      </c>
      <c r="D682" s="5" t="inlineStr">
        <is>
          <t>卸C</t>
        </is>
      </c>
      <c r="E682" s="5" t="n">
        <v>101</v>
      </c>
      <c r="F682" s="5" t="n">
        <v>977218</v>
      </c>
    </row>
    <row r="683">
      <c r="A683" s="4" t="inlineStr">
        <is>
          <t>2024-11</t>
        </is>
      </c>
      <c r="B683" s="4" t="inlineStr">
        <is>
          <t>SKU0302</t>
        </is>
      </c>
      <c r="C683" s="4" t="inlineStr">
        <is>
          <t>フィルグラスチムBS注「サンド」</t>
        </is>
      </c>
      <c r="D683" s="4" t="inlineStr">
        <is>
          <t>卸A</t>
        </is>
      </c>
      <c r="E683" s="4" t="n">
        <v>253</v>
      </c>
      <c r="F683" s="4" t="n">
        <v>2436920</v>
      </c>
    </row>
    <row r="684">
      <c r="A684" s="5" t="inlineStr">
        <is>
          <t>2024-11</t>
        </is>
      </c>
      <c r="B684" s="5" t="inlineStr">
        <is>
          <t>SKU0302</t>
        </is>
      </c>
      <c r="C684" s="5" t="inlineStr">
        <is>
          <t>フィルグラスチムBS注「サンド」</t>
        </is>
      </c>
      <c r="D684" s="5" t="inlineStr">
        <is>
          <t>卸B</t>
        </is>
      </c>
      <c r="E684" s="5" t="n">
        <v>155</v>
      </c>
      <c r="F684" s="5" t="n">
        <v>1493806</v>
      </c>
    </row>
    <row r="685">
      <c r="A685" s="4" t="inlineStr">
        <is>
          <t>2024-11</t>
        </is>
      </c>
      <c r="B685" s="4" t="inlineStr">
        <is>
          <t>SKU0302</t>
        </is>
      </c>
      <c r="C685" s="4" t="inlineStr">
        <is>
          <t>フィルグラスチムBS注「サンド」</t>
        </is>
      </c>
      <c r="D685" s="4" t="inlineStr">
        <is>
          <t>卸C</t>
        </is>
      </c>
      <c r="E685" s="4" t="n">
        <v>100</v>
      </c>
      <c r="F685" s="4" t="n">
        <v>968498</v>
      </c>
    </row>
    <row r="686">
      <c r="A686" s="5" t="inlineStr">
        <is>
          <t>2024-12</t>
        </is>
      </c>
      <c r="B686" s="5" t="inlineStr">
        <is>
          <t>SKU0302</t>
        </is>
      </c>
      <c r="C686" s="5" t="inlineStr">
        <is>
          <t>フィルグラスチムBS注「サンド」</t>
        </is>
      </c>
      <c r="D686" s="5" t="inlineStr">
        <is>
          <t>卸A</t>
        </is>
      </c>
      <c r="E686" s="5" t="n">
        <v>335</v>
      </c>
      <c r="F686" s="5" t="n">
        <v>3233798</v>
      </c>
    </row>
    <row r="687">
      <c r="A687" s="4" t="inlineStr">
        <is>
          <t>2024-12</t>
        </is>
      </c>
      <c r="B687" s="4" t="inlineStr">
        <is>
          <t>SKU0302</t>
        </is>
      </c>
      <c r="C687" s="4" t="inlineStr">
        <is>
          <t>フィルグラスチムBS注「サンド」</t>
        </is>
      </c>
      <c r="D687" s="4" t="inlineStr">
        <is>
          <t>卸B</t>
        </is>
      </c>
      <c r="E687" s="4" t="n">
        <v>231</v>
      </c>
      <c r="F687" s="4" t="n">
        <v>2223494</v>
      </c>
    </row>
    <row r="688">
      <c r="A688" s="5" t="inlineStr">
        <is>
          <t>2024-12</t>
        </is>
      </c>
      <c r="B688" s="5" t="inlineStr">
        <is>
          <t>SKU0302</t>
        </is>
      </c>
      <c r="C688" s="5" t="inlineStr">
        <is>
          <t>フィルグラスチムBS注「サンド」</t>
        </is>
      </c>
      <c r="D688" s="5" t="inlineStr">
        <is>
          <t>卸C</t>
        </is>
      </c>
      <c r="E688" s="5" t="n">
        <v>126</v>
      </c>
      <c r="F688" s="5" t="n">
        <v>1217641</v>
      </c>
    </row>
    <row r="689">
      <c r="A689" s="4" t="inlineStr">
        <is>
          <t>2025-01</t>
        </is>
      </c>
      <c r="B689" s="4" t="inlineStr">
        <is>
          <t>SKU0302</t>
        </is>
      </c>
      <c r="C689" s="4" t="inlineStr">
        <is>
          <t>フィルグラスチムBS注「サンド」</t>
        </is>
      </c>
      <c r="D689" s="4" t="inlineStr">
        <is>
          <t>卸A</t>
        </is>
      </c>
      <c r="E689" s="4" t="n">
        <v>305</v>
      </c>
      <c r="F689" s="4" t="n">
        <v>2940774</v>
      </c>
    </row>
    <row r="690">
      <c r="A690" s="5" t="inlineStr">
        <is>
          <t>2025-01</t>
        </is>
      </c>
      <c r="B690" s="5" t="inlineStr">
        <is>
          <t>SKU0302</t>
        </is>
      </c>
      <c r="C690" s="5" t="inlineStr">
        <is>
          <t>フィルグラスチムBS注「サンド」</t>
        </is>
      </c>
      <c r="D690" s="5" t="inlineStr">
        <is>
          <t>卸B</t>
        </is>
      </c>
      <c r="E690" s="5" t="n">
        <v>217</v>
      </c>
      <c r="F690" s="5" t="n">
        <v>2096083</v>
      </c>
    </row>
    <row r="691">
      <c r="A691" s="4" t="inlineStr">
        <is>
          <t>2025-01</t>
        </is>
      </c>
      <c r="B691" s="4" t="inlineStr">
        <is>
          <t>SKU0302</t>
        </is>
      </c>
      <c r="C691" s="4" t="inlineStr">
        <is>
          <t>フィルグラスチムBS注「サンド」</t>
        </is>
      </c>
      <c r="D691" s="4" t="inlineStr">
        <is>
          <t>卸C</t>
        </is>
      </c>
      <c r="E691" s="4" t="n">
        <v>91</v>
      </c>
      <c r="F691" s="4" t="n">
        <v>879443</v>
      </c>
    </row>
    <row r="692">
      <c r="A692" s="5" t="inlineStr">
        <is>
          <t>2025-02</t>
        </is>
      </c>
      <c r="B692" s="5" t="inlineStr">
        <is>
          <t>SKU0302</t>
        </is>
      </c>
      <c r="C692" s="5" t="inlineStr">
        <is>
          <t>フィルグラスチムBS注「サンド」</t>
        </is>
      </c>
      <c r="D692" s="5" t="inlineStr">
        <is>
          <t>卸A</t>
        </is>
      </c>
      <c r="E692" s="5" t="n">
        <v>362</v>
      </c>
      <c r="F692" s="5" t="n">
        <v>3488007</v>
      </c>
    </row>
    <row r="693">
      <c r="A693" s="4" t="inlineStr">
        <is>
          <t>2025-02</t>
        </is>
      </c>
      <c r="B693" s="4" t="inlineStr">
        <is>
          <t>SKU0302</t>
        </is>
      </c>
      <c r="C693" s="4" t="inlineStr">
        <is>
          <t>フィルグラスチムBS注「サンド」</t>
        </is>
      </c>
      <c r="D693" s="4" t="inlineStr">
        <is>
          <t>卸B</t>
        </is>
      </c>
      <c r="E693" s="4" t="n">
        <v>203</v>
      </c>
      <c r="F693" s="4" t="n">
        <v>1957621</v>
      </c>
    </row>
    <row r="694">
      <c r="A694" s="5" t="inlineStr">
        <is>
          <t>2025-02</t>
        </is>
      </c>
      <c r="B694" s="5" t="inlineStr">
        <is>
          <t>SKU0302</t>
        </is>
      </c>
      <c r="C694" s="5" t="inlineStr">
        <is>
          <t>フィルグラスチムBS注「サンド」</t>
        </is>
      </c>
      <c r="D694" s="5" t="inlineStr">
        <is>
          <t>卸C</t>
        </is>
      </c>
      <c r="E694" s="5" t="n">
        <v>141</v>
      </c>
      <c r="F694" s="5" t="n">
        <v>1358036</v>
      </c>
    </row>
    <row r="695">
      <c r="A695" s="4" t="inlineStr">
        <is>
          <t>2025-03</t>
        </is>
      </c>
      <c r="B695" s="4" t="inlineStr">
        <is>
          <t>SKU0302</t>
        </is>
      </c>
      <c r="C695" s="4" t="inlineStr">
        <is>
          <t>フィルグラスチムBS注「サンド」</t>
        </is>
      </c>
      <c r="D695" s="4" t="inlineStr">
        <is>
          <t>卸A</t>
        </is>
      </c>
      <c r="E695" s="4" t="n">
        <v>437</v>
      </c>
      <c r="F695" s="4" t="n">
        <v>4207611</v>
      </c>
    </row>
    <row r="696">
      <c r="A696" s="5" t="inlineStr">
        <is>
          <t>2025-03</t>
        </is>
      </c>
      <c r="B696" s="5" t="inlineStr">
        <is>
          <t>SKU0302</t>
        </is>
      </c>
      <c r="C696" s="5" t="inlineStr">
        <is>
          <t>フィルグラスチムBS注「サンド」</t>
        </is>
      </c>
      <c r="D696" s="5" t="inlineStr">
        <is>
          <t>卸B</t>
        </is>
      </c>
      <c r="E696" s="5" t="n">
        <v>372</v>
      </c>
      <c r="F696" s="5" t="n">
        <v>3583301</v>
      </c>
    </row>
    <row r="697">
      <c r="A697" s="4" t="inlineStr">
        <is>
          <t>2025-03</t>
        </is>
      </c>
      <c r="B697" s="4" t="inlineStr">
        <is>
          <t>SKU0302</t>
        </is>
      </c>
      <c r="C697" s="4" t="inlineStr">
        <is>
          <t>フィルグラスチムBS注「サンド」</t>
        </is>
      </c>
      <c r="D697" s="4" t="inlineStr">
        <is>
          <t>卸C</t>
        </is>
      </c>
      <c r="E697" s="4" t="n">
        <v>233</v>
      </c>
      <c r="F697" s="4" t="n">
        <v>2245359</v>
      </c>
    </row>
    <row r="698">
      <c r="A698" s="5" t="inlineStr">
        <is>
          <t>2025-04</t>
        </is>
      </c>
      <c r="B698" s="5" t="inlineStr">
        <is>
          <t>SKU0302</t>
        </is>
      </c>
      <c r="C698" s="5" t="inlineStr">
        <is>
          <t>フィルグラスチムBS注「サンド」</t>
        </is>
      </c>
      <c r="D698" s="5" t="inlineStr">
        <is>
          <t>卸A</t>
        </is>
      </c>
      <c r="E698" s="5" t="n">
        <v>189</v>
      </c>
      <c r="F698" s="5" t="n">
        <v>1765846</v>
      </c>
    </row>
    <row r="699">
      <c r="A699" s="4" t="inlineStr">
        <is>
          <t>2025-04</t>
        </is>
      </c>
      <c r="B699" s="4" t="inlineStr">
        <is>
          <t>SKU0302</t>
        </is>
      </c>
      <c r="C699" s="4" t="inlineStr">
        <is>
          <t>フィルグラスチムBS注「サンド」</t>
        </is>
      </c>
      <c r="D699" s="4" t="inlineStr">
        <is>
          <t>卸B</t>
        </is>
      </c>
      <c r="E699" s="4" t="n">
        <v>24</v>
      </c>
      <c r="F699" s="4" t="n">
        <v>222376</v>
      </c>
    </row>
    <row r="700">
      <c r="A700" s="5" t="inlineStr">
        <is>
          <t>2025-04</t>
        </is>
      </c>
      <c r="B700" s="5" t="inlineStr">
        <is>
          <t>SKU0302</t>
        </is>
      </c>
      <c r="C700" s="5" t="inlineStr">
        <is>
          <t>フィルグラスチムBS注「サンド」</t>
        </is>
      </c>
      <c r="D700" s="5" t="inlineStr">
        <is>
          <t>卸C</t>
        </is>
      </c>
      <c r="E700" s="5" t="n">
        <v>0</v>
      </c>
      <c r="F700" s="5" t="n">
        <v>0</v>
      </c>
    </row>
    <row r="701">
      <c r="A701" s="4" t="inlineStr">
        <is>
          <t>2025-05</t>
        </is>
      </c>
      <c r="B701" s="4" t="inlineStr">
        <is>
          <t>SKU0302</t>
        </is>
      </c>
      <c r="C701" s="4" t="inlineStr">
        <is>
          <t>フィルグラスチムBS注「サンド」</t>
        </is>
      </c>
      <c r="D701" s="4" t="inlineStr">
        <is>
          <t>卸A</t>
        </is>
      </c>
      <c r="E701" s="4" t="n">
        <v>347</v>
      </c>
      <c r="F701" s="4" t="n">
        <v>3242286</v>
      </c>
    </row>
    <row r="702">
      <c r="A702" s="5" t="inlineStr">
        <is>
          <t>2025-05</t>
        </is>
      </c>
      <c r="B702" s="5" t="inlineStr">
        <is>
          <t>SKU0302</t>
        </is>
      </c>
      <c r="C702" s="5" t="inlineStr">
        <is>
          <t>フィルグラスチムBS注「サンド」</t>
        </is>
      </c>
      <c r="D702" s="5" t="inlineStr">
        <is>
          <t>卸B</t>
        </is>
      </c>
      <c r="E702" s="5" t="n">
        <v>240</v>
      </c>
      <c r="F702" s="5" t="n">
        <v>2243843</v>
      </c>
    </row>
    <row r="703">
      <c r="A703" s="4" t="inlineStr">
        <is>
          <t>2025-05</t>
        </is>
      </c>
      <c r="B703" s="4" t="inlineStr">
        <is>
          <t>SKU0302</t>
        </is>
      </c>
      <c r="C703" s="4" t="inlineStr">
        <is>
          <t>フィルグラスチムBS注「サンド」</t>
        </is>
      </c>
      <c r="D703" s="4" t="inlineStr">
        <is>
          <t>卸C</t>
        </is>
      </c>
      <c r="E703" s="4" t="n">
        <v>138</v>
      </c>
      <c r="F703" s="4" t="n">
        <v>1290544</v>
      </c>
    </row>
    <row r="704">
      <c r="A704" s="5" t="inlineStr">
        <is>
          <t>2025-06</t>
        </is>
      </c>
      <c r="B704" s="5" t="inlineStr">
        <is>
          <t>SKU0302</t>
        </is>
      </c>
      <c r="C704" s="5" t="inlineStr">
        <is>
          <t>フィルグラスチムBS注「サンド」</t>
        </is>
      </c>
      <c r="D704" s="5" t="inlineStr">
        <is>
          <t>卸A</t>
        </is>
      </c>
      <c r="E704" s="5" t="n">
        <v>442</v>
      </c>
      <c r="F704" s="5" t="n">
        <v>4130140</v>
      </c>
    </row>
    <row r="705">
      <c r="A705" s="4" t="inlineStr">
        <is>
          <t>2025-06</t>
        </is>
      </c>
      <c r="B705" s="4" t="inlineStr">
        <is>
          <t>SKU0302</t>
        </is>
      </c>
      <c r="C705" s="4" t="inlineStr">
        <is>
          <t>フィルグラスチムBS注「サンド」</t>
        </is>
      </c>
      <c r="D705" s="4" t="inlineStr">
        <is>
          <t>卸B</t>
        </is>
      </c>
      <c r="E705" s="4" t="n">
        <v>286</v>
      </c>
      <c r="F705" s="4" t="n">
        <v>2670087</v>
      </c>
    </row>
    <row r="706">
      <c r="A706" s="5" t="inlineStr">
        <is>
          <t>2025-06</t>
        </is>
      </c>
      <c r="B706" s="5" t="inlineStr">
        <is>
          <t>SKU0302</t>
        </is>
      </c>
      <c r="C706" s="5" t="inlineStr">
        <is>
          <t>フィルグラスチムBS注「サンド」</t>
        </is>
      </c>
      <c r="D706" s="5" t="inlineStr">
        <is>
          <t>卸C</t>
        </is>
      </c>
      <c r="E706" s="5" t="n">
        <v>177</v>
      </c>
      <c r="F706" s="5" t="n">
        <v>1650705</v>
      </c>
    </row>
    <row r="707">
      <c r="A707" s="4" t="inlineStr">
        <is>
          <t>2025-07</t>
        </is>
      </c>
      <c r="B707" s="4" t="inlineStr">
        <is>
          <t>SKU0302</t>
        </is>
      </c>
      <c r="C707" s="4" t="inlineStr">
        <is>
          <t>フィルグラスチムBS注「サンド」</t>
        </is>
      </c>
      <c r="D707" s="4" t="inlineStr">
        <is>
          <t>卸A</t>
        </is>
      </c>
      <c r="E707" s="4" t="n">
        <v>403</v>
      </c>
      <c r="F707" s="4" t="n">
        <v>3766575</v>
      </c>
    </row>
    <row r="708">
      <c r="A708" s="5" t="inlineStr">
        <is>
          <t>2025-07</t>
        </is>
      </c>
      <c r="B708" s="5" t="inlineStr">
        <is>
          <t>SKU0302</t>
        </is>
      </c>
      <c r="C708" s="5" t="inlineStr">
        <is>
          <t>フィルグラスチムBS注「サンド」</t>
        </is>
      </c>
      <c r="D708" s="5" t="inlineStr">
        <is>
          <t>卸B</t>
        </is>
      </c>
      <c r="E708" s="5" t="n">
        <v>250</v>
      </c>
      <c r="F708" s="5" t="n">
        <v>2334263</v>
      </c>
    </row>
    <row r="709">
      <c r="A709" s="4" t="inlineStr">
        <is>
          <t>2025-07</t>
        </is>
      </c>
      <c r="B709" s="4" t="inlineStr">
        <is>
          <t>SKU0302</t>
        </is>
      </c>
      <c r="C709" s="4" t="inlineStr">
        <is>
          <t>フィルグラスチムBS注「サンド」</t>
        </is>
      </c>
      <c r="D709" s="4" t="inlineStr">
        <is>
          <t>卸C</t>
        </is>
      </c>
      <c r="E709" s="4" t="n">
        <v>176</v>
      </c>
      <c r="F709" s="4" t="n">
        <v>1649357</v>
      </c>
    </row>
    <row r="710">
      <c r="A710" s="5" t="inlineStr">
        <is>
          <t>2025-08</t>
        </is>
      </c>
      <c r="B710" s="5" t="inlineStr">
        <is>
          <t>SKU0302</t>
        </is>
      </c>
      <c r="C710" s="5" t="inlineStr">
        <is>
          <t>フィルグラスチムBS注「サンド」</t>
        </is>
      </c>
      <c r="D710" s="5" t="inlineStr">
        <is>
          <t>卸A</t>
        </is>
      </c>
      <c r="E710" s="5" t="n">
        <v>496</v>
      </c>
      <c r="F710" s="5" t="n">
        <v>4633606</v>
      </c>
    </row>
    <row r="711">
      <c r="A711" s="4" t="inlineStr">
        <is>
          <t>2025-08</t>
        </is>
      </c>
      <c r="B711" s="4" t="inlineStr">
        <is>
          <t>SKU0302</t>
        </is>
      </c>
      <c r="C711" s="4" t="inlineStr">
        <is>
          <t>フィルグラスチムBS注「サンド」</t>
        </is>
      </c>
      <c r="D711" s="4" t="inlineStr">
        <is>
          <t>卸B</t>
        </is>
      </c>
      <c r="E711" s="4" t="n">
        <v>338</v>
      </c>
      <c r="F711" s="4" t="n">
        <v>3163021</v>
      </c>
    </row>
    <row r="712">
      <c r="A712" s="5" t="inlineStr">
        <is>
          <t>2025-08</t>
        </is>
      </c>
      <c r="B712" s="5" t="inlineStr">
        <is>
          <t>SKU0302</t>
        </is>
      </c>
      <c r="C712" s="5" t="inlineStr">
        <is>
          <t>フィルグラスチムBS注「サンド」</t>
        </is>
      </c>
      <c r="D712" s="5" t="inlineStr">
        <is>
          <t>卸C</t>
        </is>
      </c>
      <c r="E712" s="5" t="n">
        <v>150</v>
      </c>
      <c r="F712" s="5" t="n">
        <v>1402970</v>
      </c>
    </row>
    <row r="713">
      <c r="A713" s="4" t="inlineStr">
        <is>
          <t>2025-09</t>
        </is>
      </c>
      <c r="B713" s="4" t="inlineStr">
        <is>
          <t>SKU0302</t>
        </is>
      </c>
      <c r="C713" s="4" t="inlineStr">
        <is>
          <t>フィルグラスチムBS注「サンド」</t>
        </is>
      </c>
      <c r="D713" s="4" t="inlineStr">
        <is>
          <t>卸A</t>
        </is>
      </c>
      <c r="E713" s="4" t="n">
        <v>396</v>
      </c>
      <c r="F713" s="4" t="n">
        <v>3706358</v>
      </c>
    </row>
    <row r="714">
      <c r="A714" s="5" t="inlineStr">
        <is>
          <t>2025-09</t>
        </is>
      </c>
      <c r="B714" s="5" t="inlineStr">
        <is>
          <t>SKU0302</t>
        </is>
      </c>
      <c r="C714" s="5" t="inlineStr">
        <is>
          <t>フィルグラスチムBS注「サンド」</t>
        </is>
      </c>
      <c r="D714" s="5" t="inlineStr">
        <is>
          <t>卸B</t>
        </is>
      </c>
      <c r="E714" s="5" t="n">
        <v>261</v>
      </c>
      <c r="F714" s="5" t="n">
        <v>2443104</v>
      </c>
    </row>
    <row r="715">
      <c r="A715" s="4" t="inlineStr">
        <is>
          <t>2025-09</t>
        </is>
      </c>
      <c r="B715" s="4" t="inlineStr">
        <is>
          <t>SKU0302</t>
        </is>
      </c>
      <c r="C715" s="4" t="inlineStr">
        <is>
          <t>フィルグラスチムBS注「サンド」</t>
        </is>
      </c>
      <c r="D715" s="4" t="inlineStr">
        <is>
          <t>卸C</t>
        </is>
      </c>
      <c r="E715" s="4" t="n">
        <v>180</v>
      </c>
      <c r="F715" s="4" t="n">
        <v>1686076</v>
      </c>
    </row>
    <row r="716">
      <c r="A716" s="5" t="inlineStr">
        <is>
          <t>2025-10</t>
        </is>
      </c>
      <c r="B716" s="5" t="inlineStr">
        <is>
          <t>SKU0302</t>
        </is>
      </c>
      <c r="C716" s="5" t="inlineStr">
        <is>
          <t>フィルグラスチムBS注「サンド」</t>
        </is>
      </c>
      <c r="D716" s="5" t="inlineStr">
        <is>
          <t>卸A</t>
        </is>
      </c>
      <c r="E716" s="5" t="n">
        <v>466</v>
      </c>
      <c r="F716" s="5" t="n">
        <v>4352450</v>
      </c>
    </row>
    <row r="717">
      <c r="A717" s="4" t="inlineStr">
        <is>
          <t>2025-10</t>
        </is>
      </c>
      <c r="B717" s="4" t="inlineStr">
        <is>
          <t>SKU0302</t>
        </is>
      </c>
      <c r="C717" s="4" t="inlineStr">
        <is>
          <t>フィルグラスチムBS注「サンド」</t>
        </is>
      </c>
      <c r="D717" s="4" t="inlineStr">
        <is>
          <t>卸B</t>
        </is>
      </c>
      <c r="E717" s="4" t="n">
        <v>306</v>
      </c>
      <c r="F717" s="4" t="n">
        <v>2860268</v>
      </c>
    </row>
    <row r="718">
      <c r="A718" s="5" t="inlineStr">
        <is>
          <t>2025-10</t>
        </is>
      </c>
      <c r="B718" s="5" t="inlineStr">
        <is>
          <t>SKU0302</t>
        </is>
      </c>
      <c r="C718" s="5" t="inlineStr">
        <is>
          <t>フィルグラスチムBS注「サンド」</t>
        </is>
      </c>
      <c r="D718" s="5" t="inlineStr">
        <is>
          <t>卸C</t>
        </is>
      </c>
      <c r="E718" s="5" t="n">
        <v>146</v>
      </c>
      <c r="F718" s="5" t="n">
        <v>1362705</v>
      </c>
    </row>
    <row r="719">
      <c r="A719" s="4" t="inlineStr">
        <is>
          <t>2025-11</t>
        </is>
      </c>
      <c r="B719" s="4" t="inlineStr">
        <is>
          <t>SKU0302</t>
        </is>
      </c>
      <c r="C719" s="4" t="inlineStr">
        <is>
          <t>フィルグラスチムBS注「サンド」</t>
        </is>
      </c>
      <c r="D719" s="4" t="inlineStr">
        <is>
          <t>卸A</t>
        </is>
      </c>
      <c r="E719" s="4" t="n">
        <v>449</v>
      </c>
      <c r="F719" s="4" t="n">
        <v>4201333</v>
      </c>
    </row>
    <row r="720">
      <c r="A720" s="5" t="inlineStr">
        <is>
          <t>2025-11</t>
        </is>
      </c>
      <c r="B720" s="5" t="inlineStr">
        <is>
          <t>SKU0302</t>
        </is>
      </c>
      <c r="C720" s="5" t="inlineStr">
        <is>
          <t>フィルグラスチムBS注「サンド」</t>
        </is>
      </c>
      <c r="D720" s="5" t="inlineStr">
        <is>
          <t>卸B</t>
        </is>
      </c>
      <c r="E720" s="5" t="n">
        <v>195</v>
      </c>
      <c r="F720" s="5" t="n">
        <v>1818777</v>
      </c>
    </row>
    <row r="721">
      <c r="A721" s="4" t="inlineStr">
        <is>
          <t>2025-11</t>
        </is>
      </c>
      <c r="B721" s="4" t="inlineStr">
        <is>
          <t>SKU0302</t>
        </is>
      </c>
      <c r="C721" s="4" t="inlineStr">
        <is>
          <t>フィルグラスチムBS注「サンド」</t>
        </is>
      </c>
      <c r="D721" s="4" t="inlineStr">
        <is>
          <t>卸C</t>
        </is>
      </c>
      <c r="E721" s="4" t="n">
        <v>141</v>
      </c>
      <c r="F721" s="4" t="n">
        <v>1316969</v>
      </c>
    </row>
    <row r="722">
      <c r="A722" s="5" t="inlineStr">
        <is>
          <t>2025-12</t>
        </is>
      </c>
      <c r="B722" s="5" t="inlineStr">
        <is>
          <t>SKU0302</t>
        </is>
      </c>
      <c r="C722" s="5" t="inlineStr">
        <is>
          <t>フィルグラスチムBS注「サンド」</t>
        </is>
      </c>
      <c r="D722" s="5" t="inlineStr">
        <is>
          <t>卸A</t>
        </is>
      </c>
      <c r="E722" s="5" t="n">
        <v>512</v>
      </c>
      <c r="F722" s="5" t="n">
        <v>4789193</v>
      </c>
    </row>
    <row r="723">
      <c r="A723" s="4" t="inlineStr">
        <is>
          <t>2025-12</t>
        </is>
      </c>
      <c r="B723" s="4" t="inlineStr">
        <is>
          <t>SKU0302</t>
        </is>
      </c>
      <c r="C723" s="4" t="inlineStr">
        <is>
          <t>フィルグラスチムBS注「サンド」</t>
        </is>
      </c>
      <c r="D723" s="4" t="inlineStr">
        <is>
          <t>卸B</t>
        </is>
      </c>
      <c r="E723" s="4" t="n">
        <v>345</v>
      </c>
      <c r="F723" s="4" t="n">
        <v>3221409</v>
      </c>
    </row>
    <row r="724">
      <c r="A724" s="5" t="inlineStr">
        <is>
          <t>2025-12</t>
        </is>
      </c>
      <c r="B724" s="5" t="inlineStr">
        <is>
          <t>SKU0302</t>
        </is>
      </c>
      <c r="C724" s="5" t="inlineStr">
        <is>
          <t>フィルグラスチムBS注「サンド」</t>
        </is>
      </c>
      <c r="D724" s="5" t="inlineStr">
        <is>
          <t>卸C</t>
        </is>
      </c>
      <c r="E724" s="5" t="n">
        <v>172</v>
      </c>
      <c r="F724" s="5" t="n">
        <v>1605310</v>
      </c>
    </row>
    <row r="725">
      <c r="A725" s="4" t="inlineStr">
        <is>
          <t>2026-01</t>
        </is>
      </c>
      <c r="B725" s="4" t="inlineStr">
        <is>
          <t>SKU0302</t>
        </is>
      </c>
      <c r="C725" s="4" t="inlineStr">
        <is>
          <t>フィルグラスチムBS注「サンド」</t>
        </is>
      </c>
      <c r="D725" s="4" t="inlineStr">
        <is>
          <t>卸A</t>
        </is>
      </c>
      <c r="E725" s="4" t="n">
        <v>414</v>
      </c>
      <c r="F725" s="4" t="n">
        <v>3875071</v>
      </c>
    </row>
    <row r="726">
      <c r="A726" s="5" t="inlineStr">
        <is>
          <t>2026-01</t>
        </is>
      </c>
      <c r="B726" s="5" t="inlineStr">
        <is>
          <t>SKU0302</t>
        </is>
      </c>
      <c r="C726" s="5" t="inlineStr">
        <is>
          <t>フィルグラスチムBS注「サンド」</t>
        </is>
      </c>
      <c r="D726" s="5" t="inlineStr">
        <is>
          <t>卸B</t>
        </is>
      </c>
      <c r="E726" s="5" t="n">
        <v>339</v>
      </c>
      <c r="F726" s="5" t="n">
        <v>3170114</v>
      </c>
    </row>
    <row r="727">
      <c r="A727" s="4" t="inlineStr">
        <is>
          <t>2026-01</t>
        </is>
      </c>
      <c r="B727" s="4" t="inlineStr">
        <is>
          <t>SKU0302</t>
        </is>
      </c>
      <c r="C727" s="4" t="inlineStr">
        <is>
          <t>フィルグラスチムBS注「サンド」</t>
        </is>
      </c>
      <c r="D727" s="4" t="inlineStr">
        <is>
          <t>卸C</t>
        </is>
      </c>
      <c r="E727" s="4" t="n">
        <v>196</v>
      </c>
      <c r="F727" s="4" t="n">
        <v>1831228</v>
      </c>
    </row>
    <row r="728">
      <c r="A728" s="5" t="inlineStr">
        <is>
          <t>2026-02</t>
        </is>
      </c>
      <c r="B728" s="5" t="inlineStr">
        <is>
          <t>SKU0302</t>
        </is>
      </c>
      <c r="C728" s="5" t="inlineStr">
        <is>
          <t>フィルグラスチムBS注「サンド」</t>
        </is>
      </c>
      <c r="D728" s="5" t="inlineStr">
        <is>
          <t>卸A</t>
        </is>
      </c>
      <c r="E728" s="5" t="n">
        <v>438</v>
      </c>
      <c r="F728" s="5" t="n">
        <v>4091091</v>
      </c>
    </row>
    <row r="729">
      <c r="A729" s="4" t="inlineStr">
        <is>
          <t>2026-02</t>
        </is>
      </c>
      <c r="B729" s="4" t="inlineStr">
        <is>
          <t>SKU0302</t>
        </is>
      </c>
      <c r="C729" s="4" t="inlineStr">
        <is>
          <t>フィルグラスチムBS注「サンド」</t>
        </is>
      </c>
      <c r="D729" s="4" t="inlineStr">
        <is>
          <t>卸B</t>
        </is>
      </c>
      <c r="E729" s="4" t="n">
        <v>259</v>
      </c>
      <c r="F729" s="4" t="n">
        <v>2419191</v>
      </c>
    </row>
    <row r="730">
      <c r="A730" s="5" t="inlineStr">
        <is>
          <t>2026-02</t>
        </is>
      </c>
      <c r="B730" s="5" t="inlineStr">
        <is>
          <t>SKU0302</t>
        </is>
      </c>
      <c r="C730" s="5" t="inlineStr">
        <is>
          <t>フィルグラスチムBS注「サンド」</t>
        </is>
      </c>
      <c r="D730" s="5" t="inlineStr">
        <is>
          <t>卸C</t>
        </is>
      </c>
      <c r="E730" s="5" t="n">
        <v>147</v>
      </c>
      <c r="F730" s="5" t="n">
        <v>1376647</v>
      </c>
    </row>
    <row r="731">
      <c r="A731" s="4" t="inlineStr">
        <is>
          <t>2026-03</t>
        </is>
      </c>
      <c r="B731" s="4" t="inlineStr">
        <is>
          <t>SKU0302</t>
        </is>
      </c>
      <c r="C731" s="4" t="inlineStr">
        <is>
          <t>フィルグラスチムBS注「サンド」</t>
        </is>
      </c>
      <c r="D731" s="4" t="inlineStr">
        <is>
          <t>卸A</t>
        </is>
      </c>
      <c r="E731" s="4" t="n">
        <v>568</v>
      </c>
      <c r="F731" s="4" t="n">
        <v>5310429</v>
      </c>
    </row>
    <row r="732">
      <c r="A732" s="5" t="inlineStr">
        <is>
          <t>2026-03</t>
        </is>
      </c>
      <c r="B732" s="5" t="inlineStr">
        <is>
          <t>SKU0302</t>
        </is>
      </c>
      <c r="C732" s="5" t="inlineStr">
        <is>
          <t>フィルグラスチムBS注「サンド」</t>
        </is>
      </c>
      <c r="D732" s="5" t="inlineStr">
        <is>
          <t>卸B</t>
        </is>
      </c>
      <c r="E732" s="5" t="n">
        <v>407</v>
      </c>
      <c r="F732" s="5" t="n">
        <v>3805303</v>
      </c>
    </row>
    <row r="733">
      <c r="A733" s="4" t="inlineStr">
        <is>
          <t>2026-03</t>
        </is>
      </c>
      <c r="B733" s="4" t="inlineStr">
        <is>
          <t>SKU0302</t>
        </is>
      </c>
      <c r="C733" s="4" t="inlineStr">
        <is>
          <t>フィルグラスチムBS注「サンド」</t>
        </is>
      </c>
      <c r="D733" s="4" t="inlineStr">
        <is>
          <t>卸C</t>
        </is>
      </c>
      <c r="E733" s="4" t="n">
        <v>241</v>
      </c>
      <c r="F733" s="4" t="n">
        <v>2250415</v>
      </c>
    </row>
    <row r="734">
      <c r="A734" s="5" t="inlineStr">
        <is>
          <t>2026-04</t>
        </is>
      </c>
      <c r="B734" s="5" t="inlineStr">
        <is>
          <t>SKU0302</t>
        </is>
      </c>
      <c r="C734" s="5" t="inlineStr">
        <is>
          <t>フィルグラスチムBS注「サンド」</t>
        </is>
      </c>
      <c r="D734" s="5" t="inlineStr">
        <is>
          <t>卸A</t>
        </is>
      </c>
      <c r="E734" s="5" t="n">
        <v>265</v>
      </c>
      <c r="F734" s="5" t="n">
        <v>2326677</v>
      </c>
    </row>
    <row r="735">
      <c r="A735" s="4" t="inlineStr">
        <is>
          <t>2026-04</t>
        </is>
      </c>
      <c r="B735" s="4" t="inlineStr">
        <is>
          <t>SKU0302</t>
        </is>
      </c>
      <c r="C735" s="4" t="inlineStr">
        <is>
          <t>フィルグラスチムBS注「サンド」</t>
        </is>
      </c>
      <c r="D735" s="4" t="inlineStr">
        <is>
          <t>卸B</t>
        </is>
      </c>
      <c r="E735" s="4" t="n">
        <v>94</v>
      </c>
      <c r="F735" s="4" t="n">
        <v>827765</v>
      </c>
    </row>
    <row r="736">
      <c r="A736" s="5" t="inlineStr">
        <is>
          <t>2026-04</t>
        </is>
      </c>
      <c r="B736" s="5" t="inlineStr">
        <is>
          <t>SKU0302</t>
        </is>
      </c>
      <c r="C736" s="5" t="inlineStr">
        <is>
          <t>フィルグラスチムBS注「サンド」</t>
        </is>
      </c>
      <c r="D736" s="5" t="inlineStr">
        <is>
          <t>卸C</t>
        </is>
      </c>
      <c r="E736" s="5" t="n">
        <v>33</v>
      </c>
      <c r="F736" s="5" t="n">
        <v>285931</v>
      </c>
    </row>
    <row r="737">
      <c r="A737" s="4" t="inlineStr">
        <is>
          <t>2026-05</t>
        </is>
      </c>
      <c r="B737" s="4" t="inlineStr">
        <is>
          <t>SKU0302</t>
        </is>
      </c>
      <c r="C737" s="4" t="inlineStr">
        <is>
          <t>フィルグラスチムBS注「サンド」</t>
        </is>
      </c>
      <c r="D737" s="4" t="inlineStr">
        <is>
          <t>卸A</t>
        </is>
      </c>
      <c r="E737" s="4" t="n">
        <v>533</v>
      </c>
      <c r="F737" s="4" t="n">
        <v>4683931</v>
      </c>
    </row>
    <row r="738">
      <c r="A738" s="5" t="inlineStr">
        <is>
          <t>2026-05</t>
        </is>
      </c>
      <c r="B738" s="5" t="inlineStr">
        <is>
          <t>SKU0302</t>
        </is>
      </c>
      <c r="C738" s="5" t="inlineStr">
        <is>
          <t>フィルグラスチムBS注「サンド」</t>
        </is>
      </c>
      <c r="D738" s="5" t="inlineStr">
        <is>
          <t>卸B</t>
        </is>
      </c>
      <c r="E738" s="5" t="n">
        <v>365</v>
      </c>
      <c r="F738" s="5" t="n">
        <v>3211621</v>
      </c>
    </row>
    <row r="739">
      <c r="A739" s="4" t="inlineStr">
        <is>
          <t>2026-05</t>
        </is>
      </c>
      <c r="B739" s="4" t="inlineStr">
        <is>
          <t>SKU0302</t>
        </is>
      </c>
      <c r="C739" s="4" t="inlineStr">
        <is>
          <t>フィルグラスチムBS注「サンド」</t>
        </is>
      </c>
      <c r="D739" s="4" t="inlineStr">
        <is>
          <t>卸C</t>
        </is>
      </c>
      <c r="E739" s="4" t="n">
        <v>189</v>
      </c>
      <c r="F739" s="4" t="n">
        <v>1663413</v>
      </c>
    </row>
    <row r="740">
      <c r="A740" s="5" t="inlineStr">
        <is>
          <t>2023-01</t>
        </is>
      </c>
      <c r="B740" s="5" t="inlineStr">
        <is>
          <t>SKU0401</t>
        </is>
      </c>
      <c r="C740" s="5" t="inlineStr">
        <is>
          <t>インフリキシマブBS点滴静注用「サンド」</t>
        </is>
      </c>
      <c r="D740" s="5" t="inlineStr">
        <is>
          <t>卸A</t>
        </is>
      </c>
      <c r="E740" s="5" t="n">
        <v>2</v>
      </c>
      <c r="F740" s="5" t="n">
        <v>79731</v>
      </c>
    </row>
    <row r="741">
      <c r="A741" s="4" t="inlineStr">
        <is>
          <t>2023-01</t>
        </is>
      </c>
      <c r="B741" s="4" t="inlineStr">
        <is>
          <t>SKU0401</t>
        </is>
      </c>
      <c r="C741" s="4" t="inlineStr">
        <is>
          <t>インフリキシマブBS点滴静注用「サンド」</t>
        </is>
      </c>
      <c r="D741" s="4" t="inlineStr">
        <is>
          <t>卸B</t>
        </is>
      </c>
      <c r="E741" s="4" t="n">
        <v>1</v>
      </c>
      <c r="F741" s="4" t="n">
        <v>47894</v>
      </c>
    </row>
    <row r="742">
      <c r="A742" s="5" t="inlineStr">
        <is>
          <t>2023-01</t>
        </is>
      </c>
      <c r="B742" s="5" t="inlineStr">
        <is>
          <t>SKU0401</t>
        </is>
      </c>
      <c r="C742" s="5" t="inlineStr">
        <is>
          <t>インフリキシマブBS点滴静注用「サンド」</t>
        </is>
      </c>
      <c r="D742" s="5" t="inlineStr">
        <is>
          <t>卸C</t>
        </is>
      </c>
      <c r="E742" s="5" t="n">
        <v>1</v>
      </c>
      <c r="F742" s="5" t="n">
        <v>27235</v>
      </c>
    </row>
    <row r="743">
      <c r="A743" s="4" t="inlineStr">
        <is>
          <t>2023-02</t>
        </is>
      </c>
      <c r="B743" s="4" t="inlineStr">
        <is>
          <t>SKU0401</t>
        </is>
      </c>
      <c r="C743" s="4" t="inlineStr">
        <is>
          <t>インフリキシマブBS点滴静注用「サンド」</t>
        </is>
      </c>
      <c r="D743" s="4" t="inlineStr">
        <is>
          <t>卸A</t>
        </is>
      </c>
      <c r="E743" s="4" t="n">
        <v>10</v>
      </c>
      <c r="F743" s="4" t="n">
        <v>368488</v>
      </c>
    </row>
    <row r="744">
      <c r="A744" s="5" t="inlineStr">
        <is>
          <t>2023-02</t>
        </is>
      </c>
      <c r="B744" s="5" t="inlineStr">
        <is>
          <t>SKU0401</t>
        </is>
      </c>
      <c r="C744" s="5" t="inlineStr">
        <is>
          <t>インフリキシマブBS点滴静注用「サンド」</t>
        </is>
      </c>
      <c r="D744" s="5" t="inlineStr">
        <is>
          <t>卸B</t>
        </is>
      </c>
      <c r="E744" s="5" t="n">
        <v>7</v>
      </c>
      <c r="F744" s="5" t="n">
        <v>267158</v>
      </c>
    </row>
    <row r="745">
      <c r="A745" s="4" t="inlineStr">
        <is>
          <t>2023-02</t>
        </is>
      </c>
      <c r="B745" s="4" t="inlineStr">
        <is>
          <t>SKU0401</t>
        </is>
      </c>
      <c r="C745" s="4" t="inlineStr">
        <is>
          <t>インフリキシマブBS点滴静注用「サンド」</t>
        </is>
      </c>
      <c r="D745" s="4" t="inlineStr">
        <is>
          <t>卸C</t>
        </is>
      </c>
      <c r="E745" s="4" t="n">
        <v>4</v>
      </c>
      <c r="F745" s="4" t="n">
        <v>161107</v>
      </c>
    </row>
    <row r="746">
      <c r="A746" s="5" t="inlineStr">
        <is>
          <t>2023-03</t>
        </is>
      </c>
      <c r="B746" s="5" t="inlineStr">
        <is>
          <t>SKU0401</t>
        </is>
      </c>
      <c r="C746" s="5" t="inlineStr">
        <is>
          <t>インフリキシマブBS点滴静注用「サンド」</t>
        </is>
      </c>
      <c r="D746" s="5" t="inlineStr">
        <is>
          <t>卸A</t>
        </is>
      </c>
      <c r="E746" s="5" t="n">
        <v>6</v>
      </c>
      <c r="F746" s="5" t="n">
        <v>203126</v>
      </c>
    </row>
    <row r="747">
      <c r="A747" s="4" t="inlineStr">
        <is>
          <t>2023-03</t>
        </is>
      </c>
      <c r="B747" s="4" t="inlineStr">
        <is>
          <t>SKU0401</t>
        </is>
      </c>
      <c r="C747" s="4" t="inlineStr">
        <is>
          <t>インフリキシマブBS点滴静注用「サンド」</t>
        </is>
      </c>
      <c r="D747" s="4" t="inlineStr">
        <is>
          <t>卸B</t>
        </is>
      </c>
      <c r="E747" s="4" t="n">
        <v>3</v>
      </c>
      <c r="F747" s="4" t="n">
        <v>121063</v>
      </c>
    </row>
    <row r="748">
      <c r="A748" s="5" t="inlineStr">
        <is>
          <t>2023-03</t>
        </is>
      </c>
      <c r="B748" s="5" t="inlineStr">
        <is>
          <t>SKU0401</t>
        </is>
      </c>
      <c r="C748" s="5" t="inlineStr">
        <is>
          <t>インフリキシマブBS点滴静注用「サンド」</t>
        </is>
      </c>
      <c r="D748" s="5" t="inlineStr">
        <is>
          <t>卸C</t>
        </is>
      </c>
      <c r="E748" s="5" t="n">
        <v>2</v>
      </c>
      <c r="F748" s="5" t="n">
        <v>75539</v>
      </c>
    </row>
    <row r="749">
      <c r="A749" s="4" t="inlineStr">
        <is>
          <t>2023-04</t>
        </is>
      </c>
      <c r="B749" s="4" t="inlineStr">
        <is>
          <t>SKU0401</t>
        </is>
      </c>
      <c r="C749" s="4" t="inlineStr">
        <is>
          <t>インフリキシマブBS点滴静注用「サンド」</t>
        </is>
      </c>
      <c r="D749" s="4" t="inlineStr">
        <is>
          <t>卸A</t>
        </is>
      </c>
      <c r="E749" s="4" t="n">
        <v>10</v>
      </c>
      <c r="F749" s="4" t="n">
        <v>344898</v>
      </c>
    </row>
    <row r="750">
      <c r="A750" s="5" t="inlineStr">
        <is>
          <t>2023-04</t>
        </is>
      </c>
      <c r="B750" s="5" t="inlineStr">
        <is>
          <t>SKU0401</t>
        </is>
      </c>
      <c r="C750" s="5" t="inlineStr">
        <is>
          <t>インフリキシマブBS点滴静注用「サンド」</t>
        </is>
      </c>
      <c r="D750" s="5" t="inlineStr">
        <is>
          <t>卸B</t>
        </is>
      </c>
      <c r="E750" s="5" t="n">
        <v>8</v>
      </c>
      <c r="F750" s="5" t="n">
        <v>287547</v>
      </c>
    </row>
    <row r="751">
      <c r="A751" s="4" t="inlineStr">
        <is>
          <t>2023-04</t>
        </is>
      </c>
      <c r="B751" s="4" t="inlineStr">
        <is>
          <t>SKU0401</t>
        </is>
      </c>
      <c r="C751" s="4" t="inlineStr">
        <is>
          <t>インフリキシマブBS点滴静注用「サンド」</t>
        </is>
      </c>
      <c r="D751" s="4" t="inlineStr">
        <is>
          <t>卸C</t>
        </is>
      </c>
      <c r="E751" s="4" t="n">
        <v>4</v>
      </c>
      <c r="F751" s="4" t="n">
        <v>149949</v>
      </c>
    </row>
    <row r="752">
      <c r="A752" s="5" t="inlineStr">
        <is>
          <t>2023-05</t>
        </is>
      </c>
      <c r="B752" s="5" t="inlineStr">
        <is>
          <t>SKU0401</t>
        </is>
      </c>
      <c r="C752" s="5" t="inlineStr">
        <is>
          <t>インフリキシマブBS点滴静注用「サンド」</t>
        </is>
      </c>
      <c r="D752" s="5" t="inlineStr">
        <is>
          <t>卸A</t>
        </is>
      </c>
      <c r="E752" s="5" t="n">
        <v>10</v>
      </c>
      <c r="F752" s="5" t="n">
        <v>357744</v>
      </c>
    </row>
    <row r="753">
      <c r="A753" s="4" t="inlineStr">
        <is>
          <t>2023-05</t>
        </is>
      </c>
      <c r="B753" s="4" t="inlineStr">
        <is>
          <t>SKU0401</t>
        </is>
      </c>
      <c r="C753" s="4" t="inlineStr">
        <is>
          <t>インフリキシマブBS点滴静注用「サンド」</t>
        </is>
      </c>
      <c r="D753" s="4" t="inlineStr">
        <is>
          <t>卸B</t>
        </is>
      </c>
      <c r="E753" s="4" t="n">
        <v>7</v>
      </c>
      <c r="F753" s="4" t="n">
        <v>252640</v>
      </c>
    </row>
    <row r="754">
      <c r="A754" s="5" t="inlineStr">
        <is>
          <t>2023-05</t>
        </is>
      </c>
      <c r="B754" s="5" t="inlineStr">
        <is>
          <t>SKU0401</t>
        </is>
      </c>
      <c r="C754" s="5" t="inlineStr">
        <is>
          <t>インフリキシマブBS点滴静注用「サンド」</t>
        </is>
      </c>
      <c r="D754" s="5" t="inlineStr">
        <is>
          <t>卸C</t>
        </is>
      </c>
      <c r="E754" s="5" t="n">
        <v>4</v>
      </c>
      <c r="F754" s="5" t="n">
        <v>143198</v>
      </c>
    </row>
    <row r="755">
      <c r="A755" s="4" t="inlineStr">
        <is>
          <t>2023-06</t>
        </is>
      </c>
      <c r="B755" s="4" t="inlineStr">
        <is>
          <t>SKU0401</t>
        </is>
      </c>
      <c r="C755" s="4" t="inlineStr">
        <is>
          <t>インフリキシマブBS点滴静注用「サンド」</t>
        </is>
      </c>
      <c r="D755" s="4" t="inlineStr">
        <is>
          <t>卸A</t>
        </is>
      </c>
      <c r="E755" s="4" t="n">
        <v>18</v>
      </c>
      <c r="F755" s="4" t="n">
        <v>641735</v>
      </c>
    </row>
    <row r="756">
      <c r="A756" s="5" t="inlineStr">
        <is>
          <t>2023-06</t>
        </is>
      </c>
      <c r="B756" s="5" t="inlineStr">
        <is>
          <t>SKU0401</t>
        </is>
      </c>
      <c r="C756" s="5" t="inlineStr">
        <is>
          <t>インフリキシマブBS点滴静注用「サンド」</t>
        </is>
      </c>
      <c r="D756" s="5" t="inlineStr">
        <is>
          <t>卸B</t>
        </is>
      </c>
      <c r="E756" s="5" t="n">
        <v>12</v>
      </c>
      <c r="F756" s="5" t="n">
        <v>425726</v>
      </c>
    </row>
    <row r="757">
      <c r="A757" s="4" t="inlineStr">
        <is>
          <t>2023-06</t>
        </is>
      </c>
      <c r="B757" s="4" t="inlineStr">
        <is>
          <t>SKU0401</t>
        </is>
      </c>
      <c r="C757" s="4" t="inlineStr">
        <is>
          <t>インフリキシマブBS点滴静注用「サンド」</t>
        </is>
      </c>
      <c r="D757" s="4" t="inlineStr">
        <is>
          <t>卸C</t>
        </is>
      </c>
      <c r="E757" s="4" t="n">
        <v>7</v>
      </c>
      <c r="F757" s="4" t="n">
        <v>237564</v>
      </c>
    </row>
    <row r="758">
      <c r="A758" s="5" t="inlineStr">
        <is>
          <t>2023-07</t>
        </is>
      </c>
      <c r="B758" s="5" t="inlineStr">
        <is>
          <t>SKU0401</t>
        </is>
      </c>
      <c r="C758" s="5" t="inlineStr">
        <is>
          <t>インフリキシマブBS点滴静注用「サンド」</t>
        </is>
      </c>
      <c r="D758" s="5" t="inlineStr">
        <is>
          <t>卸A</t>
        </is>
      </c>
      <c r="E758" s="5" t="n">
        <v>12</v>
      </c>
      <c r="F758" s="5" t="n">
        <v>415429</v>
      </c>
    </row>
    <row r="759">
      <c r="A759" s="4" t="inlineStr">
        <is>
          <t>2023-07</t>
        </is>
      </c>
      <c r="B759" s="4" t="inlineStr">
        <is>
          <t>SKU0401</t>
        </is>
      </c>
      <c r="C759" s="4" t="inlineStr">
        <is>
          <t>インフリキシマブBS点滴静注用「サンド」</t>
        </is>
      </c>
      <c r="D759" s="4" t="inlineStr">
        <is>
          <t>卸B</t>
        </is>
      </c>
      <c r="E759" s="4" t="n">
        <v>7</v>
      </c>
      <c r="F759" s="4" t="n">
        <v>266160</v>
      </c>
    </row>
    <row r="760">
      <c r="A760" s="5" t="inlineStr">
        <is>
          <t>2023-07</t>
        </is>
      </c>
      <c r="B760" s="5" t="inlineStr">
        <is>
          <t>SKU0401</t>
        </is>
      </c>
      <c r="C760" s="5" t="inlineStr">
        <is>
          <t>インフリキシマブBS点滴静注用「サンド」</t>
        </is>
      </c>
      <c r="D760" s="5" t="inlineStr">
        <is>
          <t>卸C</t>
        </is>
      </c>
      <c r="E760" s="5" t="n">
        <v>4</v>
      </c>
      <c r="F760" s="5" t="n">
        <v>138285</v>
      </c>
    </row>
    <row r="761">
      <c r="A761" s="4" t="inlineStr">
        <is>
          <t>2023-08</t>
        </is>
      </c>
      <c r="B761" s="4" t="inlineStr">
        <is>
          <t>SKU0401</t>
        </is>
      </c>
      <c r="C761" s="4" t="inlineStr">
        <is>
          <t>インフリキシマブBS点滴静注用「サンド」</t>
        </is>
      </c>
      <c r="D761" s="4" t="inlineStr">
        <is>
          <t>卸A</t>
        </is>
      </c>
      <c r="E761" s="4" t="n">
        <v>20</v>
      </c>
      <c r="F761" s="4" t="n">
        <v>707660</v>
      </c>
    </row>
    <row r="762">
      <c r="A762" s="5" t="inlineStr">
        <is>
          <t>2023-08</t>
        </is>
      </c>
      <c r="B762" s="5" t="inlineStr">
        <is>
          <t>SKU0401</t>
        </is>
      </c>
      <c r="C762" s="5" t="inlineStr">
        <is>
          <t>インフリキシマブBS点滴静注用「サンド」</t>
        </is>
      </c>
      <c r="D762" s="5" t="inlineStr">
        <is>
          <t>卸B</t>
        </is>
      </c>
      <c r="E762" s="5" t="n">
        <v>13</v>
      </c>
      <c r="F762" s="5" t="n">
        <v>450516</v>
      </c>
    </row>
    <row r="763">
      <c r="A763" s="4" t="inlineStr">
        <is>
          <t>2023-08</t>
        </is>
      </c>
      <c r="B763" s="4" t="inlineStr">
        <is>
          <t>SKU0401</t>
        </is>
      </c>
      <c r="C763" s="4" t="inlineStr">
        <is>
          <t>インフリキシマブBS点滴静注用「サンド」</t>
        </is>
      </c>
      <c r="D763" s="4" t="inlineStr">
        <is>
          <t>卸C</t>
        </is>
      </c>
      <c r="E763" s="4" t="n">
        <v>8</v>
      </c>
      <c r="F763" s="4" t="n">
        <v>282674</v>
      </c>
    </row>
    <row r="764">
      <c r="A764" s="5" t="inlineStr">
        <is>
          <t>2023-09</t>
        </is>
      </c>
      <c r="B764" s="5" t="inlineStr">
        <is>
          <t>SKU0401</t>
        </is>
      </c>
      <c r="C764" s="5" t="inlineStr">
        <is>
          <t>インフリキシマブBS点滴静注用「サンド」</t>
        </is>
      </c>
      <c r="D764" s="5" t="inlineStr">
        <is>
          <t>卸A</t>
        </is>
      </c>
      <c r="E764" s="5" t="n">
        <v>15</v>
      </c>
      <c r="F764" s="5" t="n">
        <v>540455</v>
      </c>
    </row>
    <row r="765">
      <c r="A765" s="4" t="inlineStr">
        <is>
          <t>2023-09</t>
        </is>
      </c>
      <c r="B765" s="4" t="inlineStr">
        <is>
          <t>SKU0401</t>
        </is>
      </c>
      <c r="C765" s="4" t="inlineStr">
        <is>
          <t>インフリキシマブBS点滴静注用「サンド」</t>
        </is>
      </c>
      <c r="D765" s="4" t="inlineStr">
        <is>
          <t>卸B</t>
        </is>
      </c>
      <c r="E765" s="4" t="n">
        <v>11</v>
      </c>
      <c r="F765" s="4" t="n">
        <v>401441</v>
      </c>
    </row>
    <row r="766">
      <c r="A766" s="5" t="inlineStr">
        <is>
          <t>2023-09</t>
        </is>
      </c>
      <c r="B766" s="5" t="inlineStr">
        <is>
          <t>SKU0401</t>
        </is>
      </c>
      <c r="C766" s="5" t="inlineStr">
        <is>
          <t>インフリキシマブBS点滴静注用「サンド」</t>
        </is>
      </c>
      <c r="D766" s="5" t="inlineStr">
        <is>
          <t>卸C</t>
        </is>
      </c>
      <c r="E766" s="5" t="n">
        <v>6</v>
      </c>
      <c r="F766" s="5" t="n">
        <v>225942</v>
      </c>
    </row>
    <row r="767">
      <c r="A767" s="4" t="inlineStr">
        <is>
          <t>2023-10</t>
        </is>
      </c>
      <c r="B767" s="4" t="inlineStr">
        <is>
          <t>SKU0401</t>
        </is>
      </c>
      <c r="C767" s="4" t="inlineStr">
        <is>
          <t>インフリキシマブBS点滴静注用「サンド」</t>
        </is>
      </c>
      <c r="D767" s="4" t="inlineStr">
        <is>
          <t>卸A</t>
        </is>
      </c>
      <c r="E767" s="4" t="n">
        <v>22</v>
      </c>
      <c r="F767" s="4" t="n">
        <v>787173</v>
      </c>
    </row>
    <row r="768">
      <c r="A768" s="5" t="inlineStr">
        <is>
          <t>2023-10</t>
        </is>
      </c>
      <c r="B768" s="5" t="inlineStr">
        <is>
          <t>SKU0401</t>
        </is>
      </c>
      <c r="C768" s="5" t="inlineStr">
        <is>
          <t>インフリキシマブBS点滴静注用「サンド」</t>
        </is>
      </c>
      <c r="D768" s="5" t="inlineStr">
        <is>
          <t>卸B</t>
        </is>
      </c>
      <c r="E768" s="5" t="n">
        <v>14</v>
      </c>
      <c r="F768" s="5" t="n">
        <v>508604</v>
      </c>
    </row>
    <row r="769">
      <c r="A769" s="4" t="inlineStr">
        <is>
          <t>2023-10</t>
        </is>
      </c>
      <c r="B769" s="4" t="inlineStr">
        <is>
          <t>SKU0401</t>
        </is>
      </c>
      <c r="C769" s="4" t="inlineStr">
        <is>
          <t>インフリキシマブBS点滴静注用「サンド」</t>
        </is>
      </c>
      <c r="D769" s="4" t="inlineStr">
        <is>
          <t>卸C</t>
        </is>
      </c>
      <c r="E769" s="4" t="n">
        <v>8</v>
      </c>
      <c r="F769" s="4" t="n">
        <v>302983</v>
      </c>
    </row>
    <row r="770">
      <c r="A770" s="5" t="inlineStr">
        <is>
          <t>2023-11</t>
        </is>
      </c>
      <c r="B770" s="5" t="inlineStr">
        <is>
          <t>SKU0401</t>
        </is>
      </c>
      <c r="C770" s="5" t="inlineStr">
        <is>
          <t>インフリキシマブBS点滴静注用「サンド」</t>
        </is>
      </c>
      <c r="D770" s="5" t="inlineStr">
        <is>
          <t>卸A</t>
        </is>
      </c>
      <c r="E770" s="5" t="n">
        <v>25</v>
      </c>
      <c r="F770" s="5" t="n">
        <v>901256</v>
      </c>
    </row>
    <row r="771">
      <c r="A771" s="4" t="inlineStr">
        <is>
          <t>2023-11</t>
        </is>
      </c>
      <c r="B771" s="4" t="inlineStr">
        <is>
          <t>SKU0401</t>
        </is>
      </c>
      <c r="C771" s="4" t="inlineStr">
        <is>
          <t>インフリキシマブBS点滴静注用「サンド」</t>
        </is>
      </c>
      <c r="D771" s="4" t="inlineStr">
        <is>
          <t>卸B</t>
        </is>
      </c>
      <c r="E771" s="4" t="n">
        <v>17</v>
      </c>
      <c r="F771" s="4" t="n">
        <v>610309</v>
      </c>
    </row>
    <row r="772">
      <c r="A772" s="5" t="inlineStr">
        <is>
          <t>2023-11</t>
        </is>
      </c>
      <c r="B772" s="5" t="inlineStr">
        <is>
          <t>SKU0401</t>
        </is>
      </c>
      <c r="C772" s="5" t="inlineStr">
        <is>
          <t>インフリキシマブBS点滴静注用「サンド」</t>
        </is>
      </c>
      <c r="D772" s="5" t="inlineStr">
        <is>
          <t>卸C</t>
        </is>
      </c>
      <c r="E772" s="5" t="n">
        <v>11</v>
      </c>
      <c r="F772" s="5" t="n">
        <v>383900</v>
      </c>
    </row>
    <row r="773">
      <c r="A773" s="4" t="inlineStr">
        <is>
          <t>2023-12</t>
        </is>
      </c>
      <c r="B773" s="4" t="inlineStr">
        <is>
          <t>SKU0401</t>
        </is>
      </c>
      <c r="C773" s="4" t="inlineStr">
        <is>
          <t>インフリキシマブBS点滴静注用「サンド」</t>
        </is>
      </c>
      <c r="D773" s="4" t="inlineStr">
        <is>
          <t>卸A</t>
        </is>
      </c>
      <c r="E773" s="4" t="n">
        <v>37</v>
      </c>
      <c r="F773" s="4" t="n">
        <v>1325409</v>
      </c>
    </row>
    <row r="774">
      <c r="A774" s="5" t="inlineStr">
        <is>
          <t>2023-12</t>
        </is>
      </c>
      <c r="B774" s="5" t="inlineStr">
        <is>
          <t>SKU0401</t>
        </is>
      </c>
      <c r="C774" s="5" t="inlineStr">
        <is>
          <t>インフリキシマブBS点滴静注用「サンド」</t>
        </is>
      </c>
      <c r="D774" s="5" t="inlineStr">
        <is>
          <t>卸B</t>
        </is>
      </c>
      <c r="E774" s="5" t="n">
        <v>21</v>
      </c>
      <c r="F774" s="5" t="n">
        <v>761969</v>
      </c>
    </row>
    <row r="775">
      <c r="A775" s="4" t="inlineStr">
        <is>
          <t>2023-12</t>
        </is>
      </c>
      <c r="B775" s="4" t="inlineStr">
        <is>
          <t>SKU0401</t>
        </is>
      </c>
      <c r="C775" s="4" t="inlineStr">
        <is>
          <t>インフリキシマブBS点滴静注用「サンド」</t>
        </is>
      </c>
      <c r="D775" s="4" t="inlineStr">
        <is>
          <t>卸C</t>
        </is>
      </c>
      <c r="E775" s="4" t="n">
        <v>13</v>
      </c>
      <c r="F775" s="4" t="n">
        <v>459934</v>
      </c>
    </row>
    <row r="776">
      <c r="A776" s="5" t="inlineStr">
        <is>
          <t>2024-01</t>
        </is>
      </c>
      <c r="B776" s="5" t="inlineStr">
        <is>
          <t>SKU0401</t>
        </is>
      </c>
      <c r="C776" s="5" t="inlineStr">
        <is>
          <t>インフリキシマブBS点滴静注用「サンド」</t>
        </is>
      </c>
      <c r="D776" s="5" t="inlineStr">
        <is>
          <t>卸A</t>
        </is>
      </c>
      <c r="E776" s="5" t="n">
        <v>34</v>
      </c>
      <c r="F776" s="5" t="n">
        <v>1214197</v>
      </c>
    </row>
    <row r="777">
      <c r="A777" s="4" t="inlineStr">
        <is>
          <t>2024-01</t>
        </is>
      </c>
      <c r="B777" s="4" t="inlineStr">
        <is>
          <t>SKU0401</t>
        </is>
      </c>
      <c r="C777" s="4" t="inlineStr">
        <is>
          <t>インフリキシマブBS点滴静注用「サンド」</t>
        </is>
      </c>
      <c r="D777" s="4" t="inlineStr">
        <is>
          <t>卸B</t>
        </is>
      </c>
      <c r="E777" s="4" t="n">
        <v>22</v>
      </c>
      <c r="F777" s="4" t="n">
        <v>780735</v>
      </c>
    </row>
    <row r="778">
      <c r="A778" s="5" t="inlineStr">
        <is>
          <t>2024-01</t>
        </is>
      </c>
      <c r="B778" s="5" t="inlineStr">
        <is>
          <t>SKU0401</t>
        </is>
      </c>
      <c r="C778" s="5" t="inlineStr">
        <is>
          <t>インフリキシマブBS点滴静注用「サンド」</t>
        </is>
      </c>
      <c r="D778" s="5" t="inlineStr">
        <is>
          <t>卸C</t>
        </is>
      </c>
      <c r="E778" s="5" t="n">
        <v>10</v>
      </c>
      <c r="F778" s="5" t="n">
        <v>349206</v>
      </c>
    </row>
    <row r="779">
      <c r="A779" s="4" t="inlineStr">
        <is>
          <t>2024-02</t>
        </is>
      </c>
      <c r="B779" s="4" t="inlineStr">
        <is>
          <t>SKU0401</t>
        </is>
      </c>
      <c r="C779" s="4" t="inlineStr">
        <is>
          <t>インフリキシマブBS点滴静注用「サンド」</t>
        </is>
      </c>
      <c r="D779" s="4" t="inlineStr">
        <is>
          <t>卸A</t>
        </is>
      </c>
      <c r="E779" s="4" t="n">
        <v>43</v>
      </c>
      <c r="F779" s="4" t="n">
        <v>1544564</v>
      </c>
    </row>
    <row r="780">
      <c r="A780" s="5" t="inlineStr">
        <is>
          <t>2024-02</t>
        </is>
      </c>
      <c r="B780" s="5" t="inlineStr">
        <is>
          <t>SKU0401</t>
        </is>
      </c>
      <c r="C780" s="5" t="inlineStr">
        <is>
          <t>インフリキシマブBS点滴静注用「サンド」</t>
        </is>
      </c>
      <c r="D780" s="5" t="inlineStr">
        <is>
          <t>卸B</t>
        </is>
      </c>
      <c r="E780" s="5" t="n">
        <v>28</v>
      </c>
      <c r="F780" s="5" t="n">
        <v>993645</v>
      </c>
    </row>
    <row r="781">
      <c r="A781" s="4" t="inlineStr">
        <is>
          <t>2024-02</t>
        </is>
      </c>
      <c r="B781" s="4" t="inlineStr">
        <is>
          <t>SKU0401</t>
        </is>
      </c>
      <c r="C781" s="4" t="inlineStr">
        <is>
          <t>インフリキシマブBS点滴静注用「サンド」</t>
        </is>
      </c>
      <c r="D781" s="4" t="inlineStr">
        <is>
          <t>卸C</t>
        </is>
      </c>
      <c r="E781" s="4" t="n">
        <v>21</v>
      </c>
      <c r="F781" s="4" t="n">
        <v>747562</v>
      </c>
    </row>
    <row r="782">
      <c r="A782" s="5" t="inlineStr">
        <is>
          <t>2024-03</t>
        </is>
      </c>
      <c r="B782" s="5" t="inlineStr">
        <is>
          <t>SKU0401</t>
        </is>
      </c>
      <c r="C782" s="5" t="inlineStr">
        <is>
          <t>インフリキシマブBS点滴静注用「サンド」</t>
        </is>
      </c>
      <c r="D782" s="5" t="inlineStr">
        <is>
          <t>卸A</t>
        </is>
      </c>
      <c r="E782" s="5" t="n">
        <v>43</v>
      </c>
      <c r="F782" s="5" t="n">
        <v>1554635</v>
      </c>
    </row>
    <row r="783">
      <c r="A783" s="4" t="inlineStr">
        <is>
          <t>2024-03</t>
        </is>
      </c>
      <c r="B783" s="4" t="inlineStr">
        <is>
          <t>SKU0401</t>
        </is>
      </c>
      <c r="C783" s="4" t="inlineStr">
        <is>
          <t>インフリキシマブBS点滴静注用「サンド」</t>
        </is>
      </c>
      <c r="D783" s="4" t="inlineStr">
        <is>
          <t>卸B</t>
        </is>
      </c>
      <c r="E783" s="4" t="n">
        <v>29</v>
      </c>
      <c r="F783" s="4" t="n">
        <v>1026735</v>
      </c>
    </row>
    <row r="784">
      <c r="A784" s="5" t="inlineStr">
        <is>
          <t>2024-03</t>
        </is>
      </c>
      <c r="B784" s="5" t="inlineStr">
        <is>
          <t>SKU0401</t>
        </is>
      </c>
      <c r="C784" s="5" t="inlineStr">
        <is>
          <t>インフリキシマブBS点滴静注用「サンド」</t>
        </is>
      </c>
      <c r="D784" s="5" t="inlineStr">
        <is>
          <t>卸C</t>
        </is>
      </c>
      <c r="E784" s="5" t="n">
        <v>14</v>
      </c>
      <c r="F784" s="5" t="n">
        <v>495750</v>
      </c>
    </row>
    <row r="785">
      <c r="A785" s="4" t="inlineStr">
        <is>
          <t>2024-04</t>
        </is>
      </c>
      <c r="B785" s="4" t="inlineStr">
        <is>
          <t>SKU0401</t>
        </is>
      </c>
      <c r="C785" s="4" t="inlineStr">
        <is>
          <t>インフリキシマブBS点滴静注用「サンド」</t>
        </is>
      </c>
      <c r="D785" s="4" t="inlineStr">
        <is>
          <t>卸A</t>
        </is>
      </c>
      <c r="E785" s="4" t="n">
        <v>27</v>
      </c>
      <c r="F785" s="4" t="n">
        <v>903279</v>
      </c>
    </row>
    <row r="786">
      <c r="A786" s="5" t="inlineStr">
        <is>
          <t>2024-04</t>
        </is>
      </c>
      <c r="B786" s="5" t="inlineStr">
        <is>
          <t>SKU0401</t>
        </is>
      </c>
      <c r="C786" s="5" t="inlineStr">
        <is>
          <t>インフリキシマブBS点滴静注用「サンド」</t>
        </is>
      </c>
      <c r="D786" s="5" t="inlineStr">
        <is>
          <t>卸B</t>
        </is>
      </c>
      <c r="E786" s="5" t="n">
        <v>15</v>
      </c>
      <c r="F786" s="5" t="n">
        <v>523541</v>
      </c>
    </row>
    <row r="787">
      <c r="A787" s="4" t="inlineStr">
        <is>
          <t>2024-04</t>
        </is>
      </c>
      <c r="B787" s="4" t="inlineStr">
        <is>
          <t>SKU0401</t>
        </is>
      </c>
      <c r="C787" s="4" t="inlineStr">
        <is>
          <t>インフリキシマブBS点滴静注用「サンド」</t>
        </is>
      </c>
      <c r="D787" s="4" t="inlineStr">
        <is>
          <t>卸C</t>
        </is>
      </c>
      <c r="E787" s="4" t="n">
        <v>8</v>
      </c>
      <c r="F787" s="4" t="n">
        <v>262119</v>
      </c>
    </row>
    <row r="788">
      <c r="A788" s="5" t="inlineStr">
        <is>
          <t>2024-05</t>
        </is>
      </c>
      <c r="B788" s="5" t="inlineStr">
        <is>
          <t>SKU0401</t>
        </is>
      </c>
      <c r="C788" s="5" t="inlineStr">
        <is>
          <t>インフリキシマブBS点滴静注用「サンド」</t>
        </is>
      </c>
      <c r="D788" s="5" t="inlineStr">
        <is>
          <t>卸A</t>
        </is>
      </c>
      <c r="E788" s="5" t="n">
        <v>57</v>
      </c>
      <c r="F788" s="5" t="n">
        <v>1943083</v>
      </c>
    </row>
    <row r="789">
      <c r="A789" s="4" t="inlineStr">
        <is>
          <t>2024-05</t>
        </is>
      </c>
      <c r="B789" s="4" t="inlineStr">
        <is>
          <t>SKU0401</t>
        </is>
      </c>
      <c r="C789" s="4" t="inlineStr">
        <is>
          <t>インフリキシマブBS点滴静注用「サンド」</t>
        </is>
      </c>
      <c r="D789" s="4" t="inlineStr">
        <is>
          <t>卸B</t>
        </is>
      </c>
      <c r="E789" s="4" t="n">
        <v>38</v>
      </c>
      <c r="F789" s="4" t="n">
        <v>1308494</v>
      </c>
    </row>
    <row r="790">
      <c r="A790" s="5" t="inlineStr">
        <is>
          <t>2024-05</t>
        </is>
      </c>
      <c r="B790" s="5" t="inlineStr">
        <is>
          <t>SKU0401</t>
        </is>
      </c>
      <c r="C790" s="5" t="inlineStr">
        <is>
          <t>インフリキシマブBS点滴静注用「サンド」</t>
        </is>
      </c>
      <c r="D790" s="5" t="inlineStr">
        <is>
          <t>卸C</t>
        </is>
      </c>
      <c r="E790" s="5" t="n">
        <v>21</v>
      </c>
      <c r="F790" s="5" t="n">
        <v>718153</v>
      </c>
    </row>
    <row r="791">
      <c r="A791" s="4" t="inlineStr">
        <is>
          <t>2024-06</t>
        </is>
      </c>
      <c r="B791" s="4" t="inlineStr">
        <is>
          <t>SKU0401</t>
        </is>
      </c>
      <c r="C791" s="4" t="inlineStr">
        <is>
          <t>インフリキシマブBS点滴静注用「サンド」</t>
        </is>
      </c>
      <c r="D791" s="4" t="inlineStr">
        <is>
          <t>卸A</t>
        </is>
      </c>
      <c r="E791" s="4" t="n">
        <v>102</v>
      </c>
      <c r="F791" s="4" t="n">
        <v>3482382</v>
      </c>
    </row>
    <row r="792">
      <c r="A792" s="5" t="inlineStr">
        <is>
          <t>2024-06</t>
        </is>
      </c>
      <c r="B792" s="5" t="inlineStr">
        <is>
          <t>SKU0401</t>
        </is>
      </c>
      <c r="C792" s="5" t="inlineStr">
        <is>
          <t>インフリキシマブBS点滴静注用「サンド」</t>
        </is>
      </c>
      <c r="D792" s="5" t="inlineStr">
        <is>
          <t>卸B</t>
        </is>
      </c>
      <c r="E792" s="5" t="n">
        <v>71</v>
      </c>
      <c r="F792" s="5" t="n">
        <v>2428817</v>
      </c>
    </row>
    <row r="793">
      <c r="A793" s="4" t="inlineStr">
        <is>
          <t>2024-06</t>
        </is>
      </c>
      <c r="B793" s="4" t="inlineStr">
        <is>
          <t>SKU0401</t>
        </is>
      </c>
      <c r="C793" s="4" t="inlineStr">
        <is>
          <t>インフリキシマブBS点滴静注用「サンド」</t>
        </is>
      </c>
      <c r="D793" s="4" t="inlineStr">
        <is>
          <t>卸C</t>
        </is>
      </c>
      <c r="E793" s="4" t="n">
        <v>47</v>
      </c>
      <c r="F793" s="4" t="n">
        <v>1599196</v>
      </c>
    </row>
    <row r="794">
      <c r="A794" s="5" t="inlineStr">
        <is>
          <t>2024-07</t>
        </is>
      </c>
      <c r="B794" s="5" t="inlineStr">
        <is>
          <t>SKU0401</t>
        </is>
      </c>
      <c r="C794" s="5" t="inlineStr">
        <is>
          <t>インフリキシマブBS点滴静注用「サンド」</t>
        </is>
      </c>
      <c r="D794" s="5" t="inlineStr">
        <is>
          <t>卸A</t>
        </is>
      </c>
      <c r="E794" s="5" t="n">
        <v>80</v>
      </c>
      <c r="F794" s="5" t="n">
        <v>2708176</v>
      </c>
    </row>
    <row r="795">
      <c r="A795" s="4" t="inlineStr">
        <is>
          <t>2024-07</t>
        </is>
      </c>
      <c r="B795" s="4" t="inlineStr">
        <is>
          <t>SKU0401</t>
        </is>
      </c>
      <c r="C795" s="4" t="inlineStr">
        <is>
          <t>インフリキシマブBS点滴静注用「サンド」</t>
        </is>
      </c>
      <c r="D795" s="4" t="inlineStr">
        <is>
          <t>卸B</t>
        </is>
      </c>
      <c r="E795" s="4" t="n">
        <v>45</v>
      </c>
      <c r="F795" s="4" t="n">
        <v>1517044</v>
      </c>
    </row>
    <row r="796">
      <c r="A796" s="5" t="inlineStr">
        <is>
          <t>2024-07</t>
        </is>
      </c>
      <c r="B796" s="5" t="inlineStr">
        <is>
          <t>SKU0401</t>
        </is>
      </c>
      <c r="C796" s="5" t="inlineStr">
        <is>
          <t>インフリキシマブBS点滴静注用「サンド」</t>
        </is>
      </c>
      <c r="D796" s="5" t="inlineStr">
        <is>
          <t>卸C</t>
        </is>
      </c>
      <c r="E796" s="5" t="n">
        <v>26</v>
      </c>
      <c r="F796" s="5" t="n">
        <v>871785</v>
      </c>
    </row>
    <row r="797">
      <c r="A797" s="4" t="inlineStr">
        <is>
          <t>2024-08</t>
        </is>
      </c>
      <c r="B797" s="4" t="inlineStr">
        <is>
          <t>SKU0401</t>
        </is>
      </c>
      <c r="C797" s="4" t="inlineStr">
        <is>
          <t>インフリキシマブBS点滴静注用「サンド」</t>
        </is>
      </c>
      <c r="D797" s="4" t="inlineStr">
        <is>
          <t>卸A</t>
        </is>
      </c>
      <c r="E797" s="4" t="n">
        <v>85</v>
      </c>
      <c r="F797" s="4" t="n">
        <v>2896058</v>
      </c>
    </row>
    <row r="798">
      <c r="A798" s="5" t="inlineStr">
        <is>
          <t>2024-08</t>
        </is>
      </c>
      <c r="B798" s="5" t="inlineStr">
        <is>
          <t>SKU0401</t>
        </is>
      </c>
      <c r="C798" s="5" t="inlineStr">
        <is>
          <t>インフリキシマブBS点滴静注用「サンド」</t>
        </is>
      </c>
      <c r="D798" s="5" t="inlineStr">
        <is>
          <t>卸B</t>
        </is>
      </c>
      <c r="E798" s="5" t="n">
        <v>66</v>
      </c>
      <c r="F798" s="5" t="n">
        <v>2258302</v>
      </c>
    </row>
    <row r="799">
      <c r="A799" s="4" t="inlineStr">
        <is>
          <t>2024-08</t>
        </is>
      </c>
      <c r="B799" s="4" t="inlineStr">
        <is>
          <t>SKU0401</t>
        </is>
      </c>
      <c r="C799" s="4" t="inlineStr">
        <is>
          <t>インフリキシマブBS点滴静注用「サンド」</t>
        </is>
      </c>
      <c r="D799" s="4" t="inlineStr">
        <is>
          <t>卸C</t>
        </is>
      </c>
      <c r="E799" s="4" t="n">
        <v>31</v>
      </c>
      <c r="F799" s="4" t="n">
        <v>1053819</v>
      </c>
    </row>
    <row r="800">
      <c r="A800" s="5" t="inlineStr">
        <is>
          <t>2024-09</t>
        </is>
      </c>
      <c r="B800" s="5" t="inlineStr">
        <is>
          <t>SKU0401</t>
        </is>
      </c>
      <c r="C800" s="5" t="inlineStr">
        <is>
          <t>インフリキシマブBS点滴静注用「サンド」</t>
        </is>
      </c>
      <c r="D800" s="5" t="inlineStr">
        <is>
          <t>卸A</t>
        </is>
      </c>
      <c r="E800" s="5" t="n">
        <v>95</v>
      </c>
      <c r="F800" s="5" t="n">
        <v>3238135</v>
      </c>
    </row>
    <row r="801">
      <c r="A801" s="4" t="inlineStr">
        <is>
          <t>2024-09</t>
        </is>
      </c>
      <c r="B801" s="4" t="inlineStr">
        <is>
          <t>SKU0401</t>
        </is>
      </c>
      <c r="C801" s="4" t="inlineStr">
        <is>
          <t>インフリキシマブBS点滴静注用「サンド」</t>
        </is>
      </c>
      <c r="D801" s="4" t="inlineStr">
        <is>
          <t>卸B</t>
        </is>
      </c>
      <c r="E801" s="4" t="n">
        <v>45</v>
      </c>
      <c r="F801" s="4" t="n">
        <v>1519169</v>
      </c>
    </row>
    <row r="802">
      <c r="A802" s="5" t="inlineStr">
        <is>
          <t>2024-09</t>
        </is>
      </c>
      <c r="B802" s="5" t="inlineStr">
        <is>
          <t>SKU0401</t>
        </is>
      </c>
      <c r="C802" s="5" t="inlineStr">
        <is>
          <t>インフリキシマブBS点滴静注用「サンド」</t>
        </is>
      </c>
      <c r="D802" s="5" t="inlineStr">
        <is>
          <t>卸C</t>
        </is>
      </c>
      <c r="E802" s="5" t="n">
        <v>34</v>
      </c>
      <c r="F802" s="5" t="n">
        <v>1167109</v>
      </c>
    </row>
    <row r="803">
      <c r="A803" s="4" t="inlineStr">
        <is>
          <t>2024-10</t>
        </is>
      </c>
      <c r="B803" s="4" t="inlineStr">
        <is>
          <t>SKU0401</t>
        </is>
      </c>
      <c r="C803" s="4" t="inlineStr">
        <is>
          <t>インフリキシマブBS点滴静注用「サンド」</t>
        </is>
      </c>
      <c r="D803" s="4" t="inlineStr">
        <is>
          <t>卸A</t>
        </is>
      </c>
      <c r="E803" s="4" t="n">
        <v>105</v>
      </c>
      <c r="F803" s="4" t="n">
        <v>3572486</v>
      </c>
    </row>
    <row r="804">
      <c r="A804" s="5" t="inlineStr">
        <is>
          <t>2024-10</t>
        </is>
      </c>
      <c r="B804" s="5" t="inlineStr">
        <is>
          <t>SKU0401</t>
        </is>
      </c>
      <c r="C804" s="5" t="inlineStr">
        <is>
          <t>インフリキシマブBS点滴静注用「サンド」</t>
        </is>
      </c>
      <c r="D804" s="5" t="inlineStr">
        <is>
          <t>卸B</t>
        </is>
      </c>
      <c r="E804" s="5" t="n">
        <v>74</v>
      </c>
      <c r="F804" s="5" t="n">
        <v>2514800</v>
      </c>
    </row>
    <row r="805">
      <c r="A805" s="4" t="inlineStr">
        <is>
          <t>2024-10</t>
        </is>
      </c>
      <c r="B805" s="4" t="inlineStr">
        <is>
          <t>SKU0401</t>
        </is>
      </c>
      <c r="C805" s="4" t="inlineStr">
        <is>
          <t>インフリキシマブBS点滴静注用「サンド」</t>
        </is>
      </c>
      <c r="D805" s="4" t="inlineStr">
        <is>
          <t>卸C</t>
        </is>
      </c>
      <c r="E805" s="4" t="n">
        <v>35</v>
      </c>
      <c r="F805" s="4" t="n">
        <v>1185965</v>
      </c>
    </row>
    <row r="806">
      <c r="A806" s="5" t="inlineStr">
        <is>
          <t>2024-11</t>
        </is>
      </c>
      <c r="B806" s="5" t="inlineStr">
        <is>
          <t>SKU0401</t>
        </is>
      </c>
      <c r="C806" s="5" t="inlineStr">
        <is>
          <t>インフリキシマブBS点滴静注用「サンド」</t>
        </is>
      </c>
      <c r="D806" s="5" t="inlineStr">
        <is>
          <t>卸A</t>
        </is>
      </c>
      <c r="E806" s="5" t="n">
        <v>117</v>
      </c>
      <c r="F806" s="5" t="n">
        <v>3987299</v>
      </c>
    </row>
    <row r="807">
      <c r="A807" s="4" t="inlineStr">
        <is>
          <t>2024-11</t>
        </is>
      </c>
      <c r="B807" s="4" t="inlineStr">
        <is>
          <t>SKU0401</t>
        </is>
      </c>
      <c r="C807" s="4" t="inlineStr">
        <is>
          <t>インフリキシマブBS点滴静注用「サンド」</t>
        </is>
      </c>
      <c r="D807" s="4" t="inlineStr">
        <is>
          <t>卸B</t>
        </is>
      </c>
      <c r="E807" s="4" t="n">
        <v>67</v>
      </c>
      <c r="F807" s="4" t="n">
        <v>2271733</v>
      </c>
    </row>
    <row r="808">
      <c r="A808" s="5" t="inlineStr">
        <is>
          <t>2024-11</t>
        </is>
      </c>
      <c r="B808" s="5" t="inlineStr">
        <is>
          <t>SKU0401</t>
        </is>
      </c>
      <c r="C808" s="5" t="inlineStr">
        <is>
          <t>インフリキシマブBS点滴静注用「サンド」</t>
        </is>
      </c>
      <c r="D808" s="5" t="inlineStr">
        <is>
          <t>卸C</t>
        </is>
      </c>
      <c r="E808" s="5" t="n">
        <v>46</v>
      </c>
      <c r="F808" s="5" t="n">
        <v>1577429</v>
      </c>
    </row>
    <row r="809">
      <c r="A809" s="4" t="inlineStr">
        <is>
          <t>2024-12</t>
        </is>
      </c>
      <c r="B809" s="4" t="inlineStr">
        <is>
          <t>SKU0401</t>
        </is>
      </c>
      <c r="C809" s="4" t="inlineStr">
        <is>
          <t>インフリキシマブBS点滴静注用「サンド」</t>
        </is>
      </c>
      <c r="D809" s="4" t="inlineStr">
        <is>
          <t>卸A</t>
        </is>
      </c>
      <c r="E809" s="4" t="n">
        <v>127</v>
      </c>
      <c r="F809" s="4" t="n">
        <v>4308273</v>
      </c>
    </row>
    <row r="810">
      <c r="A810" s="5" t="inlineStr">
        <is>
          <t>2024-12</t>
        </is>
      </c>
      <c r="B810" s="5" t="inlineStr">
        <is>
          <t>SKU0401</t>
        </is>
      </c>
      <c r="C810" s="5" t="inlineStr">
        <is>
          <t>インフリキシマブBS点滴静注用「サンド」</t>
        </is>
      </c>
      <c r="D810" s="5" t="inlineStr">
        <is>
          <t>卸B</t>
        </is>
      </c>
      <c r="E810" s="5" t="n">
        <v>77</v>
      </c>
      <c r="F810" s="5" t="n">
        <v>2618407</v>
      </c>
    </row>
    <row r="811">
      <c r="A811" s="4" t="inlineStr">
        <is>
          <t>2024-12</t>
        </is>
      </c>
      <c r="B811" s="4" t="inlineStr">
        <is>
          <t>SKU0401</t>
        </is>
      </c>
      <c r="C811" s="4" t="inlineStr">
        <is>
          <t>インフリキシマブBS点滴静注用「サンド」</t>
        </is>
      </c>
      <c r="D811" s="4" t="inlineStr">
        <is>
          <t>卸C</t>
        </is>
      </c>
      <c r="E811" s="4" t="n">
        <v>48</v>
      </c>
      <c r="F811" s="4" t="n">
        <v>1630019</v>
      </c>
    </row>
    <row r="812">
      <c r="A812" s="5" t="inlineStr">
        <is>
          <t>2025-01</t>
        </is>
      </c>
      <c r="B812" s="5" t="inlineStr">
        <is>
          <t>SKU0401</t>
        </is>
      </c>
      <c r="C812" s="5" t="inlineStr">
        <is>
          <t>インフリキシマブBS点滴静注用「サンド」</t>
        </is>
      </c>
      <c r="D812" s="5" t="inlineStr">
        <is>
          <t>卸A</t>
        </is>
      </c>
      <c r="E812" s="5" t="n">
        <v>132</v>
      </c>
      <c r="F812" s="5" t="n">
        <v>4478728</v>
      </c>
    </row>
    <row r="813">
      <c r="A813" s="4" t="inlineStr">
        <is>
          <t>2025-01</t>
        </is>
      </c>
      <c r="B813" s="4" t="inlineStr">
        <is>
          <t>SKU0401</t>
        </is>
      </c>
      <c r="C813" s="4" t="inlineStr">
        <is>
          <t>インフリキシマブBS点滴静注用「サンド」</t>
        </is>
      </c>
      <c r="D813" s="4" t="inlineStr">
        <is>
          <t>卸B</t>
        </is>
      </c>
      <c r="E813" s="4" t="n">
        <v>73</v>
      </c>
      <c r="F813" s="4" t="n">
        <v>2497576</v>
      </c>
    </row>
    <row r="814">
      <c r="A814" s="5" t="inlineStr">
        <is>
          <t>2025-01</t>
        </is>
      </c>
      <c r="B814" s="5" t="inlineStr">
        <is>
          <t>SKU0401</t>
        </is>
      </c>
      <c r="C814" s="5" t="inlineStr">
        <is>
          <t>インフリキシマブBS点滴静注用「サンド」</t>
        </is>
      </c>
      <c r="D814" s="5" t="inlineStr">
        <is>
          <t>卸C</t>
        </is>
      </c>
      <c r="E814" s="5" t="n">
        <v>42</v>
      </c>
      <c r="F814" s="5" t="n">
        <v>1427350</v>
      </c>
    </row>
    <row r="815">
      <c r="A815" s="4" t="inlineStr">
        <is>
          <t>2025-02</t>
        </is>
      </c>
      <c r="B815" s="4" t="inlineStr">
        <is>
          <t>SKU0401</t>
        </is>
      </c>
      <c r="C815" s="4" t="inlineStr">
        <is>
          <t>インフリキシマブBS点滴静注用「サンド」</t>
        </is>
      </c>
      <c r="D815" s="4" t="inlineStr">
        <is>
          <t>卸A</t>
        </is>
      </c>
      <c r="E815" s="4" t="n">
        <v>121</v>
      </c>
      <c r="F815" s="4" t="n">
        <v>4121425</v>
      </c>
    </row>
    <row r="816">
      <c r="A816" s="5" t="inlineStr">
        <is>
          <t>2025-02</t>
        </is>
      </c>
      <c r="B816" s="5" t="inlineStr">
        <is>
          <t>SKU0401</t>
        </is>
      </c>
      <c r="C816" s="5" t="inlineStr">
        <is>
          <t>インフリキシマブBS点滴静注用「サンド」</t>
        </is>
      </c>
      <c r="D816" s="5" t="inlineStr">
        <is>
          <t>卸B</t>
        </is>
      </c>
      <c r="E816" s="5" t="n">
        <v>89</v>
      </c>
      <c r="F816" s="5" t="n">
        <v>3030297</v>
      </c>
    </row>
    <row r="817">
      <c r="A817" s="4" t="inlineStr">
        <is>
          <t>2025-02</t>
        </is>
      </c>
      <c r="B817" s="4" t="inlineStr">
        <is>
          <t>SKU0401</t>
        </is>
      </c>
      <c r="C817" s="4" t="inlineStr">
        <is>
          <t>インフリキシマブBS点滴静注用「サンド」</t>
        </is>
      </c>
      <c r="D817" s="4" t="inlineStr">
        <is>
          <t>卸C</t>
        </is>
      </c>
      <c r="E817" s="4" t="n">
        <v>47</v>
      </c>
      <c r="F817" s="4" t="n">
        <v>1608000</v>
      </c>
    </row>
    <row r="818">
      <c r="A818" s="5" t="inlineStr">
        <is>
          <t>2025-03</t>
        </is>
      </c>
      <c r="B818" s="5" t="inlineStr">
        <is>
          <t>SKU0401</t>
        </is>
      </c>
      <c r="C818" s="5" t="inlineStr">
        <is>
          <t>インフリキシマブBS点滴静注用「サンド」</t>
        </is>
      </c>
      <c r="D818" s="5" t="inlineStr">
        <is>
          <t>卸A</t>
        </is>
      </c>
      <c r="E818" s="5" t="n">
        <v>213</v>
      </c>
      <c r="F818" s="5" t="n">
        <v>7234768</v>
      </c>
    </row>
    <row r="819">
      <c r="A819" s="4" t="inlineStr">
        <is>
          <t>2025-03</t>
        </is>
      </c>
      <c r="B819" s="4" t="inlineStr">
        <is>
          <t>SKU0401</t>
        </is>
      </c>
      <c r="C819" s="4" t="inlineStr">
        <is>
          <t>インフリキシマブBS点滴静注用「サンド」</t>
        </is>
      </c>
      <c r="D819" s="4" t="inlineStr">
        <is>
          <t>卸B</t>
        </is>
      </c>
      <c r="E819" s="4" t="n">
        <v>155</v>
      </c>
      <c r="F819" s="4" t="n">
        <v>5261209</v>
      </c>
    </row>
    <row r="820">
      <c r="A820" s="5" t="inlineStr">
        <is>
          <t>2025-03</t>
        </is>
      </c>
      <c r="B820" s="5" t="inlineStr">
        <is>
          <t>SKU0401</t>
        </is>
      </c>
      <c r="C820" s="5" t="inlineStr">
        <is>
          <t>インフリキシマブBS点滴静注用「サンド」</t>
        </is>
      </c>
      <c r="D820" s="5" t="inlineStr">
        <is>
          <t>卸C</t>
        </is>
      </c>
      <c r="E820" s="5" t="n">
        <v>94</v>
      </c>
      <c r="F820" s="5" t="n">
        <v>3210210</v>
      </c>
    </row>
    <row r="821">
      <c r="A821" s="4" t="inlineStr">
        <is>
          <t>2025-04</t>
        </is>
      </c>
      <c r="B821" s="4" t="inlineStr">
        <is>
          <t>SKU0401</t>
        </is>
      </c>
      <c r="C821" s="4" t="inlineStr">
        <is>
          <t>インフリキシマブBS点滴静注用「サンド」</t>
        </is>
      </c>
      <c r="D821" s="4" t="inlineStr">
        <is>
          <t>卸A</t>
        </is>
      </c>
      <c r="E821" s="4" t="n">
        <v>105</v>
      </c>
      <c r="F821" s="4" t="n">
        <v>3460356</v>
      </c>
    </row>
    <row r="822">
      <c r="A822" s="5" t="inlineStr">
        <is>
          <t>2025-04</t>
        </is>
      </c>
      <c r="B822" s="5" t="inlineStr">
        <is>
          <t>SKU0401</t>
        </is>
      </c>
      <c r="C822" s="5" t="inlineStr">
        <is>
          <t>インフリキシマブBS点滴静注用「サンド」</t>
        </is>
      </c>
      <c r="D822" s="5" t="inlineStr">
        <is>
          <t>卸B</t>
        </is>
      </c>
      <c r="E822" s="5" t="n">
        <v>47</v>
      </c>
      <c r="F822" s="5" t="n">
        <v>1544469</v>
      </c>
    </row>
    <row r="823">
      <c r="A823" s="4" t="inlineStr">
        <is>
          <t>2025-04</t>
        </is>
      </c>
      <c r="B823" s="4" t="inlineStr">
        <is>
          <t>SKU0401</t>
        </is>
      </c>
      <c r="C823" s="4" t="inlineStr">
        <is>
          <t>インフリキシマブBS点滴静注用「サンド」</t>
        </is>
      </c>
      <c r="D823" s="4" t="inlineStr">
        <is>
          <t>卸C</t>
        </is>
      </c>
      <c r="E823" s="4" t="n">
        <v>19</v>
      </c>
      <c r="F823" s="4" t="n">
        <v>615670</v>
      </c>
    </row>
    <row r="824">
      <c r="A824" s="5" t="inlineStr">
        <is>
          <t>2025-05</t>
        </is>
      </c>
      <c r="B824" s="5" t="inlineStr">
        <is>
          <t>SKU0401</t>
        </is>
      </c>
      <c r="C824" s="5" t="inlineStr">
        <is>
          <t>インフリキシマブBS点滴静注用「サンド」</t>
        </is>
      </c>
      <c r="D824" s="5" t="inlineStr">
        <is>
          <t>卸A</t>
        </is>
      </c>
      <c r="E824" s="5" t="n">
        <v>187</v>
      </c>
      <c r="F824" s="5" t="n">
        <v>6165619</v>
      </c>
    </row>
    <row r="825">
      <c r="A825" s="4" t="inlineStr">
        <is>
          <t>2025-05</t>
        </is>
      </c>
      <c r="B825" s="4" t="inlineStr">
        <is>
          <t>SKU0401</t>
        </is>
      </c>
      <c r="C825" s="4" t="inlineStr">
        <is>
          <t>インフリキシマブBS点滴静注用「サンド」</t>
        </is>
      </c>
      <c r="D825" s="4" t="inlineStr">
        <is>
          <t>卸B</t>
        </is>
      </c>
      <c r="E825" s="4" t="n">
        <v>121</v>
      </c>
      <c r="F825" s="4" t="n">
        <v>3998891</v>
      </c>
    </row>
    <row r="826">
      <c r="A826" s="5" t="inlineStr">
        <is>
          <t>2025-05</t>
        </is>
      </c>
      <c r="B826" s="5" t="inlineStr">
        <is>
          <t>SKU0401</t>
        </is>
      </c>
      <c r="C826" s="5" t="inlineStr">
        <is>
          <t>インフリキシマブBS点滴静注用「サンド」</t>
        </is>
      </c>
      <c r="D826" s="5" t="inlineStr">
        <is>
          <t>卸C</t>
        </is>
      </c>
      <c r="E826" s="5" t="n">
        <v>63</v>
      </c>
      <c r="F826" s="5" t="n">
        <v>2091426</v>
      </c>
    </row>
    <row r="827">
      <c r="A827" s="4" t="inlineStr">
        <is>
          <t>2025-06</t>
        </is>
      </c>
      <c r="B827" s="4" t="inlineStr">
        <is>
          <t>SKU0401</t>
        </is>
      </c>
      <c r="C827" s="4" t="inlineStr">
        <is>
          <t>インフリキシマブBS点滴静注用「サンド」</t>
        </is>
      </c>
      <c r="D827" s="4" t="inlineStr">
        <is>
          <t>卸A</t>
        </is>
      </c>
      <c r="E827" s="4" t="n">
        <v>229</v>
      </c>
      <c r="F827" s="4" t="n">
        <v>7558582</v>
      </c>
    </row>
    <row r="828">
      <c r="A828" s="5" t="inlineStr">
        <is>
          <t>2025-06</t>
        </is>
      </c>
      <c r="B828" s="5" t="inlineStr">
        <is>
          <t>SKU0401</t>
        </is>
      </c>
      <c r="C828" s="5" t="inlineStr">
        <is>
          <t>インフリキシマブBS点滴静注用「サンド」</t>
        </is>
      </c>
      <c r="D828" s="5" t="inlineStr">
        <is>
          <t>卸B</t>
        </is>
      </c>
      <c r="E828" s="5" t="n">
        <v>168</v>
      </c>
      <c r="F828" s="5" t="n">
        <v>5536795</v>
      </c>
    </row>
    <row r="829">
      <c r="A829" s="4" t="inlineStr">
        <is>
          <t>2025-06</t>
        </is>
      </c>
      <c r="B829" s="4" t="inlineStr">
        <is>
          <t>SKU0401</t>
        </is>
      </c>
      <c r="C829" s="4" t="inlineStr">
        <is>
          <t>インフリキシマブBS点滴静注用「サンド」</t>
        </is>
      </c>
      <c r="D829" s="4" t="inlineStr">
        <is>
          <t>卸C</t>
        </is>
      </c>
      <c r="E829" s="4" t="n">
        <v>108</v>
      </c>
      <c r="F829" s="4" t="n">
        <v>3569070</v>
      </c>
    </row>
    <row r="830">
      <c r="A830" s="5" t="inlineStr">
        <is>
          <t>2025-07</t>
        </is>
      </c>
      <c r="B830" s="5" t="inlineStr">
        <is>
          <t>SKU0401</t>
        </is>
      </c>
      <c r="C830" s="5" t="inlineStr">
        <is>
          <t>インフリキシマブBS点滴静注用「サンド」</t>
        </is>
      </c>
      <c r="D830" s="5" t="inlineStr">
        <is>
          <t>卸A</t>
        </is>
      </c>
      <c r="E830" s="5" t="n">
        <v>191</v>
      </c>
      <c r="F830" s="5" t="n">
        <v>6312325</v>
      </c>
    </row>
    <row r="831">
      <c r="A831" s="4" t="inlineStr">
        <is>
          <t>2025-07</t>
        </is>
      </c>
      <c r="B831" s="4" t="inlineStr">
        <is>
          <t>SKU0401</t>
        </is>
      </c>
      <c r="C831" s="4" t="inlineStr">
        <is>
          <t>インフリキシマブBS点滴静注用「サンド」</t>
        </is>
      </c>
      <c r="D831" s="4" t="inlineStr">
        <is>
          <t>卸B</t>
        </is>
      </c>
      <c r="E831" s="4" t="n">
        <v>131</v>
      </c>
      <c r="F831" s="4" t="n">
        <v>4320186</v>
      </c>
    </row>
    <row r="832">
      <c r="A832" s="5" t="inlineStr">
        <is>
          <t>2025-07</t>
        </is>
      </c>
      <c r="B832" s="5" t="inlineStr">
        <is>
          <t>SKU0401</t>
        </is>
      </c>
      <c r="C832" s="5" t="inlineStr">
        <is>
          <t>インフリキシマブBS点滴静注用「サンド」</t>
        </is>
      </c>
      <c r="D832" s="5" t="inlineStr">
        <is>
          <t>卸C</t>
        </is>
      </c>
      <c r="E832" s="5" t="n">
        <v>77</v>
      </c>
      <c r="F832" s="5" t="n">
        <v>2530321</v>
      </c>
    </row>
    <row r="833">
      <c r="A833" s="4" t="inlineStr">
        <is>
          <t>2025-08</t>
        </is>
      </c>
      <c r="B833" s="4" t="inlineStr">
        <is>
          <t>SKU0401</t>
        </is>
      </c>
      <c r="C833" s="4" t="inlineStr">
        <is>
          <t>インフリキシマブBS点滴静注用「サンド」</t>
        </is>
      </c>
      <c r="D833" s="4" t="inlineStr">
        <is>
          <t>卸A</t>
        </is>
      </c>
      <c r="E833" s="4" t="n">
        <v>258</v>
      </c>
      <c r="F833" s="4" t="n">
        <v>8506184</v>
      </c>
    </row>
    <row r="834">
      <c r="A834" s="5" t="inlineStr">
        <is>
          <t>2025-08</t>
        </is>
      </c>
      <c r="B834" s="5" t="inlineStr">
        <is>
          <t>SKU0401</t>
        </is>
      </c>
      <c r="C834" s="5" t="inlineStr">
        <is>
          <t>インフリキシマブBS点滴静注用「サンド」</t>
        </is>
      </c>
      <c r="D834" s="5" t="inlineStr">
        <is>
          <t>卸B</t>
        </is>
      </c>
      <c r="E834" s="5" t="n">
        <v>159</v>
      </c>
      <c r="F834" s="5" t="n">
        <v>5237656</v>
      </c>
    </row>
    <row r="835">
      <c r="A835" s="4" t="inlineStr">
        <is>
          <t>2025-08</t>
        </is>
      </c>
      <c r="B835" s="4" t="inlineStr">
        <is>
          <t>SKU0401</t>
        </is>
      </c>
      <c r="C835" s="4" t="inlineStr">
        <is>
          <t>インフリキシマブBS点滴静注用「サンド」</t>
        </is>
      </c>
      <c r="D835" s="4" t="inlineStr">
        <is>
          <t>卸C</t>
        </is>
      </c>
      <c r="E835" s="4" t="n">
        <v>80</v>
      </c>
      <c r="F835" s="4" t="n">
        <v>2625893</v>
      </c>
    </row>
    <row r="836">
      <c r="A836" s="5" t="inlineStr">
        <is>
          <t>2025-09</t>
        </is>
      </c>
      <c r="B836" s="5" t="inlineStr">
        <is>
          <t>SKU0401</t>
        </is>
      </c>
      <c r="C836" s="5" t="inlineStr">
        <is>
          <t>インフリキシマブBS点滴静注用「サンド」</t>
        </is>
      </c>
      <c r="D836" s="5" t="inlineStr">
        <is>
          <t>卸A</t>
        </is>
      </c>
      <c r="E836" s="5" t="n">
        <v>227</v>
      </c>
      <c r="F836" s="5" t="n">
        <v>7503504</v>
      </c>
    </row>
    <row r="837">
      <c r="A837" s="4" t="inlineStr">
        <is>
          <t>2025-09</t>
        </is>
      </c>
      <c r="B837" s="4" t="inlineStr">
        <is>
          <t>SKU0401</t>
        </is>
      </c>
      <c r="C837" s="4" t="inlineStr">
        <is>
          <t>インフリキシマブBS点滴静注用「サンド」</t>
        </is>
      </c>
      <c r="D837" s="4" t="inlineStr">
        <is>
          <t>卸B</t>
        </is>
      </c>
      <c r="E837" s="4" t="n">
        <v>156</v>
      </c>
      <c r="F837" s="4" t="n">
        <v>5143273</v>
      </c>
    </row>
    <row r="838">
      <c r="A838" s="5" t="inlineStr">
        <is>
          <t>2025-09</t>
        </is>
      </c>
      <c r="B838" s="5" t="inlineStr">
        <is>
          <t>SKU0401</t>
        </is>
      </c>
      <c r="C838" s="5" t="inlineStr">
        <is>
          <t>インフリキシマブBS点滴静注用「サンド」</t>
        </is>
      </c>
      <c r="D838" s="5" t="inlineStr">
        <is>
          <t>卸C</t>
        </is>
      </c>
      <c r="E838" s="5" t="n">
        <v>110</v>
      </c>
      <c r="F838" s="5" t="n">
        <v>3630321</v>
      </c>
    </row>
    <row r="839">
      <c r="A839" s="4" t="inlineStr">
        <is>
          <t>2025-10</t>
        </is>
      </c>
      <c r="B839" s="4" t="inlineStr">
        <is>
          <t>SKU0401</t>
        </is>
      </c>
      <c r="C839" s="4" t="inlineStr">
        <is>
          <t>インフリキシマブBS点滴静注用「サンド」</t>
        </is>
      </c>
      <c r="D839" s="4" t="inlineStr">
        <is>
          <t>卸A</t>
        </is>
      </c>
      <c r="E839" s="4" t="n">
        <v>251</v>
      </c>
      <c r="F839" s="4" t="n">
        <v>8288714</v>
      </c>
    </row>
    <row r="840">
      <c r="A840" s="5" t="inlineStr">
        <is>
          <t>2025-10</t>
        </is>
      </c>
      <c r="B840" s="5" t="inlineStr">
        <is>
          <t>SKU0401</t>
        </is>
      </c>
      <c r="C840" s="5" t="inlineStr">
        <is>
          <t>インフリキシマブBS点滴静注用「サンド」</t>
        </is>
      </c>
      <c r="D840" s="5" t="inlineStr">
        <is>
          <t>卸B</t>
        </is>
      </c>
      <c r="E840" s="5" t="n">
        <v>145</v>
      </c>
      <c r="F840" s="5" t="n">
        <v>4799013</v>
      </c>
    </row>
    <row r="841">
      <c r="A841" s="4" t="inlineStr">
        <is>
          <t>2025-10</t>
        </is>
      </c>
      <c r="B841" s="4" t="inlineStr">
        <is>
          <t>SKU0401</t>
        </is>
      </c>
      <c r="C841" s="4" t="inlineStr">
        <is>
          <t>インフリキシマブBS点滴静注用「サンド」</t>
        </is>
      </c>
      <c r="D841" s="4" t="inlineStr">
        <is>
          <t>卸C</t>
        </is>
      </c>
      <c r="E841" s="4" t="n">
        <v>91</v>
      </c>
      <c r="F841" s="4" t="n">
        <v>3014082</v>
      </c>
    </row>
    <row r="842">
      <c r="A842" s="5" t="inlineStr">
        <is>
          <t>2025-11</t>
        </is>
      </c>
      <c r="B842" s="5" t="inlineStr">
        <is>
          <t>SKU0401</t>
        </is>
      </c>
      <c r="C842" s="5" t="inlineStr">
        <is>
          <t>インフリキシマブBS点滴静注用「サンド」</t>
        </is>
      </c>
      <c r="D842" s="5" t="inlineStr">
        <is>
          <t>卸A</t>
        </is>
      </c>
      <c r="E842" s="5" t="n">
        <v>288</v>
      </c>
      <c r="F842" s="5" t="n">
        <v>9505375</v>
      </c>
    </row>
    <row r="843">
      <c r="A843" s="4" t="inlineStr">
        <is>
          <t>2025-11</t>
        </is>
      </c>
      <c r="B843" s="4" t="inlineStr">
        <is>
          <t>SKU0401</t>
        </is>
      </c>
      <c r="C843" s="4" t="inlineStr">
        <is>
          <t>インフリキシマブBS点滴静注用「サンド」</t>
        </is>
      </c>
      <c r="D843" s="4" t="inlineStr">
        <is>
          <t>卸B</t>
        </is>
      </c>
      <c r="E843" s="4" t="n">
        <v>171</v>
      </c>
      <c r="F843" s="4" t="n">
        <v>5636342</v>
      </c>
    </row>
    <row r="844">
      <c r="A844" s="5" t="inlineStr">
        <is>
          <t>2025-11</t>
        </is>
      </c>
      <c r="B844" s="5" t="inlineStr">
        <is>
          <t>SKU0401</t>
        </is>
      </c>
      <c r="C844" s="5" t="inlineStr">
        <is>
          <t>インフリキシマブBS点滴静注用「サンド」</t>
        </is>
      </c>
      <c r="D844" s="5" t="inlineStr">
        <is>
          <t>卸C</t>
        </is>
      </c>
      <c r="E844" s="5" t="n">
        <v>115</v>
      </c>
      <c r="F844" s="5" t="n">
        <v>3780568</v>
      </c>
    </row>
    <row r="845">
      <c r="A845" s="4" t="inlineStr">
        <is>
          <t>2025-12</t>
        </is>
      </c>
      <c r="B845" s="4" t="inlineStr">
        <is>
          <t>SKU0401</t>
        </is>
      </c>
      <c r="C845" s="4" t="inlineStr">
        <is>
          <t>インフリキシマブBS点滴静注用「サンド」</t>
        </is>
      </c>
      <c r="D845" s="4" t="inlineStr">
        <is>
          <t>卸A</t>
        </is>
      </c>
      <c r="E845" s="4" t="n">
        <v>196</v>
      </c>
      <c r="F845" s="4" t="n">
        <v>6474300</v>
      </c>
    </row>
    <row r="846">
      <c r="A846" s="5" t="inlineStr">
        <is>
          <t>2025-12</t>
        </is>
      </c>
      <c r="B846" s="5" t="inlineStr">
        <is>
          <t>SKU0401</t>
        </is>
      </c>
      <c r="C846" s="5" t="inlineStr">
        <is>
          <t>インフリキシマブBS点滴静注用「サンド」</t>
        </is>
      </c>
      <c r="D846" s="5" t="inlineStr">
        <is>
          <t>卸B</t>
        </is>
      </c>
      <c r="E846" s="5" t="n">
        <v>100</v>
      </c>
      <c r="F846" s="5" t="n">
        <v>3289861</v>
      </c>
    </row>
    <row r="847">
      <c r="A847" s="4" t="inlineStr">
        <is>
          <t>2025-12</t>
        </is>
      </c>
      <c r="B847" s="4" t="inlineStr">
        <is>
          <t>SKU0401</t>
        </is>
      </c>
      <c r="C847" s="4" t="inlineStr">
        <is>
          <t>インフリキシマブBS点滴静注用「サンド」</t>
        </is>
      </c>
      <c r="D847" s="4" t="inlineStr">
        <is>
          <t>卸C</t>
        </is>
      </c>
      <c r="E847" s="4" t="n">
        <v>51</v>
      </c>
      <c r="F847" s="4" t="n">
        <v>1673603</v>
      </c>
    </row>
    <row r="848">
      <c r="A848" s="5" t="inlineStr">
        <is>
          <t>2026-01</t>
        </is>
      </c>
      <c r="B848" s="5" t="inlineStr">
        <is>
          <t>SKU0401</t>
        </is>
      </c>
      <c r="C848" s="5" t="inlineStr">
        <is>
          <t>インフリキシマブBS点滴静注用「サンド」</t>
        </is>
      </c>
      <c r="D848" s="5" t="inlineStr">
        <is>
          <t>卸A</t>
        </is>
      </c>
      <c r="E848" s="5" t="n">
        <v>291</v>
      </c>
      <c r="F848" s="5" t="n">
        <v>9617842</v>
      </c>
    </row>
    <row r="849">
      <c r="A849" s="4" t="inlineStr">
        <is>
          <t>2026-01</t>
        </is>
      </c>
      <c r="B849" s="4" t="inlineStr">
        <is>
          <t>SKU0401</t>
        </is>
      </c>
      <c r="C849" s="4" t="inlineStr">
        <is>
          <t>インフリキシマブBS点滴静注用「サンド」</t>
        </is>
      </c>
      <c r="D849" s="4" t="inlineStr">
        <is>
          <t>卸B</t>
        </is>
      </c>
      <c r="E849" s="4" t="n">
        <v>239</v>
      </c>
      <c r="F849" s="4" t="n">
        <v>7877942</v>
      </c>
    </row>
    <row r="850">
      <c r="A850" s="5" t="inlineStr">
        <is>
          <t>2026-01</t>
        </is>
      </c>
      <c r="B850" s="5" t="inlineStr">
        <is>
          <t>SKU0401</t>
        </is>
      </c>
      <c r="C850" s="5" t="inlineStr">
        <is>
          <t>インフリキシマブBS点滴静注用「サンド」</t>
        </is>
      </c>
      <c r="D850" s="5" t="inlineStr">
        <is>
          <t>卸C</t>
        </is>
      </c>
      <c r="E850" s="5" t="n">
        <v>129</v>
      </c>
      <c r="F850" s="5" t="n">
        <v>4262819</v>
      </c>
    </row>
    <row r="851">
      <c r="A851" s="4" t="inlineStr">
        <is>
          <t>2026-02</t>
        </is>
      </c>
      <c r="B851" s="4" t="inlineStr">
        <is>
          <t>SKU0401</t>
        </is>
      </c>
      <c r="C851" s="4" t="inlineStr">
        <is>
          <t>インフリキシマブBS点滴静注用「サンド」</t>
        </is>
      </c>
      <c r="D851" s="4" t="inlineStr">
        <is>
          <t>卸A</t>
        </is>
      </c>
      <c r="E851" s="4" t="n">
        <v>297</v>
      </c>
      <c r="F851" s="4" t="n">
        <v>9794580</v>
      </c>
    </row>
    <row r="852">
      <c r="A852" s="5" t="inlineStr">
        <is>
          <t>2026-02</t>
        </is>
      </c>
      <c r="B852" s="5" t="inlineStr">
        <is>
          <t>SKU0401</t>
        </is>
      </c>
      <c r="C852" s="5" t="inlineStr">
        <is>
          <t>インフリキシマブBS点滴静注用「サンド」</t>
        </is>
      </c>
      <c r="D852" s="5" t="inlineStr">
        <is>
          <t>卸B</t>
        </is>
      </c>
      <c r="E852" s="5" t="n">
        <v>186</v>
      </c>
      <c r="F852" s="5" t="n">
        <v>6136504</v>
      </c>
    </row>
    <row r="853">
      <c r="A853" s="4" t="inlineStr">
        <is>
          <t>2026-02</t>
        </is>
      </c>
      <c r="B853" s="4" t="inlineStr">
        <is>
          <t>SKU0401</t>
        </is>
      </c>
      <c r="C853" s="4" t="inlineStr">
        <is>
          <t>インフリキシマブBS点滴静注用「サンド」</t>
        </is>
      </c>
      <c r="D853" s="4" t="inlineStr">
        <is>
          <t>卸C</t>
        </is>
      </c>
      <c r="E853" s="4" t="n">
        <v>124</v>
      </c>
      <c r="F853" s="4" t="n">
        <v>4103316</v>
      </c>
    </row>
    <row r="854">
      <c r="A854" s="5" t="inlineStr">
        <is>
          <t>2026-03</t>
        </is>
      </c>
      <c r="B854" s="5" t="inlineStr">
        <is>
          <t>SKU0401</t>
        </is>
      </c>
      <c r="C854" s="5" t="inlineStr">
        <is>
          <t>インフリキシマブBS点滴静注用「サンド」</t>
        </is>
      </c>
      <c r="D854" s="5" t="inlineStr">
        <is>
          <t>卸A</t>
        </is>
      </c>
      <c r="E854" s="5" t="n">
        <v>442</v>
      </c>
      <c r="F854" s="5" t="n">
        <v>14583021</v>
      </c>
    </row>
    <row r="855">
      <c r="A855" s="4" t="inlineStr">
        <is>
          <t>2026-03</t>
        </is>
      </c>
      <c r="B855" s="4" t="inlineStr">
        <is>
          <t>SKU0401</t>
        </is>
      </c>
      <c r="C855" s="4" t="inlineStr">
        <is>
          <t>インフリキシマブBS点滴静注用「サンド」</t>
        </is>
      </c>
      <c r="D855" s="4" t="inlineStr">
        <is>
          <t>卸B</t>
        </is>
      </c>
      <c r="E855" s="4" t="n">
        <v>341</v>
      </c>
      <c r="F855" s="4" t="n">
        <v>11239557</v>
      </c>
    </row>
    <row r="856">
      <c r="A856" s="5" t="inlineStr">
        <is>
          <t>2026-03</t>
        </is>
      </c>
      <c r="B856" s="5" t="inlineStr">
        <is>
          <t>SKU0401</t>
        </is>
      </c>
      <c r="C856" s="5" t="inlineStr">
        <is>
          <t>インフリキシマブBS点滴静注用「サンド」</t>
        </is>
      </c>
      <c r="D856" s="5" t="inlineStr">
        <is>
          <t>卸C</t>
        </is>
      </c>
      <c r="E856" s="5" t="n">
        <v>155</v>
      </c>
      <c r="F856" s="5" t="n">
        <v>5102242</v>
      </c>
    </row>
    <row r="857">
      <c r="A857" s="4" t="inlineStr">
        <is>
          <t>2026-04</t>
        </is>
      </c>
      <c r="B857" s="4" t="inlineStr">
        <is>
          <t>SKU0401</t>
        </is>
      </c>
      <c r="C857" s="4" t="inlineStr">
        <is>
          <t>インフリキシマブBS点滴静注用「サンド」</t>
        </is>
      </c>
      <c r="D857" s="4" t="inlineStr">
        <is>
          <t>卸A</t>
        </is>
      </c>
      <c r="E857" s="4" t="n">
        <v>125</v>
      </c>
      <c r="F857" s="4" t="n">
        <v>3878688</v>
      </c>
    </row>
    <row r="858">
      <c r="A858" s="5" t="inlineStr">
        <is>
          <t>2026-04</t>
        </is>
      </c>
      <c r="B858" s="5" t="inlineStr">
        <is>
          <t>SKU0401</t>
        </is>
      </c>
      <c r="C858" s="5" t="inlineStr">
        <is>
          <t>インフリキシマブBS点滴静注用「サンド」</t>
        </is>
      </c>
      <c r="D858" s="5" t="inlineStr">
        <is>
          <t>卸B</t>
        </is>
      </c>
      <c r="E858" s="5" t="n">
        <v>14</v>
      </c>
      <c r="F858" s="5" t="n">
        <v>427361</v>
      </c>
    </row>
    <row r="859">
      <c r="A859" s="4" t="inlineStr">
        <is>
          <t>2026-04</t>
        </is>
      </c>
      <c r="B859" s="4" t="inlineStr">
        <is>
          <t>SKU0401</t>
        </is>
      </c>
      <c r="C859" s="4" t="inlineStr">
        <is>
          <t>インフリキシマブBS点滴静注用「サンド」</t>
        </is>
      </c>
      <c r="D859" s="4" t="inlineStr">
        <is>
          <t>卸C</t>
        </is>
      </c>
      <c r="E859" s="4" t="n">
        <v>11</v>
      </c>
      <c r="F859" s="4" t="n">
        <v>348807</v>
      </c>
    </row>
    <row r="860">
      <c r="A860" s="5" t="inlineStr">
        <is>
          <t>2026-05</t>
        </is>
      </c>
      <c r="B860" s="5" t="inlineStr">
        <is>
          <t>SKU0401</t>
        </is>
      </c>
      <c r="C860" s="5" t="inlineStr">
        <is>
          <t>インフリキシマブBS点滴静注用「サンド」</t>
        </is>
      </c>
      <c r="D860" s="5" t="inlineStr">
        <is>
          <t>卸A</t>
        </is>
      </c>
      <c r="E860" s="5" t="n">
        <v>344</v>
      </c>
      <c r="F860" s="5" t="n">
        <v>10684598</v>
      </c>
    </row>
    <row r="861">
      <c r="A861" s="4" t="inlineStr">
        <is>
          <t>2026-05</t>
        </is>
      </c>
      <c r="B861" s="4" t="inlineStr">
        <is>
          <t>SKU0401</t>
        </is>
      </c>
      <c r="C861" s="4" t="inlineStr">
        <is>
          <t>インフリキシマブBS点滴静注用「サンド」</t>
        </is>
      </c>
      <c r="D861" s="4" t="inlineStr">
        <is>
          <t>卸B</t>
        </is>
      </c>
      <c r="E861" s="4" t="n">
        <v>247</v>
      </c>
      <c r="F861" s="4" t="n">
        <v>7674275</v>
      </c>
    </row>
    <row r="862">
      <c r="A862" s="5" t="inlineStr">
        <is>
          <t>2026-05</t>
        </is>
      </c>
      <c r="B862" s="5" t="inlineStr">
        <is>
          <t>SKU0401</t>
        </is>
      </c>
      <c r="C862" s="5" t="inlineStr">
        <is>
          <t>インフリキシマブBS点滴静注用「サンド」</t>
        </is>
      </c>
      <c r="D862" s="5" t="inlineStr">
        <is>
          <t>卸C</t>
        </is>
      </c>
      <c r="E862" s="5" t="n">
        <v>125</v>
      </c>
      <c r="F862" s="5" t="n">
        <v>3872287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375623"/>
    <outlinePr summaryBelow="1" summaryRight="1"/>
    <pageSetUpPr/>
  </sheetPr>
  <dimension ref="A1:F7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4" customWidth="1" min="3" max="3"/>
    <col width="17" customWidth="1" min="4" max="4"/>
    <col width="12" customWidth="1" min="5" max="5"/>
    <col width="14" customWidth="1" min="6" max="6"/>
  </cols>
  <sheetData>
    <row r="1">
      <c r="A1" s="27" t="inlineStr">
        <is>
          <t>period</t>
        </is>
      </c>
      <c r="B1" s="27" t="inlineStr">
        <is>
          <t>sku_id</t>
        </is>
      </c>
      <c r="C1" s="27" t="inlineStr">
        <is>
          <t>product_name</t>
        </is>
      </c>
      <c r="D1" s="27" t="inlineStr">
        <is>
          <t>facility_type</t>
        </is>
      </c>
      <c r="E1" s="27" t="inlineStr">
        <is>
          <t>quantity</t>
        </is>
      </c>
      <c r="F1" s="27" t="inlineStr">
        <is>
          <t>amount_jpy</t>
        </is>
      </c>
    </row>
    <row r="2">
      <c r="A2" s="5" t="inlineStr">
        <is>
          <t>2023-01</t>
        </is>
      </c>
      <c r="B2" s="5" t="inlineStr">
        <is>
          <t>SKU0101</t>
        </is>
      </c>
      <c r="C2" s="5" t="inlineStr">
        <is>
          <t>メトグルコGE「サンド」</t>
        </is>
      </c>
      <c r="D2" s="5" t="inlineStr">
        <is>
          <t>調剤薬局</t>
        </is>
      </c>
      <c r="E2" s="5" t="n">
        <v>16487</v>
      </c>
      <c r="F2" s="5" t="n">
        <v>158273</v>
      </c>
    </row>
    <row r="3">
      <c r="A3" s="4" t="inlineStr">
        <is>
          <t>2023-01</t>
        </is>
      </c>
      <c r="B3" s="4" t="inlineStr">
        <is>
          <t>SKU0101</t>
        </is>
      </c>
      <c r="C3" s="4" t="inlineStr">
        <is>
          <t>メトグルコGE「サンド」</t>
        </is>
      </c>
      <c r="D3" s="4" t="inlineStr">
        <is>
          <t>病院</t>
        </is>
      </c>
      <c r="E3" s="4" t="n">
        <v>9062</v>
      </c>
      <c r="F3" s="4" t="n">
        <v>86991</v>
      </c>
    </row>
    <row r="4">
      <c r="A4" s="5" t="inlineStr">
        <is>
          <t>2023-01</t>
        </is>
      </c>
      <c r="B4" s="5" t="inlineStr">
        <is>
          <t>SKU0101</t>
        </is>
      </c>
      <c r="C4" s="5" t="inlineStr">
        <is>
          <t>メトグルコGE「サンド」</t>
        </is>
      </c>
      <c r="D4" s="5" t="inlineStr">
        <is>
          <t>診療所</t>
        </is>
      </c>
      <c r="E4" s="5" t="n">
        <v>4259</v>
      </c>
      <c r="F4" s="5" t="n">
        <v>40888</v>
      </c>
    </row>
    <row r="5">
      <c r="A5" s="4" t="inlineStr">
        <is>
          <t>2023-01</t>
        </is>
      </c>
      <c r="B5" s="4" t="inlineStr">
        <is>
          <t>SKU0102</t>
        </is>
      </c>
      <c r="C5" s="4" t="inlineStr">
        <is>
          <t>メトグルコGE「サンド」</t>
        </is>
      </c>
      <c r="D5" s="4" t="inlineStr">
        <is>
          <t>調剤薬局</t>
        </is>
      </c>
      <c r="E5" s="4" t="n">
        <v>20125</v>
      </c>
      <c r="F5" s="4" t="n">
        <v>193196</v>
      </c>
    </row>
    <row r="6">
      <c r="A6" s="5" t="inlineStr">
        <is>
          <t>2023-01</t>
        </is>
      </c>
      <c r="B6" s="5" t="inlineStr">
        <is>
          <t>SKU0102</t>
        </is>
      </c>
      <c r="C6" s="5" t="inlineStr">
        <is>
          <t>メトグルコGE「サンド」</t>
        </is>
      </c>
      <c r="D6" s="5" t="inlineStr">
        <is>
          <t>病院</t>
        </is>
      </c>
      <c r="E6" s="5" t="n">
        <v>10770</v>
      </c>
      <c r="F6" s="5" t="n">
        <v>103396</v>
      </c>
    </row>
    <row r="7">
      <c r="A7" s="4" t="inlineStr">
        <is>
          <t>2023-01</t>
        </is>
      </c>
      <c r="B7" s="4" t="inlineStr">
        <is>
          <t>SKU0102</t>
        </is>
      </c>
      <c r="C7" s="4" t="inlineStr">
        <is>
          <t>メトグルコGE「サンド」</t>
        </is>
      </c>
      <c r="D7" s="4" t="inlineStr">
        <is>
          <t>診療所</t>
        </is>
      </c>
      <c r="E7" s="4" t="n">
        <v>5356</v>
      </c>
      <c r="F7" s="4" t="n">
        <v>51416</v>
      </c>
    </row>
    <row r="8">
      <c r="A8" s="5" t="inlineStr">
        <is>
          <t>2023-02</t>
        </is>
      </c>
      <c r="B8" s="5" t="inlineStr">
        <is>
          <t>SKU0101</t>
        </is>
      </c>
      <c r="C8" s="5" t="inlineStr">
        <is>
          <t>メトグルコGE「サンド」</t>
        </is>
      </c>
      <c r="D8" s="5" t="inlineStr">
        <is>
          <t>調剤薬局</t>
        </is>
      </c>
      <c r="E8" s="5" t="n">
        <v>16267</v>
      </c>
      <c r="F8" s="5" t="n">
        <v>156161</v>
      </c>
    </row>
    <row r="9">
      <c r="A9" s="4" t="inlineStr">
        <is>
          <t>2023-02</t>
        </is>
      </c>
      <c r="B9" s="4" t="inlineStr">
        <is>
          <t>SKU0101</t>
        </is>
      </c>
      <c r="C9" s="4" t="inlineStr">
        <is>
          <t>メトグルコGE「サンド」</t>
        </is>
      </c>
      <c r="D9" s="4" t="inlineStr">
        <is>
          <t>病院</t>
        </is>
      </c>
      <c r="E9" s="4" t="n">
        <v>9031</v>
      </c>
      <c r="F9" s="4" t="n">
        <v>86695</v>
      </c>
    </row>
    <row r="10">
      <c r="A10" s="5" t="inlineStr">
        <is>
          <t>2023-02</t>
        </is>
      </c>
      <c r="B10" s="5" t="inlineStr">
        <is>
          <t>SKU0101</t>
        </is>
      </c>
      <c r="C10" s="5" t="inlineStr">
        <is>
          <t>メトグルコGE「サンド」</t>
        </is>
      </c>
      <c r="D10" s="5" t="inlineStr">
        <is>
          <t>診療所</t>
        </is>
      </c>
      <c r="E10" s="5" t="n">
        <v>4556</v>
      </c>
      <c r="F10" s="5" t="n">
        <v>43740</v>
      </c>
    </row>
    <row r="11">
      <c r="A11" s="4" t="inlineStr">
        <is>
          <t>2023-02</t>
        </is>
      </c>
      <c r="B11" s="4" t="inlineStr">
        <is>
          <t>SKU0102</t>
        </is>
      </c>
      <c r="C11" s="4" t="inlineStr">
        <is>
          <t>メトグルコGE「サンド」</t>
        </is>
      </c>
      <c r="D11" s="4" t="inlineStr">
        <is>
          <t>調剤薬局</t>
        </is>
      </c>
      <c r="E11" s="4" t="n">
        <v>19797</v>
      </c>
      <c r="F11" s="4" t="n">
        <v>190053</v>
      </c>
    </row>
    <row r="12">
      <c r="A12" s="5" t="inlineStr">
        <is>
          <t>2023-02</t>
        </is>
      </c>
      <c r="B12" s="5" t="inlineStr">
        <is>
          <t>SKU0102</t>
        </is>
      </c>
      <c r="C12" s="5" t="inlineStr">
        <is>
          <t>メトグルコGE「サンド」</t>
        </is>
      </c>
      <c r="D12" s="5" t="inlineStr">
        <is>
          <t>病院</t>
        </is>
      </c>
      <c r="E12" s="5" t="n">
        <v>10355</v>
      </c>
      <c r="F12" s="5" t="n">
        <v>99403</v>
      </c>
    </row>
    <row r="13">
      <c r="A13" s="4" t="inlineStr">
        <is>
          <t>2023-02</t>
        </is>
      </c>
      <c r="B13" s="4" t="inlineStr">
        <is>
          <t>SKU0102</t>
        </is>
      </c>
      <c r="C13" s="4" t="inlineStr">
        <is>
          <t>メトグルコGE「サンド」</t>
        </is>
      </c>
      <c r="D13" s="4" t="inlineStr">
        <is>
          <t>診療所</t>
        </is>
      </c>
      <c r="E13" s="4" t="n">
        <v>5249</v>
      </c>
      <c r="F13" s="4" t="n">
        <v>50393</v>
      </c>
    </row>
    <row r="14">
      <c r="A14" s="5" t="inlineStr">
        <is>
          <t>2023-03</t>
        </is>
      </c>
      <c r="B14" s="5" t="inlineStr">
        <is>
          <t>SKU0101</t>
        </is>
      </c>
      <c r="C14" s="5" t="inlineStr">
        <is>
          <t>メトグルコGE「サンド」</t>
        </is>
      </c>
      <c r="D14" s="5" t="inlineStr">
        <is>
          <t>調剤薬局</t>
        </is>
      </c>
      <c r="E14" s="5" t="n">
        <v>18890</v>
      </c>
      <c r="F14" s="5" t="n">
        <v>181349</v>
      </c>
    </row>
    <row r="15">
      <c r="A15" s="4" t="inlineStr">
        <is>
          <t>2023-03</t>
        </is>
      </c>
      <c r="B15" s="4" t="inlineStr">
        <is>
          <t>SKU0101</t>
        </is>
      </c>
      <c r="C15" s="4" t="inlineStr">
        <is>
          <t>メトグルコGE「サンド」</t>
        </is>
      </c>
      <c r="D15" s="4" t="inlineStr">
        <is>
          <t>病院</t>
        </is>
      </c>
      <c r="E15" s="4" t="n">
        <v>10109</v>
      </c>
      <c r="F15" s="4" t="n">
        <v>97045</v>
      </c>
    </row>
    <row r="16">
      <c r="A16" s="5" t="inlineStr">
        <is>
          <t>2023-03</t>
        </is>
      </c>
      <c r="B16" s="5" t="inlineStr">
        <is>
          <t>SKU0101</t>
        </is>
      </c>
      <c r="C16" s="5" t="inlineStr">
        <is>
          <t>メトグルコGE「サンド」</t>
        </is>
      </c>
      <c r="D16" s="5" t="inlineStr">
        <is>
          <t>診療所</t>
        </is>
      </c>
      <c r="E16" s="5" t="n">
        <v>5056</v>
      </c>
      <c r="F16" s="5" t="n">
        <v>48536</v>
      </c>
    </row>
    <row r="17">
      <c r="A17" s="4" t="inlineStr">
        <is>
          <t>2023-03</t>
        </is>
      </c>
      <c r="B17" s="4" t="inlineStr">
        <is>
          <t>SKU0102</t>
        </is>
      </c>
      <c r="C17" s="4" t="inlineStr">
        <is>
          <t>メトグルコGE「サンド」</t>
        </is>
      </c>
      <c r="D17" s="4" t="inlineStr">
        <is>
          <t>調剤薬局</t>
        </is>
      </c>
      <c r="E17" s="4" t="n">
        <v>22347</v>
      </c>
      <c r="F17" s="4" t="n">
        <v>214535</v>
      </c>
    </row>
    <row r="18">
      <c r="A18" s="5" t="inlineStr">
        <is>
          <t>2023-03</t>
        </is>
      </c>
      <c r="B18" s="5" t="inlineStr">
        <is>
          <t>SKU0102</t>
        </is>
      </c>
      <c r="C18" s="5" t="inlineStr">
        <is>
          <t>メトグルコGE「サンド」</t>
        </is>
      </c>
      <c r="D18" s="5" t="inlineStr">
        <is>
          <t>病院</t>
        </is>
      </c>
      <c r="E18" s="5" t="n">
        <v>11874</v>
      </c>
      <c r="F18" s="5" t="n">
        <v>113994</v>
      </c>
    </row>
    <row r="19">
      <c r="A19" s="4" t="inlineStr">
        <is>
          <t>2023-03</t>
        </is>
      </c>
      <c r="B19" s="4" t="inlineStr">
        <is>
          <t>SKU0102</t>
        </is>
      </c>
      <c r="C19" s="4" t="inlineStr">
        <is>
          <t>メトグルコGE「サンド」</t>
        </is>
      </c>
      <c r="D19" s="4" t="inlineStr">
        <is>
          <t>診療所</t>
        </is>
      </c>
      <c r="E19" s="4" t="n">
        <v>5818</v>
      </c>
      <c r="F19" s="4" t="n">
        <v>55849</v>
      </c>
    </row>
    <row r="20">
      <c r="A20" s="5" t="inlineStr">
        <is>
          <t>2023-04</t>
        </is>
      </c>
      <c r="B20" s="5" t="inlineStr">
        <is>
          <t>SKU0101</t>
        </is>
      </c>
      <c r="C20" s="5" t="inlineStr">
        <is>
          <t>メトグルコGE「サンド」</t>
        </is>
      </c>
      <c r="D20" s="5" t="inlineStr">
        <is>
          <t>調剤薬局</t>
        </is>
      </c>
      <c r="E20" s="5" t="n">
        <v>15646</v>
      </c>
      <c r="F20" s="5" t="n">
        <v>150203</v>
      </c>
    </row>
    <row r="21">
      <c r="A21" s="4" t="inlineStr">
        <is>
          <t>2023-04</t>
        </is>
      </c>
      <c r="B21" s="4" t="inlineStr">
        <is>
          <t>SKU0101</t>
        </is>
      </c>
      <c r="C21" s="4" t="inlineStr">
        <is>
          <t>メトグルコGE「サンド」</t>
        </is>
      </c>
      <c r="D21" s="4" t="inlineStr">
        <is>
          <t>病院</t>
        </is>
      </c>
      <c r="E21" s="4" t="n">
        <v>8806</v>
      </c>
      <c r="F21" s="4" t="n">
        <v>84538</v>
      </c>
    </row>
    <row r="22">
      <c r="A22" s="5" t="inlineStr">
        <is>
          <t>2023-04</t>
        </is>
      </c>
      <c r="B22" s="5" t="inlineStr">
        <is>
          <t>SKU0101</t>
        </is>
      </c>
      <c r="C22" s="5" t="inlineStr">
        <is>
          <t>メトグルコGE「サンド」</t>
        </is>
      </c>
      <c r="D22" s="5" t="inlineStr">
        <is>
          <t>診療所</t>
        </is>
      </c>
      <c r="E22" s="5" t="n">
        <v>4321</v>
      </c>
      <c r="F22" s="5" t="n">
        <v>41484</v>
      </c>
    </row>
    <row r="23">
      <c r="A23" s="4" t="inlineStr">
        <is>
          <t>2023-04</t>
        </is>
      </c>
      <c r="B23" s="4" t="inlineStr">
        <is>
          <t>SKU0102</t>
        </is>
      </c>
      <c r="C23" s="4" t="inlineStr">
        <is>
          <t>メトグルコGE「サンド」</t>
        </is>
      </c>
      <c r="D23" s="4" t="inlineStr">
        <is>
          <t>調剤薬局</t>
        </is>
      </c>
      <c r="E23" s="4" t="n">
        <v>18582</v>
      </c>
      <c r="F23" s="4" t="n">
        <v>178383</v>
      </c>
    </row>
    <row r="24">
      <c r="A24" s="5" t="inlineStr">
        <is>
          <t>2023-04</t>
        </is>
      </c>
      <c r="B24" s="5" t="inlineStr">
        <is>
          <t>SKU0102</t>
        </is>
      </c>
      <c r="C24" s="5" t="inlineStr">
        <is>
          <t>メトグルコGE「サンド」</t>
        </is>
      </c>
      <c r="D24" s="5" t="inlineStr">
        <is>
          <t>病院</t>
        </is>
      </c>
      <c r="E24" s="5" t="n">
        <v>10235</v>
      </c>
      <c r="F24" s="5" t="n">
        <v>98253</v>
      </c>
    </row>
    <row r="25">
      <c r="A25" s="4" t="inlineStr">
        <is>
          <t>2023-04</t>
        </is>
      </c>
      <c r="B25" s="4" t="inlineStr">
        <is>
          <t>SKU0102</t>
        </is>
      </c>
      <c r="C25" s="4" t="inlineStr">
        <is>
          <t>メトグルコGE「サンド」</t>
        </is>
      </c>
      <c r="D25" s="4" t="inlineStr">
        <is>
          <t>診療所</t>
        </is>
      </c>
      <c r="E25" s="4" t="n">
        <v>4960</v>
      </c>
      <c r="F25" s="4" t="n">
        <v>47617</v>
      </c>
    </row>
    <row r="26">
      <c r="A26" s="5" t="inlineStr">
        <is>
          <t>2023-05</t>
        </is>
      </c>
      <c r="B26" s="5" t="inlineStr">
        <is>
          <t>SKU0101</t>
        </is>
      </c>
      <c r="C26" s="5" t="inlineStr">
        <is>
          <t>メトグルコGE「サンド」</t>
        </is>
      </c>
      <c r="D26" s="5" t="inlineStr">
        <is>
          <t>調剤薬局</t>
        </is>
      </c>
      <c r="E26" s="5" t="n">
        <v>17844</v>
      </c>
      <c r="F26" s="5" t="n">
        <v>171300</v>
      </c>
    </row>
    <row r="27">
      <c r="A27" s="4" t="inlineStr">
        <is>
          <t>2023-05</t>
        </is>
      </c>
      <c r="B27" s="4" t="inlineStr">
        <is>
          <t>SKU0101</t>
        </is>
      </c>
      <c r="C27" s="4" t="inlineStr">
        <is>
          <t>メトグルコGE「サンド」</t>
        </is>
      </c>
      <c r="D27" s="4" t="inlineStr">
        <is>
          <t>病院</t>
        </is>
      </c>
      <c r="E27" s="4" t="n">
        <v>9625</v>
      </c>
      <c r="F27" s="4" t="n">
        <v>92402</v>
      </c>
    </row>
    <row r="28">
      <c r="A28" s="5" t="inlineStr">
        <is>
          <t>2023-05</t>
        </is>
      </c>
      <c r="B28" s="5" t="inlineStr">
        <is>
          <t>SKU0101</t>
        </is>
      </c>
      <c r="C28" s="5" t="inlineStr">
        <is>
          <t>メトグルコGE「サンド」</t>
        </is>
      </c>
      <c r="D28" s="5" t="inlineStr">
        <is>
          <t>診療所</t>
        </is>
      </c>
      <c r="E28" s="5" t="n">
        <v>4582</v>
      </c>
      <c r="F28" s="5" t="n">
        <v>43989</v>
      </c>
    </row>
    <row r="29">
      <c r="A29" s="4" t="inlineStr">
        <is>
          <t>2023-05</t>
        </is>
      </c>
      <c r="B29" s="4" t="inlineStr">
        <is>
          <t>SKU0102</t>
        </is>
      </c>
      <c r="C29" s="4" t="inlineStr">
        <is>
          <t>メトグルコGE「サンド」</t>
        </is>
      </c>
      <c r="D29" s="4" t="inlineStr">
        <is>
          <t>調剤薬局</t>
        </is>
      </c>
      <c r="E29" s="4" t="n">
        <v>20775</v>
      </c>
      <c r="F29" s="4" t="n">
        <v>199444</v>
      </c>
    </row>
    <row r="30">
      <c r="A30" s="5" t="inlineStr">
        <is>
          <t>2023-05</t>
        </is>
      </c>
      <c r="B30" s="5" t="inlineStr">
        <is>
          <t>SKU0102</t>
        </is>
      </c>
      <c r="C30" s="5" t="inlineStr">
        <is>
          <t>メトグルコGE「サンド」</t>
        </is>
      </c>
      <c r="D30" s="5" t="inlineStr">
        <is>
          <t>病院</t>
        </is>
      </c>
      <c r="E30" s="5" t="n">
        <v>10699</v>
      </c>
      <c r="F30" s="5" t="n">
        <v>102709</v>
      </c>
    </row>
    <row r="31">
      <c r="A31" s="4" t="inlineStr">
        <is>
          <t>2023-05</t>
        </is>
      </c>
      <c r="B31" s="4" t="inlineStr">
        <is>
          <t>SKU0102</t>
        </is>
      </c>
      <c r="C31" s="4" t="inlineStr">
        <is>
          <t>メトグルコGE「サンド」</t>
        </is>
      </c>
      <c r="D31" s="4" t="inlineStr">
        <is>
          <t>診療所</t>
        </is>
      </c>
      <c r="E31" s="4" t="n">
        <v>5161</v>
      </c>
      <c r="F31" s="4" t="n">
        <v>49549</v>
      </c>
    </row>
    <row r="32">
      <c r="A32" s="5" t="inlineStr">
        <is>
          <t>2023-06</t>
        </is>
      </c>
      <c r="B32" s="5" t="inlineStr">
        <is>
          <t>SKU0101</t>
        </is>
      </c>
      <c r="C32" s="5" t="inlineStr">
        <is>
          <t>メトグルコGE「サンド」</t>
        </is>
      </c>
      <c r="D32" s="5" t="inlineStr">
        <is>
          <t>調剤薬局</t>
        </is>
      </c>
      <c r="E32" s="5" t="n">
        <v>16779</v>
      </c>
      <c r="F32" s="5" t="n">
        <v>161078</v>
      </c>
    </row>
    <row r="33">
      <c r="A33" s="4" t="inlineStr">
        <is>
          <t>2023-06</t>
        </is>
      </c>
      <c r="B33" s="4" t="inlineStr">
        <is>
          <t>SKU0101</t>
        </is>
      </c>
      <c r="C33" s="4" t="inlineStr">
        <is>
          <t>メトグルコGE「サンド」</t>
        </is>
      </c>
      <c r="D33" s="4" t="inlineStr">
        <is>
          <t>病院</t>
        </is>
      </c>
      <c r="E33" s="4" t="n">
        <v>9159</v>
      </c>
      <c r="F33" s="4" t="n">
        <v>87926</v>
      </c>
    </row>
    <row r="34">
      <c r="A34" s="5" t="inlineStr">
        <is>
          <t>2023-06</t>
        </is>
      </c>
      <c r="B34" s="5" t="inlineStr">
        <is>
          <t>SKU0101</t>
        </is>
      </c>
      <c r="C34" s="5" t="inlineStr">
        <is>
          <t>メトグルコGE「サンド」</t>
        </is>
      </c>
      <c r="D34" s="5" t="inlineStr">
        <is>
          <t>診療所</t>
        </is>
      </c>
      <c r="E34" s="5" t="n">
        <v>4732</v>
      </c>
      <c r="F34" s="5" t="n">
        <v>45423</v>
      </c>
    </row>
    <row r="35">
      <c r="A35" s="4" t="inlineStr">
        <is>
          <t>2023-06</t>
        </is>
      </c>
      <c r="B35" s="4" t="inlineStr">
        <is>
          <t>SKU0102</t>
        </is>
      </c>
      <c r="C35" s="4" t="inlineStr">
        <is>
          <t>メトグルコGE「サンド」</t>
        </is>
      </c>
      <c r="D35" s="4" t="inlineStr">
        <is>
          <t>調剤薬局</t>
        </is>
      </c>
      <c r="E35" s="4" t="n">
        <v>19276</v>
      </c>
      <c r="F35" s="4" t="n">
        <v>185049</v>
      </c>
    </row>
    <row r="36">
      <c r="A36" s="5" t="inlineStr">
        <is>
          <t>2023-06</t>
        </is>
      </c>
      <c r="B36" s="5" t="inlineStr">
        <is>
          <t>SKU0102</t>
        </is>
      </c>
      <c r="C36" s="5" t="inlineStr">
        <is>
          <t>メトグルコGE「サンド」</t>
        </is>
      </c>
      <c r="D36" s="5" t="inlineStr">
        <is>
          <t>病院</t>
        </is>
      </c>
      <c r="E36" s="5" t="n">
        <v>10494</v>
      </c>
      <c r="F36" s="5" t="n">
        <v>100743</v>
      </c>
    </row>
    <row r="37">
      <c r="A37" s="4" t="inlineStr">
        <is>
          <t>2023-06</t>
        </is>
      </c>
      <c r="B37" s="4" t="inlineStr">
        <is>
          <t>SKU0102</t>
        </is>
      </c>
      <c r="C37" s="4" t="inlineStr">
        <is>
          <t>メトグルコGE「サンド」</t>
        </is>
      </c>
      <c r="D37" s="4" t="inlineStr">
        <is>
          <t>診療所</t>
        </is>
      </c>
      <c r="E37" s="4" t="n">
        <v>5399</v>
      </c>
      <c r="F37" s="4" t="n">
        <v>51832</v>
      </c>
    </row>
    <row r="38">
      <c r="A38" s="5" t="inlineStr">
        <is>
          <t>2023-07</t>
        </is>
      </c>
      <c r="B38" s="5" t="inlineStr">
        <is>
          <t>SKU0101</t>
        </is>
      </c>
      <c r="C38" s="5" t="inlineStr">
        <is>
          <t>メトグルコGE「サンド」</t>
        </is>
      </c>
      <c r="D38" s="5" t="inlineStr">
        <is>
          <t>調剤薬局</t>
        </is>
      </c>
      <c r="E38" s="5" t="n">
        <v>16593</v>
      </c>
      <c r="F38" s="5" t="n">
        <v>159294</v>
      </c>
    </row>
    <row r="39">
      <c r="A39" s="4" t="inlineStr">
        <is>
          <t>2023-07</t>
        </is>
      </c>
      <c r="B39" s="4" t="inlineStr">
        <is>
          <t>SKU0101</t>
        </is>
      </c>
      <c r="C39" s="4" t="inlineStr">
        <is>
          <t>メトグルコGE「サンド」</t>
        </is>
      </c>
      <c r="D39" s="4" t="inlineStr">
        <is>
          <t>病院</t>
        </is>
      </c>
      <c r="E39" s="4" t="n">
        <v>9044</v>
      </c>
      <c r="F39" s="4" t="n">
        <v>86826</v>
      </c>
    </row>
    <row r="40">
      <c r="A40" s="5" t="inlineStr">
        <is>
          <t>2023-07</t>
        </is>
      </c>
      <c r="B40" s="5" t="inlineStr">
        <is>
          <t>SKU0101</t>
        </is>
      </c>
      <c r="C40" s="5" t="inlineStr">
        <is>
          <t>メトグルコGE「サンド」</t>
        </is>
      </c>
      <c r="D40" s="5" t="inlineStr">
        <is>
          <t>診療所</t>
        </is>
      </c>
      <c r="E40" s="5" t="n">
        <v>4535</v>
      </c>
      <c r="F40" s="5" t="n">
        <v>43534</v>
      </c>
    </row>
    <row r="41">
      <c r="A41" s="4" t="inlineStr">
        <is>
          <t>2023-07</t>
        </is>
      </c>
      <c r="B41" s="4" t="inlineStr">
        <is>
          <t>SKU0102</t>
        </is>
      </c>
      <c r="C41" s="4" t="inlineStr">
        <is>
          <t>メトグルコGE「サンド」</t>
        </is>
      </c>
      <c r="D41" s="4" t="inlineStr">
        <is>
          <t>調剤薬局</t>
        </is>
      </c>
      <c r="E41" s="4" t="n">
        <v>18453</v>
      </c>
      <c r="F41" s="4" t="n">
        <v>177150</v>
      </c>
    </row>
    <row r="42">
      <c r="A42" s="5" t="inlineStr">
        <is>
          <t>2023-07</t>
        </is>
      </c>
      <c r="B42" s="5" t="inlineStr">
        <is>
          <t>SKU0102</t>
        </is>
      </c>
      <c r="C42" s="5" t="inlineStr">
        <is>
          <t>メトグルコGE「サンド」</t>
        </is>
      </c>
      <c r="D42" s="5" t="inlineStr">
        <is>
          <t>病院</t>
        </is>
      </c>
      <c r="E42" s="5" t="n">
        <v>9258</v>
      </c>
      <c r="F42" s="5" t="n">
        <v>88874</v>
      </c>
    </row>
    <row r="43">
      <c r="A43" s="4" t="inlineStr">
        <is>
          <t>2023-07</t>
        </is>
      </c>
      <c r="B43" s="4" t="inlineStr">
        <is>
          <t>SKU0102</t>
        </is>
      </c>
      <c r="C43" s="4" t="inlineStr">
        <is>
          <t>メトグルコGE「サンド」</t>
        </is>
      </c>
      <c r="D43" s="4" t="inlineStr">
        <is>
          <t>診療所</t>
        </is>
      </c>
      <c r="E43" s="4" t="n">
        <v>4887</v>
      </c>
      <c r="F43" s="4" t="n">
        <v>46918</v>
      </c>
    </row>
    <row r="44">
      <c r="A44" s="5" t="inlineStr">
        <is>
          <t>2023-08</t>
        </is>
      </c>
      <c r="B44" s="5" t="inlineStr">
        <is>
          <t>SKU0101</t>
        </is>
      </c>
      <c r="C44" s="5" t="inlineStr">
        <is>
          <t>メトグルコGE「サンド」</t>
        </is>
      </c>
      <c r="D44" s="5" t="inlineStr">
        <is>
          <t>調剤薬局</t>
        </is>
      </c>
      <c r="E44" s="5" t="n">
        <v>16854</v>
      </c>
      <c r="F44" s="5" t="n">
        <v>161800</v>
      </c>
    </row>
    <row r="45">
      <c r="A45" s="4" t="inlineStr">
        <is>
          <t>2023-08</t>
        </is>
      </c>
      <c r="B45" s="4" t="inlineStr">
        <is>
          <t>SKU0101</t>
        </is>
      </c>
      <c r="C45" s="4" t="inlineStr">
        <is>
          <t>メトグルコGE「サンド」</t>
        </is>
      </c>
      <c r="D45" s="4" t="inlineStr">
        <is>
          <t>病院</t>
        </is>
      </c>
      <c r="E45" s="4" t="n">
        <v>9847</v>
      </c>
      <c r="F45" s="4" t="n">
        <v>94533</v>
      </c>
    </row>
    <row r="46">
      <c r="A46" s="5" t="inlineStr">
        <is>
          <t>2023-08</t>
        </is>
      </c>
      <c r="B46" s="5" t="inlineStr">
        <is>
          <t>SKU0101</t>
        </is>
      </c>
      <c r="C46" s="5" t="inlineStr">
        <is>
          <t>メトグルコGE「サンド」</t>
        </is>
      </c>
      <c r="D46" s="5" t="inlineStr">
        <is>
          <t>診療所</t>
        </is>
      </c>
      <c r="E46" s="5" t="n">
        <v>4918</v>
      </c>
      <c r="F46" s="5" t="n">
        <v>47209</v>
      </c>
    </row>
    <row r="47">
      <c r="A47" s="4" t="inlineStr">
        <is>
          <t>2023-08</t>
        </is>
      </c>
      <c r="B47" s="4" t="inlineStr">
        <is>
          <t>SKU0102</t>
        </is>
      </c>
      <c r="C47" s="4" t="inlineStr">
        <is>
          <t>メトグルコGE「サンド」</t>
        </is>
      </c>
      <c r="D47" s="4" t="inlineStr">
        <is>
          <t>調剤薬局</t>
        </is>
      </c>
      <c r="E47" s="4" t="n">
        <v>20169</v>
      </c>
      <c r="F47" s="4" t="n">
        <v>193627</v>
      </c>
    </row>
    <row r="48">
      <c r="A48" s="5" t="inlineStr">
        <is>
          <t>2023-08</t>
        </is>
      </c>
      <c r="B48" s="5" t="inlineStr">
        <is>
          <t>SKU0102</t>
        </is>
      </c>
      <c r="C48" s="5" t="inlineStr">
        <is>
          <t>メトグルコGE「サンド」</t>
        </is>
      </c>
      <c r="D48" s="5" t="inlineStr">
        <is>
          <t>病院</t>
        </is>
      </c>
      <c r="E48" s="5" t="n">
        <v>11047</v>
      </c>
      <c r="F48" s="5" t="n">
        <v>106051</v>
      </c>
    </row>
    <row r="49">
      <c r="A49" s="4" t="inlineStr">
        <is>
          <t>2023-08</t>
        </is>
      </c>
      <c r="B49" s="4" t="inlineStr">
        <is>
          <t>SKU0102</t>
        </is>
      </c>
      <c r="C49" s="4" t="inlineStr">
        <is>
          <t>メトグルコGE「サンド」</t>
        </is>
      </c>
      <c r="D49" s="4" t="inlineStr">
        <is>
          <t>診療所</t>
        </is>
      </c>
      <c r="E49" s="4" t="n">
        <v>5366</v>
      </c>
      <c r="F49" s="4" t="n">
        <v>51513</v>
      </c>
    </row>
    <row r="50">
      <c r="A50" s="5" t="inlineStr">
        <is>
          <t>2023-09</t>
        </is>
      </c>
      <c r="B50" s="5" t="inlineStr">
        <is>
          <t>SKU0101</t>
        </is>
      </c>
      <c r="C50" s="5" t="inlineStr">
        <is>
          <t>メトグルコGE「サンド」</t>
        </is>
      </c>
      <c r="D50" s="5" t="inlineStr">
        <is>
          <t>調剤薬局</t>
        </is>
      </c>
      <c r="E50" s="5" t="n">
        <v>18800</v>
      </c>
      <c r="F50" s="5" t="n">
        <v>180483</v>
      </c>
    </row>
    <row r="51">
      <c r="A51" s="4" t="inlineStr">
        <is>
          <t>2023-09</t>
        </is>
      </c>
      <c r="B51" s="4" t="inlineStr">
        <is>
          <t>SKU0101</t>
        </is>
      </c>
      <c r="C51" s="4" t="inlineStr">
        <is>
          <t>メトグルコGE「サンド」</t>
        </is>
      </c>
      <c r="D51" s="4" t="inlineStr">
        <is>
          <t>病院</t>
        </is>
      </c>
      <c r="E51" s="4" t="n">
        <v>10563</v>
      </c>
      <c r="F51" s="4" t="n">
        <v>101400</v>
      </c>
    </row>
    <row r="52">
      <c r="A52" s="5" t="inlineStr">
        <is>
          <t>2023-09</t>
        </is>
      </c>
      <c r="B52" s="5" t="inlineStr">
        <is>
          <t>SKU0101</t>
        </is>
      </c>
      <c r="C52" s="5" t="inlineStr">
        <is>
          <t>メトグルコGE「サンド」</t>
        </is>
      </c>
      <c r="D52" s="5" t="inlineStr">
        <is>
          <t>診療所</t>
        </is>
      </c>
      <c r="E52" s="5" t="n">
        <v>5123</v>
      </c>
      <c r="F52" s="5" t="n">
        <v>49181</v>
      </c>
    </row>
    <row r="53">
      <c r="A53" s="4" t="inlineStr">
        <is>
          <t>2023-09</t>
        </is>
      </c>
      <c r="B53" s="4" t="inlineStr">
        <is>
          <t>SKU0102</t>
        </is>
      </c>
      <c r="C53" s="4" t="inlineStr">
        <is>
          <t>メトグルコGE「サンド」</t>
        </is>
      </c>
      <c r="D53" s="4" t="inlineStr">
        <is>
          <t>調剤薬局</t>
        </is>
      </c>
      <c r="E53" s="4" t="n">
        <v>20348</v>
      </c>
      <c r="F53" s="4" t="n">
        <v>195340</v>
      </c>
    </row>
    <row r="54">
      <c r="A54" s="5" t="inlineStr">
        <is>
          <t>2023-09</t>
        </is>
      </c>
      <c r="B54" s="5" t="inlineStr">
        <is>
          <t>SKU0102</t>
        </is>
      </c>
      <c r="C54" s="5" t="inlineStr">
        <is>
          <t>メトグルコGE「サンド」</t>
        </is>
      </c>
      <c r="D54" s="5" t="inlineStr">
        <is>
          <t>病院</t>
        </is>
      </c>
      <c r="E54" s="5" t="n">
        <v>11428</v>
      </c>
      <c r="F54" s="5" t="n">
        <v>109706</v>
      </c>
    </row>
    <row r="55">
      <c r="A55" s="4" t="inlineStr">
        <is>
          <t>2023-09</t>
        </is>
      </c>
      <c r="B55" s="4" t="inlineStr">
        <is>
          <t>SKU0102</t>
        </is>
      </c>
      <c r="C55" s="4" t="inlineStr">
        <is>
          <t>メトグルコGE「サンド」</t>
        </is>
      </c>
      <c r="D55" s="4" t="inlineStr">
        <is>
          <t>診療所</t>
        </is>
      </c>
      <c r="E55" s="4" t="n">
        <v>5457</v>
      </c>
      <c r="F55" s="4" t="n">
        <v>52385</v>
      </c>
    </row>
    <row r="56">
      <c r="A56" s="5" t="inlineStr">
        <is>
          <t>2023-10</t>
        </is>
      </c>
      <c r="B56" s="5" t="inlineStr">
        <is>
          <t>SKU0101</t>
        </is>
      </c>
      <c r="C56" s="5" t="inlineStr">
        <is>
          <t>メトグルコGE「サンド」</t>
        </is>
      </c>
      <c r="D56" s="5" t="inlineStr">
        <is>
          <t>調剤薬局</t>
        </is>
      </c>
      <c r="E56" s="5" t="n">
        <v>18528</v>
      </c>
      <c r="F56" s="5" t="n">
        <v>177865</v>
      </c>
    </row>
    <row r="57">
      <c r="A57" s="4" t="inlineStr">
        <is>
          <t>2023-10</t>
        </is>
      </c>
      <c r="B57" s="4" t="inlineStr">
        <is>
          <t>SKU0101</t>
        </is>
      </c>
      <c r="C57" s="4" t="inlineStr">
        <is>
          <t>メトグルコGE「サンド」</t>
        </is>
      </c>
      <c r="D57" s="4" t="inlineStr">
        <is>
          <t>病院</t>
        </is>
      </c>
      <c r="E57" s="4" t="n">
        <v>10068</v>
      </c>
      <c r="F57" s="4" t="n">
        <v>96653</v>
      </c>
    </row>
    <row r="58">
      <c r="A58" s="5" t="inlineStr">
        <is>
          <t>2023-10</t>
        </is>
      </c>
      <c r="B58" s="5" t="inlineStr">
        <is>
          <t>SKU0101</t>
        </is>
      </c>
      <c r="C58" s="5" t="inlineStr">
        <is>
          <t>メトグルコGE「サンド」</t>
        </is>
      </c>
      <c r="D58" s="5" t="inlineStr">
        <is>
          <t>診療所</t>
        </is>
      </c>
      <c r="E58" s="5" t="n">
        <v>4792</v>
      </c>
      <c r="F58" s="5" t="n">
        <v>46007</v>
      </c>
    </row>
    <row r="59">
      <c r="A59" s="4" t="inlineStr">
        <is>
          <t>2023-10</t>
        </is>
      </c>
      <c r="B59" s="4" t="inlineStr">
        <is>
          <t>SKU0102</t>
        </is>
      </c>
      <c r="C59" s="4" t="inlineStr">
        <is>
          <t>メトグルコGE「サンド」</t>
        </is>
      </c>
      <c r="D59" s="4" t="inlineStr">
        <is>
          <t>調剤薬局</t>
        </is>
      </c>
      <c r="E59" s="4" t="n">
        <v>19515</v>
      </c>
      <c r="F59" s="4" t="n">
        <v>187344</v>
      </c>
    </row>
    <row r="60">
      <c r="A60" s="5" t="inlineStr">
        <is>
          <t>2023-10</t>
        </is>
      </c>
      <c r="B60" s="5" t="inlineStr">
        <is>
          <t>SKU0102</t>
        </is>
      </c>
      <c r="C60" s="5" t="inlineStr">
        <is>
          <t>メトグルコGE「サンド」</t>
        </is>
      </c>
      <c r="D60" s="5" t="inlineStr">
        <is>
          <t>病院</t>
        </is>
      </c>
      <c r="E60" s="5" t="n">
        <v>10559</v>
      </c>
      <c r="F60" s="5" t="n">
        <v>101368</v>
      </c>
    </row>
    <row r="61">
      <c r="A61" s="4" t="inlineStr">
        <is>
          <t>2023-10</t>
        </is>
      </c>
      <c r="B61" s="4" t="inlineStr">
        <is>
          <t>SKU0102</t>
        </is>
      </c>
      <c r="C61" s="4" t="inlineStr">
        <is>
          <t>メトグルコGE「サンド」</t>
        </is>
      </c>
      <c r="D61" s="4" t="inlineStr">
        <is>
          <t>診療所</t>
        </is>
      </c>
      <c r="E61" s="4" t="n">
        <v>5187</v>
      </c>
      <c r="F61" s="4" t="n">
        <v>49795</v>
      </c>
    </row>
    <row r="62">
      <c r="A62" s="5" t="inlineStr">
        <is>
          <t>2023-11</t>
        </is>
      </c>
      <c r="B62" s="5" t="inlineStr">
        <is>
          <t>SKU0101</t>
        </is>
      </c>
      <c r="C62" s="5" t="inlineStr">
        <is>
          <t>メトグルコGE「サンド」</t>
        </is>
      </c>
      <c r="D62" s="5" t="inlineStr">
        <is>
          <t>調剤薬局</t>
        </is>
      </c>
      <c r="E62" s="5" t="n">
        <v>18204</v>
      </c>
      <c r="F62" s="5" t="n">
        <v>174758</v>
      </c>
    </row>
    <row r="63">
      <c r="A63" s="4" t="inlineStr">
        <is>
          <t>2023-11</t>
        </is>
      </c>
      <c r="B63" s="4" t="inlineStr">
        <is>
          <t>SKU0101</t>
        </is>
      </c>
      <c r="C63" s="4" t="inlineStr">
        <is>
          <t>メトグルコGE「サンド」</t>
        </is>
      </c>
      <c r="D63" s="4" t="inlineStr">
        <is>
          <t>病院</t>
        </is>
      </c>
      <c r="E63" s="4" t="n">
        <v>9900</v>
      </c>
      <c r="F63" s="4" t="n">
        <v>95039</v>
      </c>
    </row>
    <row r="64">
      <c r="A64" s="5" t="inlineStr">
        <is>
          <t>2023-11</t>
        </is>
      </c>
      <c r="B64" s="5" t="inlineStr">
        <is>
          <t>SKU0101</t>
        </is>
      </c>
      <c r="C64" s="5" t="inlineStr">
        <is>
          <t>メトグルコGE「サンド」</t>
        </is>
      </c>
      <c r="D64" s="5" t="inlineStr">
        <is>
          <t>診療所</t>
        </is>
      </c>
      <c r="E64" s="5" t="n">
        <v>4999</v>
      </c>
      <c r="F64" s="5" t="n">
        <v>47990</v>
      </c>
    </row>
    <row r="65">
      <c r="A65" s="4" t="inlineStr">
        <is>
          <t>2023-11</t>
        </is>
      </c>
      <c r="B65" s="4" t="inlineStr">
        <is>
          <t>SKU0102</t>
        </is>
      </c>
      <c r="C65" s="4" t="inlineStr">
        <is>
          <t>メトグルコGE「サンド」</t>
        </is>
      </c>
      <c r="D65" s="4" t="inlineStr">
        <is>
          <t>調剤薬局</t>
        </is>
      </c>
      <c r="E65" s="4" t="n">
        <v>19510</v>
      </c>
      <c r="F65" s="4" t="n">
        <v>187295</v>
      </c>
    </row>
    <row r="66">
      <c r="A66" s="5" t="inlineStr">
        <is>
          <t>2023-11</t>
        </is>
      </c>
      <c r="B66" s="5" t="inlineStr">
        <is>
          <t>SKU0102</t>
        </is>
      </c>
      <c r="C66" s="5" t="inlineStr">
        <is>
          <t>メトグルコGE「サンド」</t>
        </is>
      </c>
      <c r="D66" s="5" t="inlineStr">
        <is>
          <t>病院</t>
        </is>
      </c>
      <c r="E66" s="5" t="n">
        <v>10171</v>
      </c>
      <c r="F66" s="5" t="n">
        <v>97643</v>
      </c>
    </row>
    <row r="67">
      <c r="A67" s="4" t="inlineStr">
        <is>
          <t>2023-11</t>
        </is>
      </c>
      <c r="B67" s="4" t="inlineStr">
        <is>
          <t>SKU0102</t>
        </is>
      </c>
      <c r="C67" s="4" t="inlineStr">
        <is>
          <t>メトグルコGE「サンド」</t>
        </is>
      </c>
      <c r="D67" s="4" t="inlineStr">
        <is>
          <t>診療所</t>
        </is>
      </c>
      <c r="E67" s="4" t="n">
        <v>5304</v>
      </c>
      <c r="F67" s="4" t="n">
        <v>50922</v>
      </c>
    </row>
    <row r="68">
      <c r="A68" s="5" t="inlineStr">
        <is>
          <t>2023-12</t>
        </is>
      </c>
      <c r="B68" s="5" t="inlineStr">
        <is>
          <t>SKU0101</t>
        </is>
      </c>
      <c r="C68" s="5" t="inlineStr">
        <is>
          <t>メトグルコGE「サンド」</t>
        </is>
      </c>
      <c r="D68" s="5" t="inlineStr">
        <is>
          <t>調剤薬局</t>
        </is>
      </c>
      <c r="E68" s="5" t="n">
        <v>19667</v>
      </c>
      <c r="F68" s="5" t="n">
        <v>188806</v>
      </c>
    </row>
    <row r="69">
      <c r="A69" s="4" t="inlineStr">
        <is>
          <t>2023-12</t>
        </is>
      </c>
      <c r="B69" s="4" t="inlineStr">
        <is>
          <t>SKU0101</t>
        </is>
      </c>
      <c r="C69" s="4" t="inlineStr">
        <is>
          <t>メトグルコGE「サンド」</t>
        </is>
      </c>
      <c r="D69" s="4" t="inlineStr">
        <is>
          <t>病院</t>
        </is>
      </c>
      <c r="E69" s="4" t="n">
        <v>11075</v>
      </c>
      <c r="F69" s="4" t="n">
        <v>106315</v>
      </c>
    </row>
    <row r="70">
      <c r="A70" s="5" t="inlineStr">
        <is>
          <t>2023-12</t>
        </is>
      </c>
      <c r="B70" s="5" t="inlineStr">
        <is>
          <t>SKU0101</t>
        </is>
      </c>
      <c r="C70" s="5" t="inlineStr">
        <is>
          <t>メトグルコGE「サンド」</t>
        </is>
      </c>
      <c r="D70" s="5" t="inlineStr">
        <is>
          <t>診療所</t>
        </is>
      </c>
      <c r="E70" s="5" t="n">
        <v>5590</v>
      </c>
      <c r="F70" s="5" t="n">
        <v>53661</v>
      </c>
    </row>
    <row r="71">
      <c r="A71" s="4" t="inlineStr">
        <is>
          <t>2023-12</t>
        </is>
      </c>
      <c r="B71" s="4" t="inlineStr">
        <is>
          <t>SKU0102</t>
        </is>
      </c>
      <c r="C71" s="4" t="inlineStr">
        <is>
          <t>メトグルコGE「サンド」</t>
        </is>
      </c>
      <c r="D71" s="4" t="inlineStr">
        <is>
          <t>調剤薬局</t>
        </is>
      </c>
      <c r="E71" s="4" t="n">
        <v>22214</v>
      </c>
      <c r="F71" s="4" t="n">
        <v>213252</v>
      </c>
    </row>
    <row r="72">
      <c r="A72" s="5" t="inlineStr">
        <is>
          <t>2023-12</t>
        </is>
      </c>
      <c r="B72" s="5" t="inlineStr">
        <is>
          <t>SKU0102</t>
        </is>
      </c>
      <c r="C72" s="5" t="inlineStr">
        <is>
          <t>メトグルコGE「サンド」</t>
        </is>
      </c>
      <c r="D72" s="5" t="inlineStr">
        <is>
          <t>病院</t>
        </is>
      </c>
      <c r="E72" s="5" t="n">
        <v>10822</v>
      </c>
      <c r="F72" s="5" t="n">
        <v>103892</v>
      </c>
    </row>
    <row r="73">
      <c r="A73" s="4" t="inlineStr">
        <is>
          <t>2023-12</t>
        </is>
      </c>
      <c r="B73" s="4" t="inlineStr">
        <is>
          <t>SKU0102</t>
        </is>
      </c>
      <c r="C73" s="4" t="inlineStr">
        <is>
          <t>メトグルコGE「サンド」</t>
        </is>
      </c>
      <c r="D73" s="4" t="inlineStr">
        <is>
          <t>診療所</t>
        </is>
      </c>
      <c r="E73" s="4" t="n">
        <v>5894</v>
      </c>
      <c r="F73" s="4" t="n">
        <v>56578</v>
      </c>
    </row>
    <row r="74">
      <c r="A74" s="5" t="inlineStr">
        <is>
          <t>2024-01</t>
        </is>
      </c>
      <c r="B74" s="5" t="inlineStr">
        <is>
          <t>SKU0101</t>
        </is>
      </c>
      <c r="C74" s="5" t="inlineStr">
        <is>
          <t>メトグルコGE「サンド」</t>
        </is>
      </c>
      <c r="D74" s="5" t="inlineStr">
        <is>
          <t>調剤薬局</t>
        </is>
      </c>
      <c r="E74" s="5" t="n">
        <v>19868</v>
      </c>
      <c r="F74" s="5" t="n">
        <v>190736</v>
      </c>
    </row>
    <row r="75">
      <c r="A75" s="4" t="inlineStr">
        <is>
          <t>2024-01</t>
        </is>
      </c>
      <c r="B75" s="4" t="inlineStr">
        <is>
          <t>SKU0101</t>
        </is>
      </c>
      <c r="C75" s="4" t="inlineStr">
        <is>
          <t>メトグルコGE「サンド」</t>
        </is>
      </c>
      <c r="D75" s="4" t="inlineStr">
        <is>
          <t>病院</t>
        </is>
      </c>
      <c r="E75" s="4" t="n">
        <v>10922</v>
      </c>
      <c r="F75" s="4" t="n">
        <v>104850</v>
      </c>
    </row>
    <row r="76">
      <c r="A76" s="5" t="inlineStr">
        <is>
          <t>2024-01</t>
        </is>
      </c>
      <c r="B76" s="5" t="inlineStr">
        <is>
          <t>SKU0101</t>
        </is>
      </c>
      <c r="C76" s="5" t="inlineStr">
        <is>
          <t>メトグルコGE「サンド」</t>
        </is>
      </c>
      <c r="D76" s="5" t="inlineStr">
        <is>
          <t>診療所</t>
        </is>
      </c>
      <c r="E76" s="5" t="n">
        <v>5414</v>
      </c>
      <c r="F76" s="5" t="n">
        <v>51970</v>
      </c>
    </row>
    <row r="77">
      <c r="A77" s="4" t="inlineStr">
        <is>
          <t>2024-01</t>
        </is>
      </c>
      <c r="B77" s="4" t="inlineStr">
        <is>
          <t>SKU0102</t>
        </is>
      </c>
      <c r="C77" s="4" t="inlineStr">
        <is>
          <t>メトグルコGE「サンド」</t>
        </is>
      </c>
      <c r="D77" s="4" t="inlineStr">
        <is>
          <t>調剤薬局</t>
        </is>
      </c>
      <c r="E77" s="4" t="n">
        <v>19963</v>
      </c>
      <c r="F77" s="4" t="n">
        <v>191648</v>
      </c>
    </row>
    <row r="78">
      <c r="A78" s="5" t="inlineStr">
        <is>
          <t>2024-01</t>
        </is>
      </c>
      <c r="B78" s="5" t="inlineStr">
        <is>
          <t>SKU0102</t>
        </is>
      </c>
      <c r="C78" s="5" t="inlineStr">
        <is>
          <t>メトグルコGE「サンド」</t>
        </is>
      </c>
      <c r="D78" s="5" t="inlineStr">
        <is>
          <t>病院</t>
        </is>
      </c>
      <c r="E78" s="5" t="n">
        <v>10696</v>
      </c>
      <c r="F78" s="5" t="n">
        <v>102683</v>
      </c>
    </row>
    <row r="79">
      <c r="A79" s="4" t="inlineStr">
        <is>
          <t>2024-01</t>
        </is>
      </c>
      <c r="B79" s="4" t="inlineStr">
        <is>
          <t>SKU0102</t>
        </is>
      </c>
      <c r="C79" s="4" t="inlineStr">
        <is>
          <t>メトグルコGE「サンド」</t>
        </is>
      </c>
      <c r="D79" s="4" t="inlineStr">
        <is>
          <t>診療所</t>
        </is>
      </c>
      <c r="E79" s="4" t="n">
        <v>5607</v>
      </c>
      <c r="F79" s="4" t="n">
        <v>53829</v>
      </c>
    </row>
    <row r="80">
      <c r="A80" s="5" t="inlineStr">
        <is>
          <t>2024-02</t>
        </is>
      </c>
      <c r="B80" s="5" t="inlineStr">
        <is>
          <t>SKU0101</t>
        </is>
      </c>
      <c r="C80" s="5" t="inlineStr">
        <is>
          <t>メトグルコGE「サンド」</t>
        </is>
      </c>
      <c r="D80" s="5" t="inlineStr">
        <is>
          <t>調剤薬局</t>
        </is>
      </c>
      <c r="E80" s="5" t="n">
        <v>20732</v>
      </c>
      <c r="F80" s="5" t="n">
        <v>199029</v>
      </c>
    </row>
    <row r="81">
      <c r="A81" s="4" t="inlineStr">
        <is>
          <t>2024-02</t>
        </is>
      </c>
      <c r="B81" s="4" t="inlineStr">
        <is>
          <t>SKU0101</t>
        </is>
      </c>
      <c r="C81" s="4" t="inlineStr">
        <is>
          <t>メトグルコGE「サンド」</t>
        </is>
      </c>
      <c r="D81" s="4" t="inlineStr">
        <is>
          <t>病院</t>
        </is>
      </c>
      <c r="E81" s="4" t="n">
        <v>11855</v>
      </c>
      <c r="F81" s="4" t="n">
        <v>113807</v>
      </c>
    </row>
    <row r="82">
      <c r="A82" s="5" t="inlineStr">
        <is>
          <t>2024-02</t>
        </is>
      </c>
      <c r="B82" s="5" t="inlineStr">
        <is>
          <t>SKU0101</t>
        </is>
      </c>
      <c r="C82" s="5" t="inlineStr">
        <is>
          <t>メトグルコGE「サンド」</t>
        </is>
      </c>
      <c r="D82" s="5" t="inlineStr">
        <is>
          <t>診療所</t>
        </is>
      </c>
      <c r="E82" s="5" t="n">
        <v>5622</v>
      </c>
      <c r="F82" s="5" t="n">
        <v>53970</v>
      </c>
    </row>
    <row r="83">
      <c r="A83" s="4" t="inlineStr">
        <is>
          <t>2024-02</t>
        </is>
      </c>
      <c r="B83" s="4" t="inlineStr">
        <is>
          <t>SKU0102</t>
        </is>
      </c>
      <c r="C83" s="4" t="inlineStr">
        <is>
          <t>メトグルコGE「サンド」</t>
        </is>
      </c>
      <c r="D83" s="4" t="inlineStr">
        <is>
          <t>調剤薬局</t>
        </is>
      </c>
      <c r="E83" s="4" t="n">
        <v>20546</v>
      </c>
      <c r="F83" s="4" t="n">
        <v>197241</v>
      </c>
    </row>
    <row r="84">
      <c r="A84" s="5" t="inlineStr">
        <is>
          <t>2024-02</t>
        </is>
      </c>
      <c r="B84" s="5" t="inlineStr">
        <is>
          <t>SKU0102</t>
        </is>
      </c>
      <c r="C84" s="5" t="inlineStr">
        <is>
          <t>メトグルコGE「サンド」</t>
        </is>
      </c>
      <c r="D84" s="5" t="inlineStr">
        <is>
          <t>病院</t>
        </is>
      </c>
      <c r="E84" s="5" t="n">
        <v>10866</v>
      </c>
      <c r="F84" s="5" t="n">
        <v>104315</v>
      </c>
    </row>
    <row r="85">
      <c r="A85" s="4" t="inlineStr">
        <is>
          <t>2024-02</t>
        </is>
      </c>
      <c r="B85" s="4" t="inlineStr">
        <is>
          <t>SKU0102</t>
        </is>
      </c>
      <c r="C85" s="4" t="inlineStr">
        <is>
          <t>メトグルコGE「サンド」</t>
        </is>
      </c>
      <c r="D85" s="4" t="inlineStr">
        <is>
          <t>診療所</t>
        </is>
      </c>
      <c r="E85" s="4" t="n">
        <v>5690</v>
      </c>
      <c r="F85" s="4" t="n">
        <v>54626</v>
      </c>
    </row>
    <row r="86">
      <c r="A86" s="5" t="inlineStr">
        <is>
          <t>2024-03</t>
        </is>
      </c>
      <c r="B86" s="5" t="inlineStr">
        <is>
          <t>SKU0101</t>
        </is>
      </c>
      <c r="C86" s="5" t="inlineStr">
        <is>
          <t>メトグルコGE「サンド」</t>
        </is>
      </c>
      <c r="D86" s="5" t="inlineStr">
        <is>
          <t>調剤薬局</t>
        </is>
      </c>
      <c r="E86" s="5" t="n">
        <v>21953</v>
      </c>
      <c r="F86" s="5" t="n">
        <v>210745</v>
      </c>
    </row>
    <row r="87">
      <c r="A87" s="4" t="inlineStr">
        <is>
          <t>2024-03</t>
        </is>
      </c>
      <c r="B87" s="4" t="inlineStr">
        <is>
          <t>SKU0101</t>
        </is>
      </c>
      <c r="C87" s="4" t="inlineStr">
        <is>
          <t>メトグルコGE「サンド」</t>
        </is>
      </c>
      <c r="D87" s="4" t="inlineStr">
        <is>
          <t>病院</t>
        </is>
      </c>
      <c r="E87" s="4" t="n">
        <v>11450</v>
      </c>
      <c r="F87" s="4" t="n">
        <v>109919</v>
      </c>
    </row>
    <row r="88">
      <c r="A88" s="5" t="inlineStr">
        <is>
          <t>2024-03</t>
        </is>
      </c>
      <c r="B88" s="5" t="inlineStr">
        <is>
          <t>SKU0101</t>
        </is>
      </c>
      <c r="C88" s="5" t="inlineStr">
        <is>
          <t>メトグルコGE「サンド」</t>
        </is>
      </c>
      <c r="D88" s="5" t="inlineStr">
        <is>
          <t>診療所</t>
        </is>
      </c>
      <c r="E88" s="5" t="n">
        <v>5704</v>
      </c>
      <c r="F88" s="5" t="n">
        <v>54762</v>
      </c>
    </row>
    <row r="89">
      <c r="A89" s="4" t="inlineStr">
        <is>
          <t>2024-03</t>
        </is>
      </c>
      <c r="B89" s="4" t="inlineStr">
        <is>
          <t>SKU0102</t>
        </is>
      </c>
      <c r="C89" s="4" t="inlineStr">
        <is>
          <t>メトグルコGE「サンド」</t>
        </is>
      </c>
      <c r="D89" s="4" t="inlineStr">
        <is>
          <t>調剤薬局</t>
        </is>
      </c>
      <c r="E89" s="4" t="n">
        <v>19578</v>
      </c>
      <c r="F89" s="4" t="n">
        <v>187953</v>
      </c>
    </row>
    <row r="90">
      <c r="A90" s="5" t="inlineStr">
        <is>
          <t>2024-03</t>
        </is>
      </c>
      <c r="B90" s="5" t="inlineStr">
        <is>
          <t>SKU0102</t>
        </is>
      </c>
      <c r="C90" s="5" t="inlineStr">
        <is>
          <t>メトグルコGE「サンド」</t>
        </is>
      </c>
      <c r="D90" s="5" t="inlineStr">
        <is>
          <t>病院</t>
        </is>
      </c>
      <c r="E90" s="5" t="n">
        <v>10973</v>
      </c>
      <c r="F90" s="5" t="n">
        <v>105337</v>
      </c>
    </row>
    <row r="91">
      <c r="A91" s="4" t="inlineStr">
        <is>
          <t>2024-03</t>
        </is>
      </c>
      <c r="B91" s="4" t="inlineStr">
        <is>
          <t>SKU0102</t>
        </is>
      </c>
      <c r="C91" s="4" t="inlineStr">
        <is>
          <t>メトグルコGE「サンド」</t>
        </is>
      </c>
      <c r="D91" s="4" t="inlineStr">
        <is>
          <t>診療所</t>
        </is>
      </c>
      <c r="E91" s="4" t="n">
        <v>5260</v>
      </c>
      <c r="F91" s="4" t="n">
        <v>50499</v>
      </c>
    </row>
    <row r="92">
      <c r="A92" s="5" t="inlineStr">
        <is>
          <t>2024-04</t>
        </is>
      </c>
      <c r="B92" s="5" t="inlineStr">
        <is>
          <t>SKU0101</t>
        </is>
      </c>
      <c r="C92" s="5" t="inlineStr">
        <is>
          <t>メトグルコGE「サンド」</t>
        </is>
      </c>
      <c r="D92" s="5" t="inlineStr">
        <is>
          <t>調剤薬局</t>
        </is>
      </c>
      <c r="E92" s="5" t="n">
        <v>18942</v>
      </c>
      <c r="F92" s="5" t="n">
        <v>171843</v>
      </c>
    </row>
    <row r="93">
      <c r="A93" s="4" t="inlineStr">
        <is>
          <t>2024-04</t>
        </is>
      </c>
      <c r="B93" s="4" t="inlineStr">
        <is>
          <t>SKU0101</t>
        </is>
      </c>
      <c r="C93" s="4" t="inlineStr">
        <is>
          <t>メトグルコGE「サンド」</t>
        </is>
      </c>
      <c r="D93" s="4" t="inlineStr">
        <is>
          <t>病院</t>
        </is>
      </c>
      <c r="E93" s="4" t="n">
        <v>10695</v>
      </c>
      <c r="F93" s="4" t="n">
        <v>97027</v>
      </c>
    </row>
    <row r="94">
      <c r="A94" s="5" t="inlineStr">
        <is>
          <t>2024-04</t>
        </is>
      </c>
      <c r="B94" s="5" t="inlineStr">
        <is>
          <t>SKU0101</t>
        </is>
      </c>
      <c r="C94" s="5" t="inlineStr">
        <is>
          <t>メトグルコGE「サンド」</t>
        </is>
      </c>
      <c r="D94" s="5" t="inlineStr">
        <is>
          <t>診療所</t>
        </is>
      </c>
      <c r="E94" s="5" t="n">
        <v>5522</v>
      </c>
      <c r="F94" s="5" t="n">
        <v>50093</v>
      </c>
    </row>
    <row r="95">
      <c r="A95" s="4" t="inlineStr">
        <is>
          <t>2024-04</t>
        </is>
      </c>
      <c r="B95" s="4" t="inlineStr">
        <is>
          <t>SKU0102</t>
        </is>
      </c>
      <c r="C95" s="4" t="inlineStr">
        <is>
          <t>メトグルコGE「サンド」</t>
        </is>
      </c>
      <c r="D95" s="4" t="inlineStr">
        <is>
          <t>調剤薬局</t>
        </is>
      </c>
      <c r="E95" s="4" t="n">
        <v>19986</v>
      </c>
      <c r="F95" s="4" t="n">
        <v>181317</v>
      </c>
    </row>
    <row r="96">
      <c r="A96" s="5" t="inlineStr">
        <is>
          <t>2024-04</t>
        </is>
      </c>
      <c r="B96" s="5" t="inlineStr">
        <is>
          <t>SKU0102</t>
        </is>
      </c>
      <c r="C96" s="5" t="inlineStr">
        <is>
          <t>メトグルコGE「サンド」</t>
        </is>
      </c>
      <c r="D96" s="5" t="inlineStr">
        <is>
          <t>病院</t>
        </is>
      </c>
      <c r="E96" s="5" t="n">
        <v>9877</v>
      </c>
      <c r="F96" s="5" t="n">
        <v>89608</v>
      </c>
    </row>
    <row r="97">
      <c r="A97" s="4" t="inlineStr">
        <is>
          <t>2024-04</t>
        </is>
      </c>
      <c r="B97" s="4" t="inlineStr">
        <is>
          <t>SKU0102</t>
        </is>
      </c>
      <c r="C97" s="4" t="inlineStr">
        <is>
          <t>メトグルコGE「サンド」</t>
        </is>
      </c>
      <c r="D97" s="4" t="inlineStr">
        <is>
          <t>診療所</t>
        </is>
      </c>
      <c r="E97" s="4" t="n">
        <v>5244</v>
      </c>
      <c r="F97" s="4" t="n">
        <v>47570</v>
      </c>
    </row>
    <row r="98">
      <c r="A98" s="5" t="inlineStr">
        <is>
          <t>2024-05</t>
        </is>
      </c>
      <c r="B98" s="5" t="inlineStr">
        <is>
          <t>SKU0101</t>
        </is>
      </c>
      <c r="C98" s="5" t="inlineStr">
        <is>
          <t>メトグルコGE「サンド」</t>
        </is>
      </c>
      <c r="D98" s="5" t="inlineStr">
        <is>
          <t>調剤薬局</t>
        </is>
      </c>
      <c r="E98" s="5" t="n">
        <v>21149</v>
      </c>
      <c r="F98" s="5" t="n">
        <v>191860</v>
      </c>
    </row>
    <row r="99">
      <c r="A99" s="4" t="inlineStr">
        <is>
          <t>2024-05</t>
        </is>
      </c>
      <c r="B99" s="4" t="inlineStr">
        <is>
          <t>SKU0101</t>
        </is>
      </c>
      <c r="C99" s="4" t="inlineStr">
        <is>
          <t>メトグルコGE「サンド」</t>
        </is>
      </c>
      <c r="D99" s="4" t="inlineStr">
        <is>
          <t>病院</t>
        </is>
      </c>
      <c r="E99" s="4" t="n">
        <v>11400</v>
      </c>
      <c r="F99" s="4" t="n">
        <v>103420</v>
      </c>
    </row>
    <row r="100">
      <c r="A100" s="5" t="inlineStr">
        <is>
          <t>2024-05</t>
        </is>
      </c>
      <c r="B100" s="5" t="inlineStr">
        <is>
          <t>SKU0101</t>
        </is>
      </c>
      <c r="C100" s="5" t="inlineStr">
        <is>
          <t>メトグルコGE「サンド」</t>
        </is>
      </c>
      <c r="D100" s="5" t="inlineStr">
        <is>
          <t>診療所</t>
        </is>
      </c>
      <c r="E100" s="5" t="n">
        <v>5800</v>
      </c>
      <c r="F100" s="5" t="n">
        <v>52620</v>
      </c>
    </row>
    <row r="101">
      <c r="A101" s="4" t="inlineStr">
        <is>
          <t>2024-05</t>
        </is>
      </c>
      <c r="B101" s="4" t="inlineStr">
        <is>
          <t>SKU0102</t>
        </is>
      </c>
      <c r="C101" s="4" t="inlineStr">
        <is>
          <t>メトグルコGE「サンド」</t>
        </is>
      </c>
      <c r="D101" s="4" t="inlineStr">
        <is>
          <t>調剤薬局</t>
        </is>
      </c>
      <c r="E101" s="4" t="n">
        <v>19572</v>
      </c>
      <c r="F101" s="4" t="n">
        <v>177559</v>
      </c>
    </row>
    <row r="102">
      <c r="A102" s="5" t="inlineStr">
        <is>
          <t>2024-05</t>
        </is>
      </c>
      <c r="B102" s="5" t="inlineStr">
        <is>
          <t>SKU0102</t>
        </is>
      </c>
      <c r="C102" s="5" t="inlineStr">
        <is>
          <t>メトグルコGE「サンド」</t>
        </is>
      </c>
      <c r="D102" s="5" t="inlineStr">
        <is>
          <t>病院</t>
        </is>
      </c>
      <c r="E102" s="5" t="n">
        <v>10691</v>
      </c>
      <c r="F102" s="5" t="n">
        <v>96991</v>
      </c>
    </row>
    <row r="103">
      <c r="A103" s="4" t="inlineStr">
        <is>
          <t>2024-05</t>
        </is>
      </c>
      <c r="B103" s="4" t="inlineStr">
        <is>
          <t>SKU0102</t>
        </is>
      </c>
      <c r="C103" s="4" t="inlineStr">
        <is>
          <t>メトグルコGE「サンド」</t>
        </is>
      </c>
      <c r="D103" s="4" t="inlineStr">
        <is>
          <t>診療所</t>
        </is>
      </c>
      <c r="E103" s="4" t="n">
        <v>5263</v>
      </c>
      <c r="F103" s="4" t="n">
        <v>47743</v>
      </c>
    </row>
    <row r="104">
      <c r="A104" s="5" t="inlineStr">
        <is>
          <t>2024-06</t>
        </is>
      </c>
      <c r="B104" s="5" t="inlineStr">
        <is>
          <t>SKU0101</t>
        </is>
      </c>
      <c r="C104" s="5" t="inlineStr">
        <is>
          <t>メトグルコGE「サンド」</t>
        </is>
      </c>
      <c r="D104" s="5" t="inlineStr">
        <is>
          <t>調剤薬局</t>
        </is>
      </c>
      <c r="E104" s="5" t="n">
        <v>19353</v>
      </c>
      <c r="F104" s="5" t="n">
        <v>175572</v>
      </c>
    </row>
    <row r="105">
      <c r="A105" s="4" t="inlineStr">
        <is>
          <t>2024-06</t>
        </is>
      </c>
      <c r="B105" s="4" t="inlineStr">
        <is>
          <t>SKU0101</t>
        </is>
      </c>
      <c r="C105" s="4" t="inlineStr">
        <is>
          <t>メトグルコGE「サンド」</t>
        </is>
      </c>
      <c r="D105" s="4" t="inlineStr">
        <is>
          <t>病院</t>
        </is>
      </c>
      <c r="E105" s="4" t="n">
        <v>10508</v>
      </c>
      <c r="F105" s="4" t="n">
        <v>95330</v>
      </c>
    </row>
    <row r="106">
      <c r="A106" s="5" t="inlineStr">
        <is>
          <t>2024-06</t>
        </is>
      </c>
      <c r="B106" s="5" t="inlineStr">
        <is>
          <t>SKU0101</t>
        </is>
      </c>
      <c r="C106" s="5" t="inlineStr">
        <is>
          <t>メトグルコGE「サンド」</t>
        </is>
      </c>
      <c r="D106" s="5" t="inlineStr">
        <is>
          <t>診療所</t>
        </is>
      </c>
      <c r="E106" s="5" t="n">
        <v>5617</v>
      </c>
      <c r="F106" s="5" t="n">
        <v>50959</v>
      </c>
    </row>
    <row r="107">
      <c r="A107" s="4" t="inlineStr">
        <is>
          <t>2024-06</t>
        </is>
      </c>
      <c r="B107" s="4" t="inlineStr">
        <is>
          <t>SKU0102</t>
        </is>
      </c>
      <c r="C107" s="4" t="inlineStr">
        <is>
          <t>メトグルコGE「サンド」</t>
        </is>
      </c>
      <c r="D107" s="4" t="inlineStr">
        <is>
          <t>調剤薬局</t>
        </is>
      </c>
      <c r="E107" s="4" t="n">
        <v>18326</v>
      </c>
      <c r="F107" s="4" t="n">
        <v>166252</v>
      </c>
    </row>
    <row r="108">
      <c r="A108" s="5" t="inlineStr">
        <is>
          <t>2024-06</t>
        </is>
      </c>
      <c r="B108" s="5" t="inlineStr">
        <is>
          <t>SKU0102</t>
        </is>
      </c>
      <c r="C108" s="5" t="inlineStr">
        <is>
          <t>メトグルコGE「サンド」</t>
        </is>
      </c>
      <c r="D108" s="5" t="inlineStr">
        <is>
          <t>病院</t>
        </is>
      </c>
      <c r="E108" s="5" t="n">
        <v>9899</v>
      </c>
      <c r="F108" s="5" t="n">
        <v>89807</v>
      </c>
    </row>
    <row r="109">
      <c r="A109" s="4" t="inlineStr">
        <is>
          <t>2024-06</t>
        </is>
      </c>
      <c r="B109" s="4" t="inlineStr">
        <is>
          <t>SKU0102</t>
        </is>
      </c>
      <c r="C109" s="4" t="inlineStr">
        <is>
          <t>メトグルコGE「サンド」</t>
        </is>
      </c>
      <c r="D109" s="4" t="inlineStr">
        <is>
          <t>診療所</t>
        </is>
      </c>
      <c r="E109" s="4" t="n">
        <v>5041</v>
      </c>
      <c r="F109" s="4" t="n">
        <v>45733</v>
      </c>
    </row>
    <row r="110">
      <c r="A110" s="5" t="inlineStr">
        <is>
          <t>2024-07</t>
        </is>
      </c>
      <c r="B110" s="5" t="inlineStr">
        <is>
          <t>SKU0101</t>
        </is>
      </c>
      <c r="C110" s="5" t="inlineStr">
        <is>
          <t>メトグルコGE「サンド」</t>
        </is>
      </c>
      <c r="D110" s="5" t="inlineStr">
        <is>
          <t>調剤薬局</t>
        </is>
      </c>
      <c r="E110" s="5" t="n">
        <v>23037</v>
      </c>
      <c r="F110" s="5" t="n">
        <v>208996</v>
      </c>
    </row>
    <row r="111">
      <c r="A111" s="4" t="inlineStr">
        <is>
          <t>2024-07</t>
        </is>
      </c>
      <c r="B111" s="4" t="inlineStr">
        <is>
          <t>SKU0101</t>
        </is>
      </c>
      <c r="C111" s="4" t="inlineStr">
        <is>
          <t>メトグルコGE「サンド」</t>
        </is>
      </c>
      <c r="D111" s="4" t="inlineStr">
        <is>
          <t>病院</t>
        </is>
      </c>
      <c r="E111" s="4" t="n">
        <v>12340</v>
      </c>
      <c r="F111" s="4" t="n">
        <v>111945</v>
      </c>
    </row>
    <row r="112">
      <c r="A112" s="5" t="inlineStr">
        <is>
          <t>2024-07</t>
        </is>
      </c>
      <c r="B112" s="5" t="inlineStr">
        <is>
          <t>SKU0101</t>
        </is>
      </c>
      <c r="C112" s="5" t="inlineStr">
        <is>
          <t>メトグルコGE「サンド」</t>
        </is>
      </c>
      <c r="D112" s="5" t="inlineStr">
        <is>
          <t>診療所</t>
        </is>
      </c>
      <c r="E112" s="5" t="n">
        <v>6016</v>
      </c>
      <c r="F112" s="5" t="n">
        <v>54575</v>
      </c>
    </row>
    <row r="113">
      <c r="A113" s="4" t="inlineStr">
        <is>
          <t>2024-07</t>
        </is>
      </c>
      <c r="B113" s="4" t="inlineStr">
        <is>
          <t>SKU0102</t>
        </is>
      </c>
      <c r="C113" s="4" t="inlineStr">
        <is>
          <t>メトグルコGE「サンド」</t>
        </is>
      </c>
      <c r="D113" s="4" t="inlineStr">
        <is>
          <t>調剤薬局</t>
        </is>
      </c>
      <c r="E113" s="4" t="n">
        <v>20980</v>
      </c>
      <c r="F113" s="4" t="n">
        <v>190333</v>
      </c>
    </row>
    <row r="114">
      <c r="A114" s="5" t="inlineStr">
        <is>
          <t>2024-07</t>
        </is>
      </c>
      <c r="B114" s="5" t="inlineStr">
        <is>
          <t>SKU0102</t>
        </is>
      </c>
      <c r="C114" s="5" t="inlineStr">
        <is>
          <t>メトグルコGE「サンド」</t>
        </is>
      </c>
      <c r="D114" s="5" t="inlineStr">
        <is>
          <t>病院</t>
        </is>
      </c>
      <c r="E114" s="5" t="n">
        <v>11561</v>
      </c>
      <c r="F114" s="5" t="n">
        <v>104878</v>
      </c>
    </row>
    <row r="115">
      <c r="A115" s="4" t="inlineStr">
        <is>
          <t>2024-07</t>
        </is>
      </c>
      <c r="B115" s="4" t="inlineStr">
        <is>
          <t>SKU0102</t>
        </is>
      </c>
      <c r="C115" s="4" t="inlineStr">
        <is>
          <t>メトグルコGE「サンド」</t>
        </is>
      </c>
      <c r="D115" s="4" t="inlineStr">
        <is>
          <t>診療所</t>
        </is>
      </c>
      <c r="E115" s="4" t="n">
        <v>5601</v>
      </c>
      <c r="F115" s="4" t="n">
        <v>50810</v>
      </c>
    </row>
    <row r="116">
      <c r="A116" s="5" t="inlineStr">
        <is>
          <t>2024-08</t>
        </is>
      </c>
      <c r="B116" s="5" t="inlineStr">
        <is>
          <t>SKU0101</t>
        </is>
      </c>
      <c r="C116" s="5" t="inlineStr">
        <is>
          <t>メトグルコGE「サンド」</t>
        </is>
      </c>
      <c r="D116" s="5" t="inlineStr">
        <is>
          <t>調剤薬局</t>
        </is>
      </c>
      <c r="E116" s="5" t="n">
        <v>23182</v>
      </c>
      <c r="F116" s="5" t="n">
        <v>210303</v>
      </c>
    </row>
    <row r="117">
      <c r="A117" s="4" t="inlineStr">
        <is>
          <t>2024-08</t>
        </is>
      </c>
      <c r="B117" s="4" t="inlineStr">
        <is>
          <t>SKU0101</t>
        </is>
      </c>
      <c r="C117" s="4" t="inlineStr">
        <is>
          <t>メトグルコGE「サンド」</t>
        </is>
      </c>
      <c r="D117" s="4" t="inlineStr">
        <is>
          <t>病院</t>
        </is>
      </c>
      <c r="E117" s="4" t="n">
        <v>12743</v>
      </c>
      <c r="F117" s="4" t="n">
        <v>115608</v>
      </c>
    </row>
    <row r="118">
      <c r="A118" s="5" t="inlineStr">
        <is>
          <t>2024-08</t>
        </is>
      </c>
      <c r="B118" s="5" t="inlineStr">
        <is>
          <t>SKU0101</t>
        </is>
      </c>
      <c r="C118" s="5" t="inlineStr">
        <is>
          <t>メトグルコGE「サンド」</t>
        </is>
      </c>
      <c r="D118" s="5" t="inlineStr">
        <is>
          <t>診療所</t>
        </is>
      </c>
      <c r="E118" s="5" t="n">
        <v>6351</v>
      </c>
      <c r="F118" s="5" t="n">
        <v>57617</v>
      </c>
    </row>
    <row r="119">
      <c r="A119" s="4" t="inlineStr">
        <is>
          <t>2024-08</t>
        </is>
      </c>
      <c r="B119" s="4" t="inlineStr">
        <is>
          <t>SKU0102</t>
        </is>
      </c>
      <c r="C119" s="4" t="inlineStr">
        <is>
          <t>メトグルコGE「サンド」</t>
        </is>
      </c>
      <c r="D119" s="4" t="inlineStr">
        <is>
          <t>調剤薬局</t>
        </is>
      </c>
      <c r="E119" s="4" t="n">
        <v>20281</v>
      </c>
      <c r="F119" s="4" t="n">
        <v>183986</v>
      </c>
    </row>
    <row r="120">
      <c r="A120" s="5" t="inlineStr">
        <is>
          <t>2024-08</t>
        </is>
      </c>
      <c r="B120" s="5" t="inlineStr">
        <is>
          <t>SKU0102</t>
        </is>
      </c>
      <c r="C120" s="5" t="inlineStr">
        <is>
          <t>メトグルコGE「サンド」</t>
        </is>
      </c>
      <c r="D120" s="5" t="inlineStr">
        <is>
          <t>病院</t>
        </is>
      </c>
      <c r="E120" s="5" t="n">
        <v>11057</v>
      </c>
      <c r="F120" s="5" t="n">
        <v>100309</v>
      </c>
    </row>
    <row r="121">
      <c r="A121" s="4" t="inlineStr">
        <is>
          <t>2024-08</t>
        </is>
      </c>
      <c r="B121" s="4" t="inlineStr">
        <is>
          <t>SKU0102</t>
        </is>
      </c>
      <c r="C121" s="4" t="inlineStr">
        <is>
          <t>メトグルコGE「サンド」</t>
        </is>
      </c>
      <c r="D121" s="4" t="inlineStr">
        <is>
          <t>診療所</t>
        </is>
      </c>
      <c r="E121" s="4" t="n">
        <v>5516</v>
      </c>
      <c r="F121" s="4" t="n">
        <v>50038</v>
      </c>
    </row>
    <row r="122">
      <c r="A122" s="5" t="inlineStr">
        <is>
          <t>2024-09</t>
        </is>
      </c>
      <c r="B122" s="5" t="inlineStr">
        <is>
          <t>SKU0101</t>
        </is>
      </c>
      <c r="C122" s="5" t="inlineStr">
        <is>
          <t>メトグルコGE「サンド」</t>
        </is>
      </c>
      <c r="D122" s="5" t="inlineStr">
        <is>
          <t>調剤薬局</t>
        </is>
      </c>
      <c r="E122" s="5" t="n">
        <v>21800</v>
      </c>
      <c r="F122" s="5" t="n">
        <v>197769</v>
      </c>
    </row>
    <row r="123">
      <c r="A123" s="4" t="inlineStr">
        <is>
          <t>2024-09</t>
        </is>
      </c>
      <c r="B123" s="4" t="inlineStr">
        <is>
          <t>SKU0101</t>
        </is>
      </c>
      <c r="C123" s="4" t="inlineStr">
        <is>
          <t>メトグルコGE「サンド」</t>
        </is>
      </c>
      <c r="D123" s="4" t="inlineStr">
        <is>
          <t>病院</t>
        </is>
      </c>
      <c r="E123" s="4" t="n">
        <v>12554</v>
      </c>
      <c r="F123" s="4" t="n">
        <v>113891</v>
      </c>
    </row>
    <row r="124">
      <c r="A124" s="5" t="inlineStr">
        <is>
          <t>2024-09</t>
        </is>
      </c>
      <c r="B124" s="5" t="inlineStr">
        <is>
          <t>SKU0101</t>
        </is>
      </c>
      <c r="C124" s="5" t="inlineStr">
        <is>
          <t>メトグルコGE「サンド」</t>
        </is>
      </c>
      <c r="D124" s="5" t="inlineStr">
        <is>
          <t>診療所</t>
        </is>
      </c>
      <c r="E124" s="5" t="n">
        <v>5898</v>
      </c>
      <c r="F124" s="5" t="n">
        <v>53505</v>
      </c>
    </row>
    <row r="125">
      <c r="A125" s="4" t="inlineStr">
        <is>
          <t>2024-09</t>
        </is>
      </c>
      <c r="B125" s="4" t="inlineStr">
        <is>
          <t>SKU0102</t>
        </is>
      </c>
      <c r="C125" s="4" t="inlineStr">
        <is>
          <t>メトグルコGE「サンド」</t>
        </is>
      </c>
      <c r="D125" s="4" t="inlineStr">
        <is>
          <t>調剤薬局</t>
        </is>
      </c>
      <c r="E125" s="4" t="n">
        <v>19126</v>
      </c>
      <c r="F125" s="4" t="n">
        <v>173507</v>
      </c>
    </row>
    <row r="126">
      <c r="A126" s="5" t="inlineStr">
        <is>
          <t>2024-09</t>
        </is>
      </c>
      <c r="B126" s="5" t="inlineStr">
        <is>
          <t>SKU0102</t>
        </is>
      </c>
      <c r="C126" s="5" t="inlineStr">
        <is>
          <t>メトグルコGE「サンド」</t>
        </is>
      </c>
      <c r="D126" s="5" t="inlineStr">
        <is>
          <t>病院</t>
        </is>
      </c>
      <c r="E126" s="5" t="n">
        <v>11105</v>
      </c>
      <c r="F126" s="5" t="n">
        <v>100743</v>
      </c>
    </row>
    <row r="127">
      <c r="A127" s="4" t="inlineStr">
        <is>
          <t>2024-09</t>
        </is>
      </c>
      <c r="B127" s="4" t="inlineStr">
        <is>
          <t>SKU0102</t>
        </is>
      </c>
      <c r="C127" s="4" t="inlineStr">
        <is>
          <t>メトグルコGE「サンド」</t>
        </is>
      </c>
      <c r="D127" s="4" t="inlineStr">
        <is>
          <t>診療所</t>
        </is>
      </c>
      <c r="E127" s="4" t="n">
        <v>5478</v>
      </c>
      <c r="F127" s="4" t="n">
        <v>49698</v>
      </c>
    </row>
    <row r="128">
      <c r="A128" s="5" t="inlineStr">
        <is>
          <t>2024-10</t>
        </is>
      </c>
      <c r="B128" s="5" t="inlineStr">
        <is>
          <t>SKU0101</t>
        </is>
      </c>
      <c r="C128" s="5" t="inlineStr">
        <is>
          <t>メトグルコGE「サンド」</t>
        </is>
      </c>
      <c r="D128" s="5" t="inlineStr">
        <is>
          <t>調剤薬局</t>
        </is>
      </c>
      <c r="E128" s="5" t="n">
        <v>23301</v>
      </c>
      <c r="F128" s="5" t="n">
        <v>211385</v>
      </c>
    </row>
    <row r="129">
      <c r="A129" s="4" t="inlineStr">
        <is>
          <t>2024-10</t>
        </is>
      </c>
      <c r="B129" s="4" t="inlineStr">
        <is>
          <t>SKU0101</t>
        </is>
      </c>
      <c r="C129" s="4" t="inlineStr">
        <is>
          <t>メトグルコGE「サンド」</t>
        </is>
      </c>
      <c r="D129" s="4" t="inlineStr">
        <is>
          <t>病院</t>
        </is>
      </c>
      <c r="E129" s="4" t="n">
        <v>12067</v>
      </c>
      <c r="F129" s="4" t="n">
        <v>109476</v>
      </c>
    </row>
    <row r="130">
      <c r="A130" s="5" t="inlineStr">
        <is>
          <t>2024-10</t>
        </is>
      </c>
      <c r="B130" s="5" t="inlineStr">
        <is>
          <t>SKU0101</t>
        </is>
      </c>
      <c r="C130" s="5" t="inlineStr">
        <is>
          <t>メトグルコGE「サンド」</t>
        </is>
      </c>
      <c r="D130" s="5" t="inlineStr">
        <is>
          <t>診療所</t>
        </is>
      </c>
      <c r="E130" s="5" t="n">
        <v>5873</v>
      </c>
      <c r="F130" s="5" t="n">
        <v>53280</v>
      </c>
    </row>
    <row r="131">
      <c r="A131" s="4" t="inlineStr">
        <is>
          <t>2024-10</t>
        </is>
      </c>
      <c r="B131" s="4" t="inlineStr">
        <is>
          <t>SKU0102</t>
        </is>
      </c>
      <c r="C131" s="4" t="inlineStr">
        <is>
          <t>メトグルコGE「サンド」</t>
        </is>
      </c>
      <c r="D131" s="4" t="inlineStr">
        <is>
          <t>調剤薬局</t>
        </is>
      </c>
      <c r="E131" s="4" t="n">
        <v>18921</v>
      </c>
      <c r="F131" s="4" t="n">
        <v>171651</v>
      </c>
    </row>
    <row r="132">
      <c r="A132" s="5" t="inlineStr">
        <is>
          <t>2024-10</t>
        </is>
      </c>
      <c r="B132" s="5" t="inlineStr">
        <is>
          <t>SKU0102</t>
        </is>
      </c>
      <c r="C132" s="5" t="inlineStr">
        <is>
          <t>メトグルコGE「サンド」</t>
        </is>
      </c>
      <c r="D132" s="5" t="inlineStr">
        <is>
          <t>病院</t>
        </is>
      </c>
      <c r="E132" s="5" t="n">
        <v>10427</v>
      </c>
      <c r="F132" s="5" t="n">
        <v>94597</v>
      </c>
    </row>
    <row r="133">
      <c r="A133" s="4" t="inlineStr">
        <is>
          <t>2024-10</t>
        </is>
      </c>
      <c r="B133" s="4" t="inlineStr">
        <is>
          <t>SKU0102</t>
        </is>
      </c>
      <c r="C133" s="4" t="inlineStr">
        <is>
          <t>メトグルコGE「サンド」</t>
        </is>
      </c>
      <c r="D133" s="4" t="inlineStr">
        <is>
          <t>診療所</t>
        </is>
      </c>
      <c r="E133" s="4" t="n">
        <v>5210</v>
      </c>
      <c r="F133" s="4" t="n">
        <v>47266</v>
      </c>
    </row>
    <row r="134">
      <c r="A134" s="5" t="inlineStr">
        <is>
          <t>2024-11</t>
        </is>
      </c>
      <c r="B134" s="5" t="inlineStr">
        <is>
          <t>SKU0101</t>
        </is>
      </c>
      <c r="C134" s="5" t="inlineStr">
        <is>
          <t>メトグルコGE「サンド」</t>
        </is>
      </c>
      <c r="D134" s="5" t="inlineStr">
        <is>
          <t>調剤薬局</t>
        </is>
      </c>
      <c r="E134" s="5" t="n">
        <v>21937</v>
      </c>
      <c r="F134" s="5" t="n">
        <v>199015</v>
      </c>
    </row>
    <row r="135">
      <c r="A135" s="4" t="inlineStr">
        <is>
          <t>2024-11</t>
        </is>
      </c>
      <c r="B135" s="4" t="inlineStr">
        <is>
          <t>SKU0101</t>
        </is>
      </c>
      <c r="C135" s="4" t="inlineStr">
        <is>
          <t>メトグルコGE「サンド」</t>
        </is>
      </c>
      <c r="D135" s="4" t="inlineStr">
        <is>
          <t>病院</t>
        </is>
      </c>
      <c r="E135" s="4" t="n">
        <v>11447</v>
      </c>
      <c r="F135" s="4" t="n">
        <v>103845</v>
      </c>
    </row>
    <row r="136">
      <c r="A136" s="5" t="inlineStr">
        <is>
          <t>2024-11</t>
        </is>
      </c>
      <c r="B136" s="5" t="inlineStr">
        <is>
          <t>SKU0101</t>
        </is>
      </c>
      <c r="C136" s="5" t="inlineStr">
        <is>
          <t>メトグルコGE「サンド」</t>
        </is>
      </c>
      <c r="D136" s="5" t="inlineStr">
        <is>
          <t>診療所</t>
        </is>
      </c>
      <c r="E136" s="5" t="n">
        <v>5847</v>
      </c>
      <c r="F136" s="5" t="n">
        <v>53046</v>
      </c>
    </row>
    <row r="137">
      <c r="A137" s="4" t="inlineStr">
        <is>
          <t>2024-11</t>
        </is>
      </c>
      <c r="B137" s="4" t="inlineStr">
        <is>
          <t>SKU0102</t>
        </is>
      </c>
      <c r="C137" s="4" t="inlineStr">
        <is>
          <t>メトグルコGE「サンド」</t>
        </is>
      </c>
      <c r="D137" s="4" t="inlineStr">
        <is>
          <t>調剤薬局</t>
        </is>
      </c>
      <c r="E137" s="4" t="n">
        <v>17291</v>
      </c>
      <c r="F137" s="4" t="n">
        <v>156865</v>
      </c>
    </row>
    <row r="138">
      <c r="A138" s="5" t="inlineStr">
        <is>
          <t>2024-11</t>
        </is>
      </c>
      <c r="B138" s="5" t="inlineStr">
        <is>
          <t>SKU0102</t>
        </is>
      </c>
      <c r="C138" s="5" t="inlineStr">
        <is>
          <t>メトグルコGE「サンド」</t>
        </is>
      </c>
      <c r="D138" s="5" t="inlineStr">
        <is>
          <t>病院</t>
        </is>
      </c>
      <c r="E138" s="5" t="n">
        <v>9851</v>
      </c>
      <c r="F138" s="5" t="n">
        <v>89369</v>
      </c>
    </row>
    <row r="139">
      <c r="A139" s="4" t="inlineStr">
        <is>
          <t>2024-11</t>
        </is>
      </c>
      <c r="B139" s="4" t="inlineStr">
        <is>
          <t>SKU0102</t>
        </is>
      </c>
      <c r="C139" s="4" t="inlineStr">
        <is>
          <t>メトグルコGE「サンド」</t>
        </is>
      </c>
      <c r="D139" s="4" t="inlineStr">
        <is>
          <t>診療所</t>
        </is>
      </c>
      <c r="E139" s="4" t="n">
        <v>4860</v>
      </c>
      <c r="F139" s="4" t="n">
        <v>44093</v>
      </c>
    </row>
    <row r="140">
      <c r="A140" s="5" t="inlineStr">
        <is>
          <t>2024-12</t>
        </is>
      </c>
      <c r="B140" s="5" t="inlineStr">
        <is>
          <t>SKU0101</t>
        </is>
      </c>
      <c r="C140" s="5" t="inlineStr">
        <is>
          <t>メトグルコGE「サンド」</t>
        </is>
      </c>
      <c r="D140" s="5" t="inlineStr">
        <is>
          <t>調剤薬局</t>
        </is>
      </c>
      <c r="E140" s="5" t="n">
        <v>25582</v>
      </c>
      <c r="F140" s="5" t="n">
        <v>232077</v>
      </c>
    </row>
    <row r="141">
      <c r="A141" s="4" t="inlineStr">
        <is>
          <t>2024-12</t>
        </is>
      </c>
      <c r="B141" s="4" t="inlineStr">
        <is>
          <t>SKU0101</t>
        </is>
      </c>
      <c r="C141" s="4" t="inlineStr">
        <is>
          <t>メトグルコGE「サンド」</t>
        </is>
      </c>
      <c r="D141" s="4" t="inlineStr">
        <is>
          <t>病院</t>
        </is>
      </c>
      <c r="E141" s="4" t="n">
        <v>14174</v>
      </c>
      <c r="F141" s="4" t="n">
        <v>128584</v>
      </c>
    </row>
    <row r="142">
      <c r="A142" s="5" t="inlineStr">
        <is>
          <t>2024-12</t>
        </is>
      </c>
      <c r="B142" s="5" t="inlineStr">
        <is>
          <t>SKU0101</t>
        </is>
      </c>
      <c r="C142" s="5" t="inlineStr">
        <is>
          <t>メトグルコGE「サンド」</t>
        </is>
      </c>
      <c r="D142" s="5" t="inlineStr">
        <is>
          <t>診療所</t>
        </is>
      </c>
      <c r="E142" s="5" t="n">
        <v>7098</v>
      </c>
      <c r="F142" s="5" t="n">
        <v>64393</v>
      </c>
    </row>
    <row r="143">
      <c r="A143" s="4" t="inlineStr">
        <is>
          <t>2024-12</t>
        </is>
      </c>
      <c r="B143" s="4" t="inlineStr">
        <is>
          <t>SKU0102</t>
        </is>
      </c>
      <c r="C143" s="4" t="inlineStr">
        <is>
          <t>メトグルコGE「サンド」</t>
        </is>
      </c>
      <c r="D143" s="4" t="inlineStr">
        <is>
          <t>調剤薬局</t>
        </is>
      </c>
      <c r="E143" s="4" t="n">
        <v>21432</v>
      </c>
      <c r="F143" s="4" t="n">
        <v>194435</v>
      </c>
    </row>
    <row r="144">
      <c r="A144" s="5" t="inlineStr">
        <is>
          <t>2024-12</t>
        </is>
      </c>
      <c r="B144" s="5" t="inlineStr">
        <is>
          <t>SKU0102</t>
        </is>
      </c>
      <c r="C144" s="5" t="inlineStr">
        <is>
          <t>メトグルコGE「サンド」</t>
        </is>
      </c>
      <c r="D144" s="5" t="inlineStr">
        <is>
          <t>病院</t>
        </is>
      </c>
      <c r="E144" s="5" t="n">
        <v>12412</v>
      </c>
      <c r="F144" s="5" t="n">
        <v>112604</v>
      </c>
    </row>
    <row r="145">
      <c r="A145" s="4" t="inlineStr">
        <is>
          <t>2024-12</t>
        </is>
      </c>
      <c r="B145" s="4" t="inlineStr">
        <is>
          <t>SKU0102</t>
        </is>
      </c>
      <c r="C145" s="4" t="inlineStr">
        <is>
          <t>メトグルコGE「サンド」</t>
        </is>
      </c>
      <c r="D145" s="4" t="inlineStr">
        <is>
          <t>診療所</t>
        </is>
      </c>
      <c r="E145" s="4" t="n">
        <v>5876</v>
      </c>
      <c r="F145" s="4" t="n">
        <v>53303</v>
      </c>
    </row>
    <row r="146">
      <c r="A146" s="5" t="inlineStr">
        <is>
          <t>2025-01</t>
        </is>
      </c>
      <c r="B146" s="5" t="inlineStr">
        <is>
          <t>SKU0101</t>
        </is>
      </c>
      <c r="C146" s="5" t="inlineStr">
        <is>
          <t>メトグルコGE「サンド」</t>
        </is>
      </c>
      <c r="D146" s="5" t="inlineStr">
        <is>
          <t>調剤薬局</t>
        </is>
      </c>
      <c r="E146" s="5" t="n">
        <v>22402</v>
      </c>
      <c r="F146" s="5" t="n">
        <v>203230</v>
      </c>
    </row>
    <row r="147">
      <c r="A147" s="4" t="inlineStr">
        <is>
          <t>2025-01</t>
        </is>
      </c>
      <c r="B147" s="4" t="inlineStr">
        <is>
          <t>SKU0101</t>
        </is>
      </c>
      <c r="C147" s="4" t="inlineStr">
        <is>
          <t>メトグルコGE「サンド」</t>
        </is>
      </c>
      <c r="D147" s="4" t="inlineStr">
        <is>
          <t>病院</t>
        </is>
      </c>
      <c r="E147" s="4" t="n">
        <v>11535</v>
      </c>
      <c r="F147" s="4" t="n">
        <v>104643</v>
      </c>
    </row>
    <row r="148">
      <c r="A148" s="5" t="inlineStr">
        <is>
          <t>2025-01</t>
        </is>
      </c>
      <c r="B148" s="5" t="inlineStr">
        <is>
          <t>SKU0101</t>
        </is>
      </c>
      <c r="C148" s="5" t="inlineStr">
        <is>
          <t>メトグルコGE「サンド」</t>
        </is>
      </c>
      <c r="D148" s="5" t="inlineStr">
        <is>
          <t>診療所</t>
        </is>
      </c>
      <c r="E148" s="5" t="n">
        <v>5990</v>
      </c>
      <c r="F148" s="5" t="n">
        <v>54337</v>
      </c>
    </row>
    <row r="149">
      <c r="A149" s="4" t="inlineStr">
        <is>
          <t>2025-01</t>
        </is>
      </c>
      <c r="B149" s="4" t="inlineStr">
        <is>
          <t>SKU0102</t>
        </is>
      </c>
      <c r="C149" s="4" t="inlineStr">
        <is>
          <t>メトグルコGE「サンド」</t>
        </is>
      </c>
      <c r="D149" s="4" t="inlineStr">
        <is>
          <t>調剤薬局</t>
        </is>
      </c>
      <c r="E149" s="4" t="n">
        <v>18171</v>
      </c>
      <c r="F149" s="4" t="n">
        <v>164845</v>
      </c>
    </row>
    <row r="150">
      <c r="A150" s="5" t="inlineStr">
        <is>
          <t>2025-01</t>
        </is>
      </c>
      <c r="B150" s="5" t="inlineStr">
        <is>
          <t>SKU0102</t>
        </is>
      </c>
      <c r="C150" s="5" t="inlineStr">
        <is>
          <t>メトグルコGE「サンド」</t>
        </is>
      </c>
      <c r="D150" s="5" t="inlineStr">
        <is>
          <t>病院</t>
        </is>
      </c>
      <c r="E150" s="5" t="n">
        <v>9785</v>
      </c>
      <c r="F150" s="5" t="n">
        <v>88766</v>
      </c>
    </row>
    <row r="151">
      <c r="A151" s="4" t="inlineStr">
        <is>
          <t>2025-01</t>
        </is>
      </c>
      <c r="B151" s="4" t="inlineStr">
        <is>
          <t>SKU0102</t>
        </is>
      </c>
      <c r="C151" s="4" t="inlineStr">
        <is>
          <t>メトグルコGE「サンド」</t>
        </is>
      </c>
      <c r="D151" s="4" t="inlineStr">
        <is>
          <t>診療所</t>
        </is>
      </c>
      <c r="E151" s="4" t="n">
        <v>5202</v>
      </c>
      <c r="F151" s="4" t="n">
        <v>47194</v>
      </c>
    </row>
    <row r="152">
      <c r="A152" s="5" t="inlineStr">
        <is>
          <t>2025-02</t>
        </is>
      </c>
      <c r="B152" s="5" t="inlineStr">
        <is>
          <t>SKU0101</t>
        </is>
      </c>
      <c r="C152" s="5" t="inlineStr">
        <is>
          <t>メトグルコGE「サンド」</t>
        </is>
      </c>
      <c r="D152" s="5" t="inlineStr">
        <is>
          <t>調剤薬局</t>
        </is>
      </c>
      <c r="E152" s="5" t="n">
        <v>21237</v>
      </c>
      <c r="F152" s="5" t="n">
        <v>192659</v>
      </c>
    </row>
    <row r="153">
      <c r="A153" s="4" t="inlineStr">
        <is>
          <t>2025-02</t>
        </is>
      </c>
      <c r="B153" s="4" t="inlineStr">
        <is>
          <t>SKU0101</t>
        </is>
      </c>
      <c r="C153" s="4" t="inlineStr">
        <is>
          <t>メトグルコGE「サンド」</t>
        </is>
      </c>
      <c r="D153" s="4" t="inlineStr">
        <is>
          <t>病院</t>
        </is>
      </c>
      <c r="E153" s="4" t="n">
        <v>12091</v>
      </c>
      <c r="F153" s="4" t="n">
        <v>109692</v>
      </c>
    </row>
    <row r="154">
      <c r="A154" s="5" t="inlineStr">
        <is>
          <t>2025-02</t>
        </is>
      </c>
      <c r="B154" s="5" t="inlineStr">
        <is>
          <t>SKU0101</t>
        </is>
      </c>
      <c r="C154" s="5" t="inlineStr">
        <is>
          <t>メトグルコGE「サンド」</t>
        </is>
      </c>
      <c r="D154" s="5" t="inlineStr">
        <is>
          <t>診療所</t>
        </is>
      </c>
      <c r="E154" s="5" t="n">
        <v>5831</v>
      </c>
      <c r="F154" s="5" t="n">
        <v>52902</v>
      </c>
    </row>
    <row r="155">
      <c r="A155" s="4" t="inlineStr">
        <is>
          <t>2025-02</t>
        </is>
      </c>
      <c r="B155" s="4" t="inlineStr">
        <is>
          <t>SKU0102</t>
        </is>
      </c>
      <c r="C155" s="4" t="inlineStr">
        <is>
          <t>メトグルコGE「サンド」</t>
        </is>
      </c>
      <c r="D155" s="4" t="inlineStr">
        <is>
          <t>調剤薬局</t>
        </is>
      </c>
      <c r="E155" s="4" t="n">
        <v>17045</v>
      </c>
      <c r="F155" s="4" t="n">
        <v>154631</v>
      </c>
    </row>
    <row r="156">
      <c r="A156" s="5" t="inlineStr">
        <is>
          <t>2025-02</t>
        </is>
      </c>
      <c r="B156" s="5" t="inlineStr">
        <is>
          <t>SKU0102</t>
        </is>
      </c>
      <c r="C156" s="5" t="inlineStr">
        <is>
          <t>メトグルコGE「サンド」</t>
        </is>
      </c>
      <c r="D156" s="5" t="inlineStr">
        <is>
          <t>病院</t>
        </is>
      </c>
      <c r="E156" s="5" t="n">
        <v>9262</v>
      </c>
      <c r="F156" s="5" t="n">
        <v>84026</v>
      </c>
    </row>
    <row r="157">
      <c r="A157" s="4" t="inlineStr">
        <is>
          <t>2025-02</t>
        </is>
      </c>
      <c r="B157" s="4" t="inlineStr">
        <is>
          <t>SKU0102</t>
        </is>
      </c>
      <c r="C157" s="4" t="inlineStr">
        <is>
          <t>メトグルコGE「サンド」</t>
        </is>
      </c>
      <c r="D157" s="4" t="inlineStr">
        <is>
          <t>診療所</t>
        </is>
      </c>
      <c r="E157" s="4" t="n">
        <v>4644</v>
      </c>
      <c r="F157" s="4" t="n">
        <v>42130</v>
      </c>
    </row>
    <row r="158">
      <c r="A158" s="5" t="inlineStr">
        <is>
          <t>2025-03</t>
        </is>
      </c>
      <c r="B158" s="5" t="inlineStr">
        <is>
          <t>SKU0101</t>
        </is>
      </c>
      <c r="C158" s="5" t="inlineStr">
        <is>
          <t>メトグルコGE「サンド」</t>
        </is>
      </c>
      <c r="D158" s="5" t="inlineStr">
        <is>
          <t>調剤薬局</t>
        </is>
      </c>
      <c r="E158" s="5" t="n">
        <v>27559</v>
      </c>
      <c r="F158" s="5" t="n">
        <v>250019</v>
      </c>
    </row>
    <row r="159">
      <c r="A159" s="4" t="inlineStr">
        <is>
          <t>2025-03</t>
        </is>
      </c>
      <c r="B159" s="4" t="inlineStr">
        <is>
          <t>SKU0101</t>
        </is>
      </c>
      <c r="C159" s="4" t="inlineStr">
        <is>
          <t>メトグルコGE「サンド」</t>
        </is>
      </c>
      <c r="D159" s="4" t="inlineStr">
        <is>
          <t>病院</t>
        </is>
      </c>
      <c r="E159" s="4" t="n">
        <v>13300</v>
      </c>
      <c r="F159" s="4" t="n">
        <v>120662</v>
      </c>
    </row>
    <row r="160">
      <c r="A160" s="5" t="inlineStr">
        <is>
          <t>2025-03</t>
        </is>
      </c>
      <c r="B160" s="5" t="inlineStr">
        <is>
          <t>SKU0101</t>
        </is>
      </c>
      <c r="C160" s="5" t="inlineStr">
        <is>
          <t>メトグルコGE「サンド」</t>
        </is>
      </c>
      <c r="D160" s="5" t="inlineStr">
        <is>
          <t>診療所</t>
        </is>
      </c>
      <c r="E160" s="5" t="n">
        <v>6718</v>
      </c>
      <c r="F160" s="5" t="n">
        <v>60950</v>
      </c>
    </row>
    <row r="161">
      <c r="A161" s="4" t="inlineStr">
        <is>
          <t>2025-03</t>
        </is>
      </c>
      <c r="B161" s="4" t="inlineStr">
        <is>
          <t>SKU0102</t>
        </is>
      </c>
      <c r="C161" s="4" t="inlineStr">
        <is>
          <t>メトグルコGE「サンド」</t>
        </is>
      </c>
      <c r="D161" s="4" t="inlineStr">
        <is>
          <t>調剤薬局</t>
        </is>
      </c>
      <c r="E161" s="4" t="n">
        <v>20215</v>
      </c>
      <c r="F161" s="4" t="n">
        <v>183394</v>
      </c>
    </row>
    <row r="162">
      <c r="A162" s="5" t="inlineStr">
        <is>
          <t>2025-03</t>
        </is>
      </c>
      <c r="B162" s="5" t="inlineStr">
        <is>
          <t>SKU0102</t>
        </is>
      </c>
      <c r="C162" s="5" t="inlineStr">
        <is>
          <t>メトグルコGE「サンド」</t>
        </is>
      </c>
      <c r="D162" s="5" t="inlineStr">
        <is>
          <t>病院</t>
        </is>
      </c>
      <c r="E162" s="5" t="n">
        <v>11214</v>
      </c>
      <c r="F162" s="5" t="n">
        <v>101734</v>
      </c>
    </row>
    <row r="163">
      <c r="A163" s="4" t="inlineStr">
        <is>
          <t>2025-03</t>
        </is>
      </c>
      <c r="B163" s="4" t="inlineStr">
        <is>
          <t>SKU0102</t>
        </is>
      </c>
      <c r="C163" s="4" t="inlineStr">
        <is>
          <t>メトグルコGE「サンド」</t>
        </is>
      </c>
      <c r="D163" s="4" t="inlineStr">
        <is>
          <t>診療所</t>
        </is>
      </c>
      <c r="E163" s="4" t="n">
        <v>5721</v>
      </c>
      <c r="F163" s="4" t="n">
        <v>51898</v>
      </c>
    </row>
    <row r="164">
      <c r="A164" s="5" t="inlineStr">
        <is>
          <t>2025-04</t>
        </is>
      </c>
      <c r="B164" s="5" t="inlineStr">
        <is>
          <t>SKU0101</t>
        </is>
      </c>
      <c r="C164" s="5" t="inlineStr">
        <is>
          <t>メトグルコGE「サンド」</t>
        </is>
      </c>
      <c r="D164" s="5" t="inlineStr">
        <is>
          <t>調剤薬局</t>
        </is>
      </c>
      <c r="E164" s="5" t="n">
        <v>26366</v>
      </c>
      <c r="F164" s="5" t="n">
        <v>232015</v>
      </c>
    </row>
    <row r="165">
      <c r="A165" s="4" t="inlineStr">
        <is>
          <t>2025-04</t>
        </is>
      </c>
      <c r="B165" s="4" t="inlineStr">
        <is>
          <t>SKU0101</t>
        </is>
      </c>
      <c r="C165" s="4" t="inlineStr">
        <is>
          <t>メトグルコGE「サンド」</t>
        </is>
      </c>
      <c r="D165" s="4" t="inlineStr">
        <is>
          <t>病院</t>
        </is>
      </c>
      <c r="E165" s="4" t="n">
        <v>14017</v>
      </c>
      <c r="F165" s="4" t="n">
        <v>123344</v>
      </c>
    </row>
    <row r="166">
      <c r="A166" s="5" t="inlineStr">
        <is>
          <t>2025-04</t>
        </is>
      </c>
      <c r="B166" s="5" t="inlineStr">
        <is>
          <t>SKU0101</t>
        </is>
      </c>
      <c r="C166" s="5" t="inlineStr">
        <is>
          <t>メトグルコGE「サンド」</t>
        </is>
      </c>
      <c r="D166" s="5" t="inlineStr">
        <is>
          <t>診療所</t>
        </is>
      </c>
      <c r="E166" s="5" t="n">
        <v>7307</v>
      </c>
      <c r="F166" s="5" t="n">
        <v>64299</v>
      </c>
    </row>
    <row r="167">
      <c r="A167" s="4" t="inlineStr">
        <is>
          <t>2025-04</t>
        </is>
      </c>
      <c r="B167" s="4" t="inlineStr">
        <is>
          <t>SKU0102</t>
        </is>
      </c>
      <c r="C167" s="4" t="inlineStr">
        <is>
          <t>メトグルコGE「サンド」</t>
        </is>
      </c>
      <c r="D167" s="4" t="inlineStr">
        <is>
          <t>調剤薬局</t>
        </is>
      </c>
      <c r="E167" s="4" t="n">
        <v>20655</v>
      </c>
      <c r="F167" s="4" t="n">
        <v>181760</v>
      </c>
    </row>
    <row r="168">
      <c r="A168" s="5" t="inlineStr">
        <is>
          <t>2025-04</t>
        </is>
      </c>
      <c r="B168" s="5" t="inlineStr">
        <is>
          <t>SKU0102</t>
        </is>
      </c>
      <c r="C168" s="5" t="inlineStr">
        <is>
          <t>メトグルコGE「サンド」</t>
        </is>
      </c>
      <c r="D168" s="5" t="inlineStr">
        <is>
          <t>病院</t>
        </is>
      </c>
      <c r="E168" s="5" t="n">
        <v>10989</v>
      </c>
      <c r="F168" s="5" t="n">
        <v>96700</v>
      </c>
    </row>
    <row r="169">
      <c r="A169" s="4" t="inlineStr">
        <is>
          <t>2025-04</t>
        </is>
      </c>
      <c r="B169" s="4" t="inlineStr">
        <is>
          <t>SKU0102</t>
        </is>
      </c>
      <c r="C169" s="4" t="inlineStr">
        <is>
          <t>メトグルコGE「サンド」</t>
        </is>
      </c>
      <c r="D169" s="4" t="inlineStr">
        <is>
          <t>診療所</t>
        </is>
      </c>
      <c r="E169" s="4" t="n">
        <v>5622</v>
      </c>
      <c r="F169" s="4" t="n">
        <v>49473</v>
      </c>
    </row>
    <row r="170">
      <c r="A170" s="5" t="inlineStr">
        <is>
          <t>2025-05</t>
        </is>
      </c>
      <c r="B170" s="5" t="inlineStr">
        <is>
          <t>SKU0101</t>
        </is>
      </c>
      <c r="C170" s="5" t="inlineStr">
        <is>
          <t>メトグルコGE「サンド」</t>
        </is>
      </c>
      <c r="D170" s="5" t="inlineStr">
        <is>
          <t>調剤薬局</t>
        </is>
      </c>
      <c r="E170" s="5" t="n">
        <v>24488</v>
      </c>
      <c r="F170" s="5" t="n">
        <v>215491</v>
      </c>
    </row>
    <row r="171">
      <c r="A171" s="4" t="inlineStr">
        <is>
          <t>2025-05</t>
        </is>
      </c>
      <c r="B171" s="4" t="inlineStr">
        <is>
          <t>SKU0101</t>
        </is>
      </c>
      <c r="C171" s="4" t="inlineStr">
        <is>
          <t>メトグルコGE「サンド」</t>
        </is>
      </c>
      <c r="D171" s="4" t="inlineStr">
        <is>
          <t>病院</t>
        </is>
      </c>
      <c r="E171" s="4" t="n">
        <v>13026</v>
      </c>
      <c r="F171" s="4" t="n">
        <v>114623</v>
      </c>
    </row>
    <row r="172">
      <c r="A172" s="5" t="inlineStr">
        <is>
          <t>2025-05</t>
        </is>
      </c>
      <c r="B172" s="5" t="inlineStr">
        <is>
          <t>SKU0101</t>
        </is>
      </c>
      <c r="C172" s="5" t="inlineStr">
        <is>
          <t>メトグルコGE「サンド」</t>
        </is>
      </c>
      <c r="D172" s="5" t="inlineStr">
        <is>
          <t>診療所</t>
        </is>
      </c>
      <c r="E172" s="5" t="n">
        <v>6763</v>
      </c>
      <c r="F172" s="5" t="n">
        <v>59514</v>
      </c>
    </row>
    <row r="173">
      <c r="A173" s="4" t="inlineStr">
        <is>
          <t>2025-05</t>
        </is>
      </c>
      <c r="B173" s="4" t="inlineStr">
        <is>
          <t>SKU0102</t>
        </is>
      </c>
      <c r="C173" s="4" t="inlineStr">
        <is>
          <t>メトグルコGE「サンド」</t>
        </is>
      </c>
      <c r="D173" s="4" t="inlineStr">
        <is>
          <t>調剤薬局</t>
        </is>
      </c>
      <c r="E173" s="4" t="n">
        <v>18460</v>
      </c>
      <c r="F173" s="4" t="n">
        <v>162441</v>
      </c>
    </row>
    <row r="174">
      <c r="A174" s="5" t="inlineStr">
        <is>
          <t>2025-05</t>
        </is>
      </c>
      <c r="B174" s="5" t="inlineStr">
        <is>
          <t>SKU0102</t>
        </is>
      </c>
      <c r="C174" s="5" t="inlineStr">
        <is>
          <t>メトグルコGE「サンド」</t>
        </is>
      </c>
      <c r="D174" s="5" t="inlineStr">
        <is>
          <t>病院</t>
        </is>
      </c>
      <c r="E174" s="5" t="n">
        <v>10036</v>
      </c>
      <c r="F174" s="5" t="n">
        <v>88315</v>
      </c>
    </row>
    <row r="175">
      <c r="A175" s="4" t="inlineStr">
        <is>
          <t>2025-05</t>
        </is>
      </c>
      <c r="B175" s="4" t="inlineStr">
        <is>
          <t>SKU0102</t>
        </is>
      </c>
      <c r="C175" s="4" t="inlineStr">
        <is>
          <t>メトグルコGE「サンド」</t>
        </is>
      </c>
      <c r="D175" s="4" t="inlineStr">
        <is>
          <t>診療所</t>
        </is>
      </c>
      <c r="E175" s="4" t="n">
        <v>5239</v>
      </c>
      <c r="F175" s="4" t="n">
        <v>46107</v>
      </c>
    </row>
    <row r="176">
      <c r="A176" s="5" t="inlineStr">
        <is>
          <t>2025-06</t>
        </is>
      </c>
      <c r="B176" s="5" t="inlineStr">
        <is>
          <t>SKU0101</t>
        </is>
      </c>
      <c r="C176" s="5" t="inlineStr">
        <is>
          <t>メトグルコGE「サンド」</t>
        </is>
      </c>
      <c r="D176" s="5" t="inlineStr">
        <is>
          <t>調剤薬局</t>
        </is>
      </c>
      <c r="E176" s="5" t="n">
        <v>25778</v>
      </c>
      <c r="F176" s="5" t="n">
        <v>226846</v>
      </c>
    </row>
    <row r="177">
      <c r="A177" s="4" t="inlineStr">
        <is>
          <t>2025-06</t>
        </is>
      </c>
      <c r="B177" s="4" t="inlineStr">
        <is>
          <t>SKU0101</t>
        </is>
      </c>
      <c r="C177" s="4" t="inlineStr">
        <is>
          <t>メトグルコGE「サンド」</t>
        </is>
      </c>
      <c r="D177" s="4" t="inlineStr">
        <is>
          <t>病院</t>
        </is>
      </c>
      <c r="E177" s="4" t="n">
        <v>14531</v>
      </c>
      <c r="F177" s="4" t="n">
        <v>127874</v>
      </c>
    </row>
    <row r="178">
      <c r="A178" s="5" t="inlineStr">
        <is>
          <t>2025-06</t>
        </is>
      </c>
      <c r="B178" s="5" t="inlineStr">
        <is>
          <t>SKU0101</t>
        </is>
      </c>
      <c r="C178" s="5" t="inlineStr">
        <is>
          <t>メトグルコGE「サンド」</t>
        </is>
      </c>
      <c r="D178" s="5" t="inlineStr">
        <is>
          <t>診療所</t>
        </is>
      </c>
      <c r="E178" s="5" t="n">
        <v>7318</v>
      </c>
      <c r="F178" s="5" t="n">
        <v>64399</v>
      </c>
    </row>
    <row r="179">
      <c r="A179" s="4" t="inlineStr">
        <is>
          <t>2025-06</t>
        </is>
      </c>
      <c r="B179" s="4" t="inlineStr">
        <is>
          <t>SKU0102</t>
        </is>
      </c>
      <c r="C179" s="4" t="inlineStr">
        <is>
          <t>メトグルコGE「サンド」</t>
        </is>
      </c>
      <c r="D179" s="4" t="inlineStr">
        <is>
          <t>調剤薬局</t>
        </is>
      </c>
      <c r="E179" s="4" t="n">
        <v>20488</v>
      </c>
      <c r="F179" s="4" t="n">
        <v>180289</v>
      </c>
    </row>
    <row r="180">
      <c r="A180" s="5" t="inlineStr">
        <is>
          <t>2025-06</t>
        </is>
      </c>
      <c r="B180" s="5" t="inlineStr">
        <is>
          <t>SKU0102</t>
        </is>
      </c>
      <c r="C180" s="5" t="inlineStr">
        <is>
          <t>メトグルコGE「サンド」</t>
        </is>
      </c>
      <c r="D180" s="5" t="inlineStr">
        <is>
          <t>病院</t>
        </is>
      </c>
      <c r="E180" s="5" t="n">
        <v>11212</v>
      </c>
      <c r="F180" s="5" t="n">
        <v>98663</v>
      </c>
    </row>
    <row r="181">
      <c r="A181" s="4" t="inlineStr">
        <is>
          <t>2025-06</t>
        </is>
      </c>
      <c r="B181" s="4" t="inlineStr">
        <is>
          <t>SKU0102</t>
        </is>
      </c>
      <c r="C181" s="4" t="inlineStr">
        <is>
          <t>メトグルコGE「サンド」</t>
        </is>
      </c>
      <c r="D181" s="4" t="inlineStr">
        <is>
          <t>診療所</t>
        </is>
      </c>
      <c r="E181" s="4" t="n">
        <v>5394</v>
      </c>
      <c r="F181" s="4" t="n">
        <v>47463</v>
      </c>
    </row>
    <row r="182">
      <c r="A182" s="5" t="inlineStr">
        <is>
          <t>2025-07</t>
        </is>
      </c>
      <c r="B182" s="5" t="inlineStr">
        <is>
          <t>SKU0101</t>
        </is>
      </c>
      <c r="C182" s="5" t="inlineStr">
        <is>
          <t>メトグルコGE「サンド」</t>
        </is>
      </c>
      <c r="D182" s="5" t="inlineStr">
        <is>
          <t>調剤薬局</t>
        </is>
      </c>
      <c r="E182" s="5" t="n">
        <v>25457</v>
      </c>
      <c r="F182" s="5" t="n">
        <v>224018</v>
      </c>
    </row>
    <row r="183">
      <c r="A183" s="4" t="inlineStr">
        <is>
          <t>2025-07</t>
        </is>
      </c>
      <c r="B183" s="4" t="inlineStr">
        <is>
          <t>SKU0101</t>
        </is>
      </c>
      <c r="C183" s="4" t="inlineStr">
        <is>
          <t>メトグルコGE「サンド」</t>
        </is>
      </c>
      <c r="D183" s="4" t="inlineStr">
        <is>
          <t>病院</t>
        </is>
      </c>
      <c r="E183" s="4" t="n">
        <v>13939</v>
      </c>
      <c r="F183" s="4" t="n">
        <v>122661</v>
      </c>
    </row>
    <row r="184">
      <c r="A184" s="5" t="inlineStr">
        <is>
          <t>2025-07</t>
        </is>
      </c>
      <c r="B184" s="5" t="inlineStr">
        <is>
          <t>SKU0101</t>
        </is>
      </c>
      <c r="C184" s="5" t="inlineStr">
        <is>
          <t>メトグルコGE「サンド」</t>
        </is>
      </c>
      <c r="D184" s="5" t="inlineStr">
        <is>
          <t>診療所</t>
        </is>
      </c>
      <c r="E184" s="5" t="n">
        <v>7682</v>
      </c>
      <c r="F184" s="5" t="n">
        <v>67598</v>
      </c>
    </row>
    <row r="185">
      <c r="A185" s="4" t="inlineStr">
        <is>
          <t>2025-07</t>
        </is>
      </c>
      <c r="B185" s="4" t="inlineStr">
        <is>
          <t>SKU0102</t>
        </is>
      </c>
      <c r="C185" s="4" t="inlineStr">
        <is>
          <t>メトグルコGE「サンド」</t>
        </is>
      </c>
      <c r="D185" s="4" t="inlineStr">
        <is>
          <t>調剤薬局</t>
        </is>
      </c>
      <c r="E185" s="4" t="n">
        <v>20229</v>
      </c>
      <c r="F185" s="4" t="n">
        <v>178011</v>
      </c>
    </row>
    <row r="186">
      <c r="A186" s="5" t="inlineStr">
        <is>
          <t>2025-07</t>
        </is>
      </c>
      <c r="B186" s="5" t="inlineStr">
        <is>
          <t>SKU0102</t>
        </is>
      </c>
      <c r="C186" s="5" t="inlineStr">
        <is>
          <t>メトグルコGE「サンド」</t>
        </is>
      </c>
      <c r="D186" s="5" t="inlineStr">
        <is>
          <t>病院</t>
        </is>
      </c>
      <c r="E186" s="5" t="n">
        <v>10339</v>
      </c>
      <c r="F186" s="5" t="n">
        <v>90980</v>
      </c>
    </row>
    <row r="187">
      <c r="A187" s="4" t="inlineStr">
        <is>
          <t>2025-07</t>
        </is>
      </c>
      <c r="B187" s="4" t="inlineStr">
        <is>
          <t>SKU0102</t>
        </is>
      </c>
      <c r="C187" s="4" t="inlineStr">
        <is>
          <t>メトグルコGE「サンド」</t>
        </is>
      </c>
      <c r="D187" s="4" t="inlineStr">
        <is>
          <t>診療所</t>
        </is>
      </c>
      <c r="E187" s="4" t="n">
        <v>5177</v>
      </c>
      <c r="F187" s="4" t="n">
        <v>45557</v>
      </c>
    </row>
    <row r="188">
      <c r="A188" s="5" t="inlineStr">
        <is>
          <t>2025-08</t>
        </is>
      </c>
      <c r="B188" s="5" t="inlineStr">
        <is>
          <t>SKU0101</t>
        </is>
      </c>
      <c r="C188" s="5" t="inlineStr">
        <is>
          <t>メトグルコGE「サンド」</t>
        </is>
      </c>
      <c r="D188" s="5" t="inlineStr">
        <is>
          <t>調剤薬局</t>
        </is>
      </c>
      <c r="E188" s="5" t="n">
        <v>23137</v>
      </c>
      <c r="F188" s="5" t="n">
        <v>203601</v>
      </c>
    </row>
    <row r="189">
      <c r="A189" s="4" t="inlineStr">
        <is>
          <t>2025-08</t>
        </is>
      </c>
      <c r="B189" s="4" t="inlineStr">
        <is>
          <t>SKU0101</t>
        </is>
      </c>
      <c r="C189" s="4" t="inlineStr">
        <is>
          <t>メトグルコGE「サンド」</t>
        </is>
      </c>
      <c r="D189" s="4" t="inlineStr">
        <is>
          <t>病院</t>
        </is>
      </c>
      <c r="E189" s="4" t="n">
        <v>12323</v>
      </c>
      <c r="F189" s="4" t="n">
        <v>108437</v>
      </c>
    </row>
    <row r="190">
      <c r="A190" s="5" t="inlineStr">
        <is>
          <t>2025-08</t>
        </is>
      </c>
      <c r="B190" s="5" t="inlineStr">
        <is>
          <t>SKU0101</t>
        </is>
      </c>
      <c r="C190" s="5" t="inlineStr">
        <is>
          <t>メトグルコGE「サンド」</t>
        </is>
      </c>
      <c r="D190" s="5" t="inlineStr">
        <is>
          <t>診療所</t>
        </is>
      </c>
      <c r="E190" s="5" t="n">
        <v>6512</v>
      </c>
      <c r="F190" s="5" t="n">
        <v>57309</v>
      </c>
    </row>
    <row r="191">
      <c r="A191" s="4" t="inlineStr">
        <is>
          <t>2025-08</t>
        </is>
      </c>
      <c r="B191" s="4" t="inlineStr">
        <is>
          <t>SKU0102</t>
        </is>
      </c>
      <c r="C191" s="4" t="inlineStr">
        <is>
          <t>メトグルコGE「サンド」</t>
        </is>
      </c>
      <c r="D191" s="4" t="inlineStr">
        <is>
          <t>調剤薬局</t>
        </is>
      </c>
      <c r="E191" s="4" t="n">
        <v>16713</v>
      </c>
      <c r="F191" s="4" t="n">
        <v>147068</v>
      </c>
    </row>
    <row r="192">
      <c r="A192" s="5" t="inlineStr">
        <is>
          <t>2025-08</t>
        </is>
      </c>
      <c r="B192" s="5" t="inlineStr">
        <is>
          <t>SKU0102</t>
        </is>
      </c>
      <c r="C192" s="5" t="inlineStr">
        <is>
          <t>メトグルコGE「サンド」</t>
        </is>
      </c>
      <c r="D192" s="5" t="inlineStr">
        <is>
          <t>病院</t>
        </is>
      </c>
      <c r="E192" s="5" t="n">
        <v>9373</v>
      </c>
      <c r="F192" s="5" t="n">
        <v>82484</v>
      </c>
    </row>
    <row r="193">
      <c r="A193" s="4" t="inlineStr">
        <is>
          <t>2025-08</t>
        </is>
      </c>
      <c r="B193" s="4" t="inlineStr">
        <is>
          <t>SKU0102</t>
        </is>
      </c>
      <c r="C193" s="4" t="inlineStr">
        <is>
          <t>メトグルコGE「サンド」</t>
        </is>
      </c>
      <c r="D193" s="4" t="inlineStr">
        <is>
          <t>診療所</t>
        </is>
      </c>
      <c r="E193" s="4" t="n">
        <v>4473</v>
      </c>
      <c r="F193" s="4" t="n">
        <v>39362</v>
      </c>
    </row>
    <row r="194">
      <c r="A194" s="5" t="inlineStr">
        <is>
          <t>2025-09</t>
        </is>
      </c>
      <c r="B194" s="5" t="inlineStr">
        <is>
          <t>SKU0101</t>
        </is>
      </c>
      <c r="C194" s="5" t="inlineStr">
        <is>
          <t>メトグルコGE「サンド」</t>
        </is>
      </c>
      <c r="D194" s="5" t="inlineStr">
        <is>
          <t>調剤薬局</t>
        </is>
      </c>
      <c r="E194" s="5" t="n">
        <v>24668</v>
      </c>
      <c r="F194" s="5" t="n">
        <v>217071</v>
      </c>
    </row>
    <row r="195">
      <c r="A195" s="4" t="inlineStr">
        <is>
          <t>2025-09</t>
        </is>
      </c>
      <c r="B195" s="4" t="inlineStr">
        <is>
          <t>SKU0101</t>
        </is>
      </c>
      <c r="C195" s="4" t="inlineStr">
        <is>
          <t>メトグルコGE「サンド」</t>
        </is>
      </c>
      <c r="D195" s="4" t="inlineStr">
        <is>
          <t>病院</t>
        </is>
      </c>
      <c r="E195" s="4" t="n">
        <v>13831</v>
      </c>
      <c r="F195" s="4" t="n">
        <v>121712</v>
      </c>
    </row>
    <row r="196">
      <c r="A196" s="5" t="inlineStr">
        <is>
          <t>2025-09</t>
        </is>
      </c>
      <c r="B196" s="5" t="inlineStr">
        <is>
          <t>SKU0101</t>
        </is>
      </c>
      <c r="C196" s="5" t="inlineStr">
        <is>
          <t>メトグルコGE「サンド」</t>
        </is>
      </c>
      <c r="D196" s="5" t="inlineStr">
        <is>
          <t>診療所</t>
        </is>
      </c>
      <c r="E196" s="5" t="n">
        <v>6961</v>
      </c>
      <c r="F196" s="5" t="n">
        <v>61252</v>
      </c>
    </row>
    <row r="197">
      <c r="A197" s="4" t="inlineStr">
        <is>
          <t>2025-09</t>
        </is>
      </c>
      <c r="B197" s="4" t="inlineStr">
        <is>
          <t>SKU0102</t>
        </is>
      </c>
      <c r="C197" s="4" t="inlineStr">
        <is>
          <t>メトグルコGE「サンド」</t>
        </is>
      </c>
      <c r="D197" s="4" t="inlineStr">
        <is>
          <t>調剤薬局</t>
        </is>
      </c>
      <c r="E197" s="4" t="n">
        <v>18058</v>
      </c>
      <c r="F197" s="4" t="n">
        <v>158910</v>
      </c>
    </row>
    <row r="198">
      <c r="A198" s="5" t="inlineStr">
        <is>
          <t>2025-09</t>
        </is>
      </c>
      <c r="B198" s="5" t="inlineStr">
        <is>
          <t>SKU0102</t>
        </is>
      </c>
      <c r="C198" s="5" t="inlineStr">
        <is>
          <t>メトグルコGE「サンド」</t>
        </is>
      </c>
      <c r="D198" s="5" t="inlineStr">
        <is>
          <t>病院</t>
        </is>
      </c>
      <c r="E198" s="5" t="n">
        <v>9343</v>
      </c>
      <c r="F198" s="5" t="n">
        <v>82215</v>
      </c>
    </row>
    <row r="199">
      <c r="A199" s="4" t="inlineStr">
        <is>
          <t>2025-09</t>
        </is>
      </c>
      <c r="B199" s="4" t="inlineStr">
        <is>
          <t>SKU0102</t>
        </is>
      </c>
      <c r="C199" s="4" t="inlineStr">
        <is>
          <t>メトグルコGE「サンド」</t>
        </is>
      </c>
      <c r="D199" s="4" t="inlineStr">
        <is>
          <t>診療所</t>
        </is>
      </c>
      <c r="E199" s="4" t="n">
        <v>4989</v>
      </c>
      <c r="F199" s="4" t="n">
        <v>43901</v>
      </c>
    </row>
    <row r="200">
      <c r="A200" s="5" t="inlineStr">
        <is>
          <t>2025-10</t>
        </is>
      </c>
      <c r="B200" s="5" t="inlineStr">
        <is>
          <t>SKU0101</t>
        </is>
      </c>
      <c r="C200" s="5" t="inlineStr">
        <is>
          <t>メトグルコGE「サンド」</t>
        </is>
      </c>
      <c r="D200" s="5" t="inlineStr">
        <is>
          <t>調剤薬局</t>
        </is>
      </c>
      <c r="E200" s="5" t="n">
        <v>27170</v>
      </c>
      <c r="F200" s="5" t="n">
        <v>239096</v>
      </c>
    </row>
    <row r="201">
      <c r="A201" s="4" t="inlineStr">
        <is>
          <t>2025-10</t>
        </is>
      </c>
      <c r="B201" s="4" t="inlineStr">
        <is>
          <t>SKU0101</t>
        </is>
      </c>
      <c r="C201" s="4" t="inlineStr">
        <is>
          <t>メトグルコGE「サンド」</t>
        </is>
      </c>
      <c r="D201" s="4" t="inlineStr">
        <is>
          <t>病院</t>
        </is>
      </c>
      <c r="E201" s="4" t="n">
        <v>15473</v>
      </c>
      <c r="F201" s="4" t="n">
        <v>136161</v>
      </c>
    </row>
    <row r="202">
      <c r="A202" s="5" t="inlineStr">
        <is>
          <t>2025-10</t>
        </is>
      </c>
      <c r="B202" s="5" t="inlineStr">
        <is>
          <t>SKU0101</t>
        </is>
      </c>
      <c r="C202" s="5" t="inlineStr">
        <is>
          <t>メトグルコGE「サンド」</t>
        </is>
      </c>
      <c r="D202" s="5" t="inlineStr">
        <is>
          <t>診療所</t>
        </is>
      </c>
      <c r="E202" s="5" t="n">
        <v>7590</v>
      </c>
      <c r="F202" s="5" t="n">
        <v>66790</v>
      </c>
    </row>
    <row r="203">
      <c r="A203" s="4" t="inlineStr">
        <is>
          <t>2025-10</t>
        </is>
      </c>
      <c r="B203" s="4" t="inlineStr">
        <is>
          <t>SKU0102</t>
        </is>
      </c>
      <c r="C203" s="4" t="inlineStr">
        <is>
          <t>メトグルコGE「サンド」</t>
        </is>
      </c>
      <c r="D203" s="4" t="inlineStr">
        <is>
          <t>調剤薬局</t>
        </is>
      </c>
      <c r="E203" s="4" t="n">
        <v>18528</v>
      </c>
      <c r="F203" s="4" t="n">
        <v>163040</v>
      </c>
    </row>
    <row r="204">
      <c r="A204" s="5" t="inlineStr">
        <is>
          <t>2025-10</t>
        </is>
      </c>
      <c r="B204" s="5" t="inlineStr">
        <is>
          <t>SKU0102</t>
        </is>
      </c>
      <c r="C204" s="5" t="inlineStr">
        <is>
          <t>メトグルコGE「サンド」</t>
        </is>
      </c>
      <c r="D204" s="5" t="inlineStr">
        <is>
          <t>病院</t>
        </is>
      </c>
      <c r="E204" s="5" t="n">
        <v>10441</v>
      </c>
      <c r="F204" s="5" t="n">
        <v>91881</v>
      </c>
    </row>
    <row r="205">
      <c r="A205" s="4" t="inlineStr">
        <is>
          <t>2025-10</t>
        </is>
      </c>
      <c r="B205" s="4" t="inlineStr">
        <is>
          <t>SKU0102</t>
        </is>
      </c>
      <c r="C205" s="4" t="inlineStr">
        <is>
          <t>メトグルコGE「サンド」</t>
        </is>
      </c>
      <c r="D205" s="4" t="inlineStr">
        <is>
          <t>診療所</t>
        </is>
      </c>
      <c r="E205" s="4" t="n">
        <v>5328</v>
      </c>
      <c r="F205" s="4" t="n">
        <v>46889</v>
      </c>
    </row>
    <row r="206">
      <c r="A206" s="5" t="inlineStr">
        <is>
          <t>2025-11</t>
        </is>
      </c>
      <c r="B206" s="5" t="inlineStr">
        <is>
          <t>SKU0101</t>
        </is>
      </c>
      <c r="C206" s="5" t="inlineStr">
        <is>
          <t>メトグルコGE「サンド」</t>
        </is>
      </c>
      <c r="D206" s="5" t="inlineStr">
        <is>
          <t>調剤薬局</t>
        </is>
      </c>
      <c r="E206" s="5" t="n">
        <v>25566</v>
      </c>
      <c r="F206" s="5" t="n">
        <v>224981</v>
      </c>
    </row>
    <row r="207">
      <c r="A207" s="4" t="inlineStr">
        <is>
          <t>2025-11</t>
        </is>
      </c>
      <c r="B207" s="4" t="inlineStr">
        <is>
          <t>SKU0101</t>
        </is>
      </c>
      <c r="C207" s="4" t="inlineStr">
        <is>
          <t>メトグルコGE「サンド」</t>
        </is>
      </c>
      <c r="D207" s="4" t="inlineStr">
        <is>
          <t>病院</t>
        </is>
      </c>
      <c r="E207" s="4" t="n">
        <v>13636</v>
      </c>
      <c r="F207" s="4" t="n">
        <v>119991</v>
      </c>
    </row>
    <row r="208">
      <c r="A208" s="5" t="inlineStr">
        <is>
          <t>2025-11</t>
        </is>
      </c>
      <c r="B208" s="5" t="inlineStr">
        <is>
          <t>SKU0101</t>
        </is>
      </c>
      <c r="C208" s="5" t="inlineStr">
        <is>
          <t>メトグルコGE「サンド」</t>
        </is>
      </c>
      <c r="D208" s="5" t="inlineStr">
        <is>
          <t>診療所</t>
        </is>
      </c>
      <c r="E208" s="5" t="n">
        <v>7161</v>
      </c>
      <c r="F208" s="5" t="n">
        <v>63019</v>
      </c>
    </row>
    <row r="209">
      <c r="A209" s="4" t="inlineStr">
        <is>
          <t>2025-11</t>
        </is>
      </c>
      <c r="B209" s="4" t="inlineStr">
        <is>
          <t>SKU0102</t>
        </is>
      </c>
      <c r="C209" s="4" t="inlineStr">
        <is>
          <t>メトグルコGE「サンド」</t>
        </is>
      </c>
      <c r="D209" s="4" t="inlineStr">
        <is>
          <t>調剤薬局</t>
        </is>
      </c>
      <c r="E209" s="4" t="n">
        <v>17641</v>
      </c>
      <c r="F209" s="4" t="n">
        <v>155240</v>
      </c>
    </row>
    <row r="210">
      <c r="A210" s="5" t="inlineStr">
        <is>
          <t>2025-11</t>
        </is>
      </c>
      <c r="B210" s="5" t="inlineStr">
        <is>
          <t>SKU0102</t>
        </is>
      </c>
      <c r="C210" s="5" t="inlineStr">
        <is>
          <t>メトグルコGE「サンド」</t>
        </is>
      </c>
      <c r="D210" s="5" t="inlineStr">
        <is>
          <t>病院</t>
        </is>
      </c>
      <c r="E210" s="5" t="n">
        <v>9268</v>
      </c>
      <c r="F210" s="5" t="n">
        <v>81559</v>
      </c>
    </row>
    <row r="211">
      <c r="A211" s="4" t="inlineStr">
        <is>
          <t>2025-11</t>
        </is>
      </c>
      <c r="B211" s="4" t="inlineStr">
        <is>
          <t>SKU0102</t>
        </is>
      </c>
      <c r="C211" s="4" t="inlineStr">
        <is>
          <t>メトグルコGE「サンド」</t>
        </is>
      </c>
      <c r="D211" s="4" t="inlineStr">
        <is>
          <t>診療所</t>
        </is>
      </c>
      <c r="E211" s="4" t="n">
        <v>4775</v>
      </c>
      <c r="F211" s="4" t="n">
        <v>42021</v>
      </c>
    </row>
    <row r="212">
      <c r="A212" s="5" t="inlineStr">
        <is>
          <t>2025-12</t>
        </is>
      </c>
      <c r="B212" s="5" t="inlineStr">
        <is>
          <t>SKU0101</t>
        </is>
      </c>
      <c r="C212" s="5" t="inlineStr">
        <is>
          <t>メトグルコGE「サンド」</t>
        </is>
      </c>
      <c r="D212" s="5" t="inlineStr">
        <is>
          <t>調剤薬局</t>
        </is>
      </c>
      <c r="E212" s="5" t="n">
        <v>29819</v>
      </c>
      <c r="F212" s="5" t="n">
        <v>262405</v>
      </c>
    </row>
    <row r="213">
      <c r="A213" s="4" t="inlineStr">
        <is>
          <t>2025-12</t>
        </is>
      </c>
      <c r="B213" s="4" t="inlineStr">
        <is>
          <t>SKU0101</t>
        </is>
      </c>
      <c r="C213" s="4" t="inlineStr">
        <is>
          <t>メトグルコGE「サンド」</t>
        </is>
      </c>
      <c r="D213" s="4" t="inlineStr">
        <is>
          <t>病院</t>
        </is>
      </c>
      <c r="E213" s="4" t="n">
        <v>16277</v>
      </c>
      <c r="F213" s="4" t="n">
        <v>143238</v>
      </c>
    </row>
    <row r="214">
      <c r="A214" s="5" t="inlineStr">
        <is>
          <t>2025-12</t>
        </is>
      </c>
      <c r="B214" s="5" t="inlineStr">
        <is>
          <t>SKU0101</t>
        </is>
      </c>
      <c r="C214" s="5" t="inlineStr">
        <is>
          <t>メトグルコGE「サンド」</t>
        </is>
      </c>
      <c r="D214" s="5" t="inlineStr">
        <is>
          <t>診療所</t>
        </is>
      </c>
      <c r="E214" s="5" t="n">
        <v>7403</v>
      </c>
      <c r="F214" s="5" t="n">
        <v>65149</v>
      </c>
    </row>
    <row r="215">
      <c r="A215" s="4" t="inlineStr">
        <is>
          <t>2025-12</t>
        </is>
      </c>
      <c r="B215" s="4" t="inlineStr">
        <is>
          <t>SKU0102</t>
        </is>
      </c>
      <c r="C215" s="4" t="inlineStr">
        <is>
          <t>メトグルコGE「サンド」</t>
        </is>
      </c>
      <c r="D215" s="4" t="inlineStr">
        <is>
          <t>調剤薬局</t>
        </is>
      </c>
      <c r="E215" s="4" t="n">
        <v>18363</v>
      </c>
      <c r="F215" s="4" t="n">
        <v>161588</v>
      </c>
    </row>
    <row r="216">
      <c r="A216" s="5" t="inlineStr">
        <is>
          <t>2025-12</t>
        </is>
      </c>
      <c r="B216" s="5" t="inlineStr">
        <is>
          <t>SKU0102</t>
        </is>
      </c>
      <c r="C216" s="5" t="inlineStr">
        <is>
          <t>メトグルコGE「サンド」</t>
        </is>
      </c>
      <c r="D216" s="5" t="inlineStr">
        <is>
          <t>病院</t>
        </is>
      </c>
      <c r="E216" s="5" t="n">
        <v>10761</v>
      </c>
      <c r="F216" s="5" t="n">
        <v>94697</v>
      </c>
    </row>
    <row r="217">
      <c r="A217" s="4" t="inlineStr">
        <is>
          <t>2025-12</t>
        </is>
      </c>
      <c r="B217" s="4" t="inlineStr">
        <is>
          <t>SKU0102</t>
        </is>
      </c>
      <c r="C217" s="4" t="inlineStr">
        <is>
          <t>メトグルコGE「サンド」</t>
        </is>
      </c>
      <c r="D217" s="4" t="inlineStr">
        <is>
          <t>診療所</t>
        </is>
      </c>
      <c r="E217" s="4" t="n">
        <v>4988</v>
      </c>
      <c r="F217" s="4" t="n">
        <v>43890</v>
      </c>
    </row>
    <row r="218">
      <c r="A218" s="5" t="inlineStr">
        <is>
          <t>2026-01</t>
        </is>
      </c>
      <c r="B218" s="5" t="inlineStr">
        <is>
          <t>SKU0101</t>
        </is>
      </c>
      <c r="C218" s="5" t="inlineStr">
        <is>
          <t>メトグルコGE「サンド」</t>
        </is>
      </c>
      <c r="D218" s="5" t="inlineStr">
        <is>
          <t>調剤薬局</t>
        </is>
      </c>
      <c r="E218" s="5" t="n">
        <v>27748</v>
      </c>
      <c r="F218" s="5" t="n">
        <v>244177</v>
      </c>
    </row>
    <row r="219">
      <c r="A219" s="4" t="inlineStr">
        <is>
          <t>2026-01</t>
        </is>
      </c>
      <c r="B219" s="4" t="inlineStr">
        <is>
          <t>SKU0101</t>
        </is>
      </c>
      <c r="C219" s="4" t="inlineStr">
        <is>
          <t>メトグルコGE「サンド」</t>
        </is>
      </c>
      <c r="D219" s="4" t="inlineStr">
        <is>
          <t>病院</t>
        </is>
      </c>
      <c r="E219" s="4" t="n">
        <v>15531</v>
      </c>
      <c r="F219" s="4" t="n">
        <v>136667</v>
      </c>
    </row>
    <row r="220">
      <c r="A220" s="5" t="inlineStr">
        <is>
          <t>2026-01</t>
        </is>
      </c>
      <c r="B220" s="5" t="inlineStr">
        <is>
          <t>SKU0101</t>
        </is>
      </c>
      <c r="C220" s="5" t="inlineStr">
        <is>
          <t>メトグルコGE「サンド」</t>
        </is>
      </c>
      <c r="D220" s="5" t="inlineStr">
        <is>
          <t>診療所</t>
        </is>
      </c>
      <c r="E220" s="5" t="n">
        <v>7980</v>
      </c>
      <c r="F220" s="5" t="n">
        <v>70219</v>
      </c>
    </row>
    <row r="221">
      <c r="A221" s="4" t="inlineStr">
        <is>
          <t>2026-01</t>
        </is>
      </c>
      <c r="B221" s="4" t="inlineStr">
        <is>
          <t>SKU0102</t>
        </is>
      </c>
      <c r="C221" s="4" t="inlineStr">
        <is>
          <t>メトグルコGE「サンド」</t>
        </is>
      </c>
      <c r="D221" s="4" t="inlineStr">
        <is>
          <t>調剤薬局</t>
        </is>
      </c>
      <c r="E221" s="4" t="n">
        <v>18965</v>
      </c>
      <c r="F221" s="4" t="n">
        <v>166888</v>
      </c>
    </row>
    <row r="222">
      <c r="A222" s="5" t="inlineStr">
        <is>
          <t>2026-01</t>
        </is>
      </c>
      <c r="B222" s="5" t="inlineStr">
        <is>
          <t>SKU0102</t>
        </is>
      </c>
      <c r="C222" s="5" t="inlineStr">
        <is>
          <t>メトグルコGE「サンド」</t>
        </is>
      </c>
      <c r="D222" s="5" t="inlineStr">
        <is>
          <t>病院</t>
        </is>
      </c>
      <c r="E222" s="5" t="n">
        <v>10174</v>
      </c>
      <c r="F222" s="5" t="n">
        <v>89528</v>
      </c>
    </row>
    <row r="223">
      <c r="A223" s="4" t="inlineStr">
        <is>
          <t>2026-01</t>
        </is>
      </c>
      <c r="B223" s="4" t="inlineStr">
        <is>
          <t>SKU0102</t>
        </is>
      </c>
      <c r="C223" s="4" t="inlineStr">
        <is>
          <t>メトグルコGE「サンド」</t>
        </is>
      </c>
      <c r="D223" s="4" t="inlineStr">
        <is>
          <t>診療所</t>
        </is>
      </c>
      <c r="E223" s="4" t="n">
        <v>5083</v>
      </c>
      <c r="F223" s="4" t="n">
        <v>44732</v>
      </c>
    </row>
    <row r="224">
      <c r="A224" s="5" t="inlineStr">
        <is>
          <t>2026-02</t>
        </is>
      </c>
      <c r="B224" s="5" t="inlineStr">
        <is>
          <t>SKU0101</t>
        </is>
      </c>
      <c r="C224" s="5" t="inlineStr">
        <is>
          <t>メトグルコGE「サンド」</t>
        </is>
      </c>
      <c r="D224" s="5" t="inlineStr">
        <is>
          <t>調剤薬局</t>
        </is>
      </c>
      <c r="E224" s="5" t="n">
        <v>28098</v>
      </c>
      <c r="F224" s="5" t="n">
        <v>247257</v>
      </c>
    </row>
    <row r="225">
      <c r="A225" s="4" t="inlineStr">
        <is>
          <t>2026-02</t>
        </is>
      </c>
      <c r="B225" s="4" t="inlineStr">
        <is>
          <t>SKU0101</t>
        </is>
      </c>
      <c r="C225" s="4" t="inlineStr">
        <is>
          <t>メトグルコGE「サンド」</t>
        </is>
      </c>
      <c r="D225" s="4" t="inlineStr">
        <is>
          <t>病院</t>
        </is>
      </c>
      <c r="E225" s="4" t="n">
        <v>15248</v>
      </c>
      <c r="F225" s="4" t="n">
        <v>134176</v>
      </c>
    </row>
    <row r="226">
      <c r="A226" s="5" t="inlineStr">
        <is>
          <t>2026-02</t>
        </is>
      </c>
      <c r="B226" s="5" t="inlineStr">
        <is>
          <t>SKU0101</t>
        </is>
      </c>
      <c r="C226" s="5" t="inlineStr">
        <is>
          <t>メトグルコGE「サンド」</t>
        </is>
      </c>
      <c r="D226" s="5" t="inlineStr">
        <is>
          <t>診療所</t>
        </is>
      </c>
      <c r="E226" s="5" t="n">
        <v>8366</v>
      </c>
      <c r="F226" s="5" t="n">
        <v>73623</v>
      </c>
    </row>
    <row r="227">
      <c r="A227" s="4" t="inlineStr">
        <is>
          <t>2026-02</t>
        </is>
      </c>
      <c r="B227" s="4" t="inlineStr">
        <is>
          <t>SKU0102</t>
        </is>
      </c>
      <c r="C227" s="4" t="inlineStr">
        <is>
          <t>メトグルコGE「サンド」</t>
        </is>
      </c>
      <c r="D227" s="4" t="inlineStr">
        <is>
          <t>調剤薬局</t>
        </is>
      </c>
      <c r="E227" s="4" t="n">
        <v>18735</v>
      </c>
      <c r="F227" s="4" t="n">
        <v>164868</v>
      </c>
    </row>
    <row r="228">
      <c r="A228" s="5" t="inlineStr">
        <is>
          <t>2026-02</t>
        </is>
      </c>
      <c r="B228" s="5" t="inlineStr">
        <is>
          <t>SKU0102</t>
        </is>
      </c>
      <c r="C228" s="5" t="inlineStr">
        <is>
          <t>メトグルコGE「サンド」</t>
        </is>
      </c>
      <c r="D228" s="5" t="inlineStr">
        <is>
          <t>病院</t>
        </is>
      </c>
      <c r="E228" s="5" t="n">
        <v>10398</v>
      </c>
      <c r="F228" s="5" t="n">
        <v>91504</v>
      </c>
    </row>
    <row r="229">
      <c r="A229" s="4" t="inlineStr">
        <is>
          <t>2026-02</t>
        </is>
      </c>
      <c r="B229" s="4" t="inlineStr">
        <is>
          <t>SKU0102</t>
        </is>
      </c>
      <c r="C229" s="4" t="inlineStr">
        <is>
          <t>メトグルコGE「サンド」</t>
        </is>
      </c>
      <c r="D229" s="4" t="inlineStr">
        <is>
          <t>診療所</t>
        </is>
      </c>
      <c r="E229" s="4" t="n">
        <v>4990</v>
      </c>
      <c r="F229" s="4" t="n">
        <v>43912</v>
      </c>
    </row>
    <row r="230">
      <c r="A230" s="5" t="inlineStr">
        <is>
          <t>2026-03</t>
        </is>
      </c>
      <c r="B230" s="5" t="inlineStr">
        <is>
          <t>SKU0101</t>
        </is>
      </c>
      <c r="C230" s="5" t="inlineStr">
        <is>
          <t>メトグルコGE「サンド」</t>
        </is>
      </c>
      <c r="D230" s="5" t="inlineStr">
        <is>
          <t>調剤薬局</t>
        </is>
      </c>
      <c r="E230" s="5" t="n">
        <v>27911</v>
      </c>
      <c r="F230" s="5" t="n">
        <v>245611</v>
      </c>
    </row>
    <row r="231">
      <c r="A231" s="4" t="inlineStr">
        <is>
          <t>2026-03</t>
        </is>
      </c>
      <c r="B231" s="4" t="inlineStr">
        <is>
          <t>SKU0101</t>
        </is>
      </c>
      <c r="C231" s="4" t="inlineStr">
        <is>
          <t>メトグルコGE「サンド」</t>
        </is>
      </c>
      <c r="D231" s="4" t="inlineStr">
        <is>
          <t>病院</t>
        </is>
      </c>
      <c r="E231" s="4" t="n">
        <v>14982</v>
      </c>
      <c r="F231" s="4" t="n">
        <v>131837</v>
      </c>
    </row>
    <row r="232">
      <c r="A232" s="5" t="inlineStr">
        <is>
          <t>2026-03</t>
        </is>
      </c>
      <c r="B232" s="5" t="inlineStr">
        <is>
          <t>SKU0101</t>
        </is>
      </c>
      <c r="C232" s="5" t="inlineStr">
        <is>
          <t>メトグルコGE「サンド」</t>
        </is>
      </c>
      <c r="D232" s="5" t="inlineStr">
        <is>
          <t>診療所</t>
        </is>
      </c>
      <c r="E232" s="5" t="n">
        <v>7046</v>
      </c>
      <c r="F232" s="5" t="n">
        <v>62002</v>
      </c>
    </row>
    <row r="233">
      <c r="A233" s="4" t="inlineStr">
        <is>
          <t>2026-03</t>
        </is>
      </c>
      <c r="B233" s="4" t="inlineStr">
        <is>
          <t>SKU0102</t>
        </is>
      </c>
      <c r="C233" s="4" t="inlineStr">
        <is>
          <t>メトグルコGE「サンド」</t>
        </is>
      </c>
      <c r="D233" s="4" t="inlineStr">
        <is>
          <t>調剤薬局</t>
        </is>
      </c>
      <c r="E233" s="4" t="n">
        <v>17095</v>
      </c>
      <c r="F233" s="4" t="n">
        <v>150430</v>
      </c>
    </row>
    <row r="234">
      <c r="A234" s="5" t="inlineStr">
        <is>
          <t>2026-03</t>
        </is>
      </c>
      <c r="B234" s="5" t="inlineStr">
        <is>
          <t>SKU0102</t>
        </is>
      </c>
      <c r="C234" s="5" t="inlineStr">
        <is>
          <t>メトグルコGE「サンド」</t>
        </is>
      </c>
      <c r="D234" s="5" t="inlineStr">
        <is>
          <t>病院</t>
        </is>
      </c>
      <c r="E234" s="5" t="n">
        <v>9198</v>
      </c>
      <c r="F234" s="5" t="n">
        <v>80942</v>
      </c>
    </row>
    <row r="235">
      <c r="A235" s="4" t="inlineStr">
        <is>
          <t>2026-03</t>
        </is>
      </c>
      <c r="B235" s="4" t="inlineStr">
        <is>
          <t>SKU0102</t>
        </is>
      </c>
      <c r="C235" s="4" t="inlineStr">
        <is>
          <t>メトグルコGE「サンド」</t>
        </is>
      </c>
      <c r="D235" s="4" t="inlineStr">
        <is>
          <t>診療所</t>
        </is>
      </c>
      <c r="E235" s="4" t="n">
        <v>4535</v>
      </c>
      <c r="F235" s="4" t="n">
        <v>39907</v>
      </c>
    </row>
    <row r="236">
      <c r="A236" s="5" t="inlineStr">
        <is>
          <t>2026-04</t>
        </is>
      </c>
      <c r="B236" s="5" t="inlineStr">
        <is>
          <t>SKU0101</t>
        </is>
      </c>
      <c r="C236" s="5" t="inlineStr">
        <is>
          <t>メトグルコGE「サンド」</t>
        </is>
      </c>
      <c r="D236" s="5" t="inlineStr">
        <is>
          <t>調剤薬局</t>
        </is>
      </c>
      <c r="E236" s="5" t="n">
        <v>22963</v>
      </c>
      <c r="F236" s="5" t="n">
        <v>189949</v>
      </c>
    </row>
    <row r="237">
      <c r="A237" s="4" t="inlineStr">
        <is>
          <t>2026-04</t>
        </is>
      </c>
      <c r="B237" s="4" t="inlineStr">
        <is>
          <t>SKU0101</t>
        </is>
      </c>
      <c r="C237" s="4" t="inlineStr">
        <is>
          <t>メトグルコGE「サンド」</t>
        </is>
      </c>
      <c r="D237" s="4" t="inlineStr">
        <is>
          <t>病院</t>
        </is>
      </c>
      <c r="E237" s="4" t="n">
        <v>13508</v>
      </c>
      <c r="F237" s="4" t="n">
        <v>111734</v>
      </c>
    </row>
    <row r="238">
      <c r="A238" s="5" t="inlineStr">
        <is>
          <t>2026-04</t>
        </is>
      </c>
      <c r="B238" s="5" t="inlineStr">
        <is>
          <t>SKU0101</t>
        </is>
      </c>
      <c r="C238" s="5" t="inlineStr">
        <is>
          <t>メトグルコGE「サンド」</t>
        </is>
      </c>
      <c r="D238" s="5" t="inlineStr">
        <is>
          <t>診療所</t>
        </is>
      </c>
      <c r="E238" s="5" t="n">
        <v>6487</v>
      </c>
      <c r="F238" s="5" t="n">
        <v>53660</v>
      </c>
    </row>
    <row r="239">
      <c r="A239" s="4" t="inlineStr">
        <is>
          <t>2026-04</t>
        </is>
      </c>
      <c r="B239" s="4" t="inlineStr">
        <is>
          <t>SKU0102</t>
        </is>
      </c>
      <c r="C239" s="4" t="inlineStr">
        <is>
          <t>メトグルコGE「サンド」</t>
        </is>
      </c>
      <c r="D239" s="4" t="inlineStr">
        <is>
          <t>調剤薬局</t>
        </is>
      </c>
      <c r="E239" s="4" t="n">
        <v>15438</v>
      </c>
      <c r="F239" s="4" t="n">
        <v>127704</v>
      </c>
    </row>
    <row r="240">
      <c r="A240" s="5" t="inlineStr">
        <is>
          <t>2026-04</t>
        </is>
      </c>
      <c r="B240" s="5" t="inlineStr">
        <is>
          <t>SKU0102</t>
        </is>
      </c>
      <c r="C240" s="5" t="inlineStr">
        <is>
          <t>メトグルコGE「サンド」</t>
        </is>
      </c>
      <c r="D240" s="5" t="inlineStr">
        <is>
          <t>病院</t>
        </is>
      </c>
      <c r="E240" s="5" t="n">
        <v>8207</v>
      </c>
      <c r="F240" s="5" t="n">
        <v>67887</v>
      </c>
    </row>
    <row r="241">
      <c r="A241" s="4" t="inlineStr">
        <is>
          <t>2026-04</t>
        </is>
      </c>
      <c r="B241" s="4" t="inlineStr">
        <is>
          <t>SKU0102</t>
        </is>
      </c>
      <c r="C241" s="4" t="inlineStr">
        <is>
          <t>メトグルコGE「サンド」</t>
        </is>
      </c>
      <c r="D241" s="4" t="inlineStr">
        <is>
          <t>診療所</t>
        </is>
      </c>
      <c r="E241" s="4" t="n">
        <v>4149</v>
      </c>
      <c r="F241" s="4" t="n">
        <v>34317</v>
      </c>
    </row>
    <row r="242">
      <c r="A242" s="5" t="inlineStr">
        <is>
          <t>2026-05</t>
        </is>
      </c>
      <c r="B242" s="5" t="inlineStr">
        <is>
          <t>SKU0101</t>
        </is>
      </c>
      <c r="C242" s="5" t="inlineStr">
        <is>
          <t>メトグルコGE「サンド」</t>
        </is>
      </c>
      <c r="D242" s="5" t="inlineStr">
        <is>
          <t>調剤薬局</t>
        </is>
      </c>
      <c r="E242" s="5" t="n">
        <v>25505</v>
      </c>
      <c r="F242" s="5" t="n">
        <v>210972</v>
      </c>
    </row>
    <row r="243">
      <c r="A243" s="4" t="inlineStr">
        <is>
          <t>2026-05</t>
        </is>
      </c>
      <c r="B243" s="4" t="inlineStr">
        <is>
          <t>SKU0101</t>
        </is>
      </c>
      <c r="C243" s="4" t="inlineStr">
        <is>
          <t>メトグルコGE「サンド」</t>
        </is>
      </c>
      <c r="D243" s="4" t="inlineStr">
        <is>
          <t>病院</t>
        </is>
      </c>
      <c r="E243" s="4" t="n">
        <v>14523</v>
      </c>
      <c r="F243" s="4" t="n">
        <v>120131</v>
      </c>
    </row>
    <row r="244">
      <c r="A244" s="5" t="inlineStr">
        <is>
          <t>2026-05</t>
        </is>
      </c>
      <c r="B244" s="5" t="inlineStr">
        <is>
          <t>SKU0101</t>
        </is>
      </c>
      <c r="C244" s="5" t="inlineStr">
        <is>
          <t>メトグルコGE「サンド」</t>
        </is>
      </c>
      <c r="D244" s="5" t="inlineStr">
        <is>
          <t>診療所</t>
        </is>
      </c>
      <c r="E244" s="5" t="n">
        <v>7305</v>
      </c>
      <c r="F244" s="5" t="n">
        <v>60429</v>
      </c>
    </row>
    <row r="245">
      <c r="A245" s="4" t="inlineStr">
        <is>
          <t>2026-05</t>
        </is>
      </c>
      <c r="B245" s="4" t="inlineStr">
        <is>
          <t>SKU0102</t>
        </is>
      </c>
      <c r="C245" s="4" t="inlineStr">
        <is>
          <t>メトグルコGE「サンド」</t>
        </is>
      </c>
      <c r="D245" s="4" t="inlineStr">
        <is>
          <t>調剤薬局</t>
        </is>
      </c>
      <c r="E245" s="4" t="n">
        <v>15788</v>
      </c>
      <c r="F245" s="4" t="n">
        <v>130598</v>
      </c>
    </row>
    <row r="246">
      <c r="A246" s="5" t="inlineStr">
        <is>
          <t>2026-05</t>
        </is>
      </c>
      <c r="B246" s="5" t="inlineStr">
        <is>
          <t>SKU0102</t>
        </is>
      </c>
      <c r="C246" s="5" t="inlineStr">
        <is>
          <t>メトグルコGE「サンド」</t>
        </is>
      </c>
      <c r="D246" s="5" t="inlineStr">
        <is>
          <t>病院</t>
        </is>
      </c>
      <c r="E246" s="5" t="n">
        <v>8910</v>
      </c>
      <c r="F246" s="5" t="n">
        <v>73706</v>
      </c>
    </row>
    <row r="247">
      <c r="A247" s="4" t="inlineStr">
        <is>
          <t>2026-05</t>
        </is>
      </c>
      <c r="B247" s="4" t="inlineStr">
        <is>
          <t>SKU0102</t>
        </is>
      </c>
      <c r="C247" s="4" t="inlineStr">
        <is>
          <t>メトグルコGE「サンド」</t>
        </is>
      </c>
      <c r="D247" s="4" t="inlineStr">
        <is>
          <t>診療所</t>
        </is>
      </c>
      <c r="E247" s="4" t="n">
        <v>4456</v>
      </c>
      <c r="F247" s="4" t="n">
        <v>36860</v>
      </c>
    </row>
    <row r="248">
      <c r="A248" s="5" t="inlineStr">
        <is>
          <t>2023-01</t>
        </is>
      </c>
      <c r="B248" s="5" t="inlineStr">
        <is>
          <t>SKU0201</t>
        </is>
      </c>
      <c r="C248" s="5" t="inlineStr">
        <is>
          <t>アトルバスタチンOD錠「サンド」</t>
        </is>
      </c>
      <c r="D248" s="5" t="inlineStr">
        <is>
          <t>調剤薬局</t>
        </is>
      </c>
      <c r="E248" s="5" t="n">
        <v>14909</v>
      </c>
      <c r="F248" s="5" t="n">
        <v>211702</v>
      </c>
    </row>
    <row r="249">
      <c r="A249" s="4" t="inlineStr">
        <is>
          <t>2023-01</t>
        </is>
      </c>
      <c r="B249" s="4" t="inlineStr">
        <is>
          <t>SKU0201</t>
        </is>
      </c>
      <c r="C249" s="4" t="inlineStr">
        <is>
          <t>アトルバスタチンOD錠「サンド」</t>
        </is>
      </c>
      <c r="D249" s="4" t="inlineStr">
        <is>
          <t>病院</t>
        </is>
      </c>
      <c r="E249" s="4" t="n">
        <v>7990</v>
      </c>
      <c r="F249" s="4" t="n">
        <v>113455</v>
      </c>
    </row>
    <row r="250">
      <c r="A250" s="5" t="inlineStr">
        <is>
          <t>2023-01</t>
        </is>
      </c>
      <c r="B250" s="5" t="inlineStr">
        <is>
          <t>SKU0201</t>
        </is>
      </c>
      <c r="C250" s="5" t="inlineStr">
        <is>
          <t>アトルバスタチンOD錠「サンド」</t>
        </is>
      </c>
      <c r="D250" s="5" t="inlineStr">
        <is>
          <t>診療所</t>
        </is>
      </c>
      <c r="E250" s="5" t="n">
        <v>3987</v>
      </c>
      <c r="F250" s="5" t="n">
        <v>56619</v>
      </c>
    </row>
    <row r="251">
      <c r="A251" s="4" t="inlineStr">
        <is>
          <t>2023-01</t>
        </is>
      </c>
      <c r="B251" s="4" t="inlineStr">
        <is>
          <t>SKU0202</t>
        </is>
      </c>
      <c r="C251" s="4" t="inlineStr">
        <is>
          <t>アトルバスタチンOD錠「サンド」</t>
        </is>
      </c>
      <c r="D251" s="4" t="inlineStr">
        <is>
          <t>調剤薬局</t>
        </is>
      </c>
      <c r="E251" s="4" t="n">
        <v>10132</v>
      </c>
      <c r="F251" s="4" t="n">
        <v>248232</v>
      </c>
    </row>
    <row r="252">
      <c r="A252" s="5" t="inlineStr">
        <is>
          <t>2023-01</t>
        </is>
      </c>
      <c r="B252" s="5" t="inlineStr">
        <is>
          <t>SKU0202</t>
        </is>
      </c>
      <c r="C252" s="5" t="inlineStr">
        <is>
          <t>アトルバスタチンOD錠「サンド」</t>
        </is>
      </c>
      <c r="D252" s="5" t="inlineStr">
        <is>
          <t>病院</t>
        </is>
      </c>
      <c r="E252" s="5" t="n">
        <v>5566</v>
      </c>
      <c r="F252" s="5" t="n">
        <v>136374</v>
      </c>
    </row>
    <row r="253">
      <c r="A253" s="4" t="inlineStr">
        <is>
          <t>2023-01</t>
        </is>
      </c>
      <c r="B253" s="4" t="inlineStr">
        <is>
          <t>SKU0202</t>
        </is>
      </c>
      <c r="C253" s="4" t="inlineStr">
        <is>
          <t>アトルバスタチンOD錠「サンド」</t>
        </is>
      </c>
      <c r="D253" s="4" t="inlineStr">
        <is>
          <t>診療所</t>
        </is>
      </c>
      <c r="E253" s="4" t="n">
        <v>2691</v>
      </c>
      <c r="F253" s="4" t="n">
        <v>65919</v>
      </c>
    </row>
    <row r="254">
      <c r="A254" s="5" t="inlineStr">
        <is>
          <t>2023-02</t>
        </is>
      </c>
      <c r="B254" s="5" t="inlineStr">
        <is>
          <t>SKU0201</t>
        </is>
      </c>
      <c r="C254" s="5" t="inlineStr">
        <is>
          <t>アトルバスタチンOD錠「サンド」</t>
        </is>
      </c>
      <c r="D254" s="5" t="inlineStr">
        <is>
          <t>調剤薬局</t>
        </is>
      </c>
      <c r="E254" s="5" t="n">
        <v>12847</v>
      </c>
      <c r="F254" s="5" t="n">
        <v>182427</v>
      </c>
    </row>
    <row r="255">
      <c r="A255" s="4" t="inlineStr">
        <is>
          <t>2023-02</t>
        </is>
      </c>
      <c r="B255" s="4" t="inlineStr">
        <is>
          <t>SKU0201</t>
        </is>
      </c>
      <c r="C255" s="4" t="inlineStr">
        <is>
          <t>アトルバスタチンOD錠「サンド」</t>
        </is>
      </c>
      <c r="D255" s="4" t="inlineStr">
        <is>
          <t>病院</t>
        </is>
      </c>
      <c r="E255" s="4" t="n">
        <v>7122</v>
      </c>
      <c r="F255" s="4" t="n">
        <v>101128</v>
      </c>
    </row>
    <row r="256">
      <c r="A256" s="5" t="inlineStr">
        <is>
          <t>2023-02</t>
        </is>
      </c>
      <c r="B256" s="5" t="inlineStr">
        <is>
          <t>SKU0201</t>
        </is>
      </c>
      <c r="C256" s="5" t="inlineStr">
        <is>
          <t>アトルバスタチンOD錠「サンド」</t>
        </is>
      </c>
      <c r="D256" s="5" t="inlineStr">
        <is>
          <t>診療所</t>
        </is>
      </c>
      <c r="E256" s="5" t="n">
        <v>3566</v>
      </c>
      <c r="F256" s="5" t="n">
        <v>50635</v>
      </c>
    </row>
    <row r="257">
      <c r="A257" s="4" t="inlineStr">
        <is>
          <t>2023-02</t>
        </is>
      </c>
      <c r="B257" s="4" t="inlineStr">
        <is>
          <t>SKU0202</t>
        </is>
      </c>
      <c r="C257" s="4" t="inlineStr">
        <is>
          <t>アトルバスタチンOD錠「サンド」</t>
        </is>
      </c>
      <c r="D257" s="4" t="inlineStr">
        <is>
          <t>調剤薬局</t>
        </is>
      </c>
      <c r="E257" s="4" t="n">
        <v>9097</v>
      </c>
      <c r="F257" s="4" t="n">
        <v>222878</v>
      </c>
    </row>
    <row r="258">
      <c r="A258" s="5" t="inlineStr">
        <is>
          <t>2023-02</t>
        </is>
      </c>
      <c r="B258" s="5" t="inlineStr">
        <is>
          <t>SKU0202</t>
        </is>
      </c>
      <c r="C258" s="5" t="inlineStr">
        <is>
          <t>アトルバスタチンOD錠「サンド」</t>
        </is>
      </c>
      <c r="D258" s="5" t="inlineStr">
        <is>
          <t>病院</t>
        </is>
      </c>
      <c r="E258" s="5" t="n">
        <v>4923</v>
      </c>
      <c r="F258" s="5" t="n">
        <v>120612</v>
      </c>
    </row>
    <row r="259">
      <c r="A259" s="4" t="inlineStr">
        <is>
          <t>2023-02</t>
        </is>
      </c>
      <c r="B259" s="4" t="inlineStr">
        <is>
          <t>SKU0202</t>
        </is>
      </c>
      <c r="C259" s="4" t="inlineStr">
        <is>
          <t>アトルバスタチンOD錠「サンド」</t>
        </is>
      </c>
      <c r="D259" s="4" t="inlineStr">
        <is>
          <t>診療所</t>
        </is>
      </c>
      <c r="E259" s="4" t="n">
        <v>2299</v>
      </c>
      <c r="F259" s="4" t="n">
        <v>56336</v>
      </c>
    </row>
    <row r="260">
      <c r="A260" s="5" t="inlineStr">
        <is>
          <t>2023-03</t>
        </is>
      </c>
      <c r="B260" s="5" t="inlineStr">
        <is>
          <t>SKU0201</t>
        </is>
      </c>
      <c r="C260" s="5" t="inlineStr">
        <is>
          <t>アトルバスタチンOD錠「サンド」</t>
        </is>
      </c>
      <c r="D260" s="5" t="inlineStr">
        <is>
          <t>調剤薬局</t>
        </is>
      </c>
      <c r="E260" s="5" t="n">
        <v>14091</v>
      </c>
      <c r="F260" s="5" t="n">
        <v>200094</v>
      </c>
    </row>
    <row r="261">
      <c r="A261" s="4" t="inlineStr">
        <is>
          <t>2023-03</t>
        </is>
      </c>
      <c r="B261" s="4" t="inlineStr">
        <is>
          <t>SKU0201</t>
        </is>
      </c>
      <c r="C261" s="4" t="inlineStr">
        <is>
          <t>アトルバスタチンOD錠「サンド」</t>
        </is>
      </c>
      <c r="D261" s="4" t="inlineStr">
        <is>
          <t>病院</t>
        </is>
      </c>
      <c r="E261" s="4" t="n">
        <v>7200</v>
      </c>
      <c r="F261" s="4" t="n">
        <v>102240</v>
      </c>
    </row>
    <row r="262">
      <c r="A262" s="5" t="inlineStr">
        <is>
          <t>2023-03</t>
        </is>
      </c>
      <c r="B262" s="5" t="inlineStr">
        <is>
          <t>SKU0201</t>
        </is>
      </c>
      <c r="C262" s="5" t="inlineStr">
        <is>
          <t>アトルバスタチンOD錠「サンド」</t>
        </is>
      </c>
      <c r="D262" s="5" t="inlineStr">
        <is>
          <t>診療所</t>
        </is>
      </c>
      <c r="E262" s="5" t="n">
        <v>3773</v>
      </c>
      <c r="F262" s="5" t="n">
        <v>53576</v>
      </c>
    </row>
    <row r="263">
      <c r="A263" s="4" t="inlineStr">
        <is>
          <t>2023-03</t>
        </is>
      </c>
      <c r="B263" s="4" t="inlineStr">
        <is>
          <t>SKU0202</t>
        </is>
      </c>
      <c r="C263" s="4" t="inlineStr">
        <is>
          <t>アトルバスタチンOD錠「サンド」</t>
        </is>
      </c>
      <c r="D263" s="4" t="inlineStr">
        <is>
          <t>調剤薬局</t>
        </is>
      </c>
      <c r="E263" s="4" t="n">
        <v>9244</v>
      </c>
      <c r="F263" s="4" t="n">
        <v>226484</v>
      </c>
    </row>
    <row r="264">
      <c r="A264" s="5" t="inlineStr">
        <is>
          <t>2023-03</t>
        </is>
      </c>
      <c r="B264" s="5" t="inlineStr">
        <is>
          <t>SKU0202</t>
        </is>
      </c>
      <c r="C264" s="5" t="inlineStr">
        <is>
          <t>アトルバスタチンOD錠「サンド」</t>
        </is>
      </c>
      <c r="D264" s="5" t="inlineStr">
        <is>
          <t>病院</t>
        </is>
      </c>
      <c r="E264" s="5" t="n">
        <v>4970</v>
      </c>
      <c r="F264" s="5" t="n">
        <v>121761</v>
      </c>
    </row>
    <row r="265">
      <c r="A265" s="4" t="inlineStr">
        <is>
          <t>2023-03</t>
        </is>
      </c>
      <c r="B265" s="4" t="inlineStr">
        <is>
          <t>SKU0202</t>
        </is>
      </c>
      <c r="C265" s="4" t="inlineStr">
        <is>
          <t>アトルバスタチンOD錠「サンド」</t>
        </is>
      </c>
      <c r="D265" s="4" t="inlineStr">
        <is>
          <t>診療所</t>
        </is>
      </c>
      <c r="E265" s="4" t="n">
        <v>2380</v>
      </c>
      <c r="F265" s="4" t="n">
        <v>58300</v>
      </c>
    </row>
    <row r="266">
      <c r="A266" s="5" t="inlineStr">
        <is>
          <t>2023-04</t>
        </is>
      </c>
      <c r="B266" s="5" t="inlineStr">
        <is>
          <t>SKU0201</t>
        </is>
      </c>
      <c r="C266" s="5" t="inlineStr">
        <is>
          <t>アトルバスタチンOD錠「サンド」</t>
        </is>
      </c>
      <c r="D266" s="5" t="inlineStr">
        <is>
          <t>調剤薬局</t>
        </is>
      </c>
      <c r="E266" s="5" t="n">
        <v>12683</v>
      </c>
      <c r="F266" s="5" t="n">
        <v>180098</v>
      </c>
    </row>
    <row r="267">
      <c r="A267" s="4" t="inlineStr">
        <is>
          <t>2023-04</t>
        </is>
      </c>
      <c r="B267" s="4" t="inlineStr">
        <is>
          <t>SKU0201</t>
        </is>
      </c>
      <c r="C267" s="4" t="inlineStr">
        <is>
          <t>アトルバスタチンOD錠「サンド」</t>
        </is>
      </c>
      <c r="D267" s="4" t="inlineStr">
        <is>
          <t>病院</t>
        </is>
      </c>
      <c r="E267" s="4" t="n">
        <v>6628</v>
      </c>
      <c r="F267" s="4" t="n">
        <v>94124</v>
      </c>
    </row>
    <row r="268">
      <c r="A268" s="5" t="inlineStr">
        <is>
          <t>2023-04</t>
        </is>
      </c>
      <c r="B268" s="5" t="inlineStr">
        <is>
          <t>SKU0201</t>
        </is>
      </c>
      <c r="C268" s="5" t="inlineStr">
        <is>
          <t>アトルバスタチンOD錠「サンド」</t>
        </is>
      </c>
      <c r="D268" s="5" t="inlineStr">
        <is>
          <t>診療所</t>
        </is>
      </c>
      <c r="E268" s="5" t="n">
        <v>3578</v>
      </c>
      <c r="F268" s="5" t="n">
        <v>50805</v>
      </c>
    </row>
    <row r="269">
      <c r="A269" s="4" t="inlineStr">
        <is>
          <t>2023-04</t>
        </is>
      </c>
      <c r="B269" s="4" t="inlineStr">
        <is>
          <t>SKU0202</t>
        </is>
      </c>
      <c r="C269" s="4" t="inlineStr">
        <is>
          <t>アトルバスタチンOD錠「サンド」</t>
        </is>
      </c>
      <c r="D269" s="4" t="inlineStr">
        <is>
          <t>調剤薬局</t>
        </is>
      </c>
      <c r="E269" s="4" t="n">
        <v>9310</v>
      </c>
      <c r="F269" s="4" t="n">
        <v>228102</v>
      </c>
    </row>
    <row r="270">
      <c r="A270" s="5" t="inlineStr">
        <is>
          <t>2023-04</t>
        </is>
      </c>
      <c r="B270" s="5" t="inlineStr">
        <is>
          <t>SKU0202</t>
        </is>
      </c>
      <c r="C270" s="5" t="inlineStr">
        <is>
          <t>アトルバスタチンOD錠「サンド」</t>
        </is>
      </c>
      <c r="D270" s="5" t="inlineStr">
        <is>
          <t>病院</t>
        </is>
      </c>
      <c r="E270" s="5" t="n">
        <v>4741</v>
      </c>
      <c r="F270" s="5" t="n">
        <v>116159</v>
      </c>
    </row>
    <row r="271">
      <c r="A271" s="4" t="inlineStr">
        <is>
          <t>2023-04</t>
        </is>
      </c>
      <c r="B271" s="4" t="inlineStr">
        <is>
          <t>SKU0202</t>
        </is>
      </c>
      <c r="C271" s="4" t="inlineStr">
        <is>
          <t>アトルバスタチンOD錠「サンド」</t>
        </is>
      </c>
      <c r="D271" s="4" t="inlineStr">
        <is>
          <t>診療所</t>
        </is>
      </c>
      <c r="E271" s="4" t="n">
        <v>2451</v>
      </c>
      <c r="F271" s="4" t="n">
        <v>60041</v>
      </c>
    </row>
    <row r="272">
      <c r="A272" s="5" t="inlineStr">
        <is>
          <t>2023-05</t>
        </is>
      </c>
      <c r="B272" s="5" t="inlineStr">
        <is>
          <t>SKU0201</t>
        </is>
      </c>
      <c r="C272" s="5" t="inlineStr">
        <is>
          <t>アトルバスタチンOD錠「サンド」</t>
        </is>
      </c>
      <c r="D272" s="5" t="inlineStr">
        <is>
          <t>調剤薬局</t>
        </is>
      </c>
      <c r="E272" s="5" t="n">
        <v>12571</v>
      </c>
      <c r="F272" s="5" t="n">
        <v>178513</v>
      </c>
    </row>
    <row r="273">
      <c r="A273" s="4" t="inlineStr">
        <is>
          <t>2023-05</t>
        </is>
      </c>
      <c r="B273" s="4" t="inlineStr">
        <is>
          <t>SKU0201</t>
        </is>
      </c>
      <c r="C273" s="4" t="inlineStr">
        <is>
          <t>アトルバスタチンOD錠「サンド」</t>
        </is>
      </c>
      <c r="D273" s="4" t="inlineStr">
        <is>
          <t>病院</t>
        </is>
      </c>
      <c r="E273" s="4" t="n">
        <v>6877</v>
      </c>
      <c r="F273" s="4" t="n">
        <v>97660</v>
      </c>
    </row>
    <row r="274">
      <c r="A274" s="5" t="inlineStr">
        <is>
          <t>2023-05</t>
        </is>
      </c>
      <c r="B274" s="5" t="inlineStr">
        <is>
          <t>SKU0201</t>
        </is>
      </c>
      <c r="C274" s="5" t="inlineStr">
        <is>
          <t>アトルバスタチンOD錠「サンド」</t>
        </is>
      </c>
      <c r="D274" s="5" t="inlineStr">
        <is>
          <t>診療所</t>
        </is>
      </c>
      <c r="E274" s="5" t="n">
        <v>3586</v>
      </c>
      <c r="F274" s="5" t="n">
        <v>50925</v>
      </c>
    </row>
    <row r="275">
      <c r="A275" s="4" t="inlineStr">
        <is>
          <t>2023-05</t>
        </is>
      </c>
      <c r="B275" s="4" t="inlineStr">
        <is>
          <t>SKU0202</t>
        </is>
      </c>
      <c r="C275" s="4" t="inlineStr">
        <is>
          <t>アトルバスタチンOD錠「サンド」</t>
        </is>
      </c>
      <c r="D275" s="4" t="inlineStr">
        <is>
          <t>調剤薬局</t>
        </is>
      </c>
      <c r="E275" s="4" t="n">
        <v>9106</v>
      </c>
      <c r="F275" s="4" t="n">
        <v>223097</v>
      </c>
    </row>
    <row r="276">
      <c r="A276" s="5" t="inlineStr">
        <is>
          <t>2023-05</t>
        </is>
      </c>
      <c r="B276" s="5" t="inlineStr">
        <is>
          <t>SKU0202</t>
        </is>
      </c>
      <c r="C276" s="5" t="inlineStr">
        <is>
          <t>アトルバスタチンOD錠「サンド」</t>
        </is>
      </c>
      <c r="D276" s="5" t="inlineStr">
        <is>
          <t>病院</t>
        </is>
      </c>
      <c r="E276" s="5" t="n">
        <v>5232</v>
      </c>
      <c r="F276" s="5" t="n">
        <v>128188</v>
      </c>
    </row>
    <row r="277">
      <c r="A277" s="4" t="inlineStr">
        <is>
          <t>2023-05</t>
        </is>
      </c>
      <c r="B277" s="4" t="inlineStr">
        <is>
          <t>SKU0202</t>
        </is>
      </c>
      <c r="C277" s="4" t="inlineStr">
        <is>
          <t>アトルバスタチンOD錠「サンド」</t>
        </is>
      </c>
      <c r="D277" s="4" t="inlineStr">
        <is>
          <t>診療所</t>
        </is>
      </c>
      <c r="E277" s="4" t="n">
        <v>2450</v>
      </c>
      <c r="F277" s="4" t="n">
        <v>60034</v>
      </c>
    </row>
    <row r="278">
      <c r="A278" s="5" t="inlineStr">
        <is>
          <t>2023-06</t>
        </is>
      </c>
      <c r="B278" s="5" t="inlineStr">
        <is>
          <t>SKU0201</t>
        </is>
      </c>
      <c r="C278" s="5" t="inlineStr">
        <is>
          <t>アトルバスタチンOD錠「サンド」</t>
        </is>
      </c>
      <c r="D278" s="5" t="inlineStr">
        <is>
          <t>調剤薬局</t>
        </is>
      </c>
      <c r="E278" s="5" t="n">
        <v>14163</v>
      </c>
      <c r="F278" s="5" t="n">
        <v>201111</v>
      </c>
    </row>
    <row r="279">
      <c r="A279" s="4" t="inlineStr">
        <is>
          <t>2023-06</t>
        </is>
      </c>
      <c r="B279" s="4" t="inlineStr">
        <is>
          <t>SKU0201</t>
        </is>
      </c>
      <c r="C279" s="4" t="inlineStr">
        <is>
          <t>アトルバスタチンOD錠「サンド」</t>
        </is>
      </c>
      <c r="D279" s="4" t="inlineStr">
        <is>
          <t>病院</t>
        </is>
      </c>
      <c r="E279" s="4" t="n">
        <v>7522</v>
      </c>
      <c r="F279" s="4" t="n">
        <v>106815</v>
      </c>
    </row>
    <row r="280">
      <c r="A280" s="5" t="inlineStr">
        <is>
          <t>2023-06</t>
        </is>
      </c>
      <c r="B280" s="5" t="inlineStr">
        <is>
          <t>SKU0201</t>
        </is>
      </c>
      <c r="C280" s="5" t="inlineStr">
        <is>
          <t>アトルバスタチンOD錠「サンド」</t>
        </is>
      </c>
      <c r="D280" s="5" t="inlineStr">
        <is>
          <t>診療所</t>
        </is>
      </c>
      <c r="E280" s="5" t="n">
        <v>3840</v>
      </c>
      <c r="F280" s="5" t="n">
        <v>54523</v>
      </c>
    </row>
    <row r="281">
      <c r="A281" s="4" t="inlineStr">
        <is>
          <t>2023-06</t>
        </is>
      </c>
      <c r="B281" s="4" t="inlineStr">
        <is>
          <t>SKU0202</t>
        </is>
      </c>
      <c r="C281" s="4" t="inlineStr">
        <is>
          <t>アトルバスタチンOD錠「サンド」</t>
        </is>
      </c>
      <c r="D281" s="4" t="inlineStr">
        <is>
          <t>調剤薬局</t>
        </is>
      </c>
      <c r="E281" s="4" t="n">
        <v>9773</v>
      </c>
      <c r="F281" s="4" t="n">
        <v>239448</v>
      </c>
    </row>
    <row r="282">
      <c r="A282" s="5" t="inlineStr">
        <is>
          <t>2023-06</t>
        </is>
      </c>
      <c r="B282" s="5" t="inlineStr">
        <is>
          <t>SKU0202</t>
        </is>
      </c>
      <c r="C282" s="5" t="inlineStr">
        <is>
          <t>アトルバスタチンOD錠「サンド」</t>
        </is>
      </c>
      <c r="D282" s="5" t="inlineStr">
        <is>
          <t>病院</t>
        </is>
      </c>
      <c r="E282" s="5" t="n">
        <v>5395</v>
      </c>
      <c r="F282" s="5" t="n">
        <v>132187</v>
      </c>
    </row>
    <row r="283">
      <c r="A283" s="4" t="inlineStr">
        <is>
          <t>2023-06</t>
        </is>
      </c>
      <c r="B283" s="4" t="inlineStr">
        <is>
          <t>SKU0202</t>
        </is>
      </c>
      <c r="C283" s="4" t="inlineStr">
        <is>
          <t>アトルバスタチンOD錠「サンド」</t>
        </is>
      </c>
      <c r="D283" s="4" t="inlineStr">
        <is>
          <t>診療所</t>
        </is>
      </c>
      <c r="E283" s="4" t="n">
        <v>2692</v>
      </c>
      <c r="F283" s="4" t="n">
        <v>65963</v>
      </c>
    </row>
    <row r="284">
      <c r="A284" s="5" t="inlineStr">
        <is>
          <t>2023-07</t>
        </is>
      </c>
      <c r="B284" s="5" t="inlineStr">
        <is>
          <t>SKU0201</t>
        </is>
      </c>
      <c r="C284" s="5" t="inlineStr">
        <is>
          <t>アトルバスタチンOD錠「サンド」</t>
        </is>
      </c>
      <c r="D284" s="5" t="inlineStr">
        <is>
          <t>調剤薬局</t>
        </is>
      </c>
      <c r="E284" s="5" t="n">
        <v>12234</v>
      </c>
      <c r="F284" s="5" t="n">
        <v>173724</v>
      </c>
    </row>
    <row r="285">
      <c r="A285" s="4" t="inlineStr">
        <is>
          <t>2023-07</t>
        </is>
      </c>
      <c r="B285" s="4" t="inlineStr">
        <is>
          <t>SKU0201</t>
        </is>
      </c>
      <c r="C285" s="4" t="inlineStr">
        <is>
          <t>アトルバスタチンOD錠「サンド」</t>
        </is>
      </c>
      <c r="D285" s="4" t="inlineStr">
        <is>
          <t>病院</t>
        </is>
      </c>
      <c r="E285" s="4" t="n">
        <v>6981</v>
      </c>
      <c r="F285" s="4" t="n">
        <v>99127</v>
      </c>
    </row>
    <row r="286">
      <c r="A286" s="5" t="inlineStr">
        <is>
          <t>2023-07</t>
        </is>
      </c>
      <c r="B286" s="5" t="inlineStr">
        <is>
          <t>SKU0201</t>
        </is>
      </c>
      <c r="C286" s="5" t="inlineStr">
        <is>
          <t>アトルバスタチンOD錠「サンド」</t>
        </is>
      </c>
      <c r="D286" s="5" t="inlineStr">
        <is>
          <t>診療所</t>
        </is>
      </c>
      <c r="E286" s="5" t="n">
        <v>3489</v>
      </c>
      <c r="F286" s="5" t="n">
        <v>49546</v>
      </c>
    </row>
    <row r="287">
      <c r="A287" s="4" t="inlineStr">
        <is>
          <t>2023-07</t>
        </is>
      </c>
      <c r="B287" s="4" t="inlineStr">
        <is>
          <t>SKU0202</t>
        </is>
      </c>
      <c r="C287" s="4" t="inlineStr">
        <is>
          <t>アトルバスタチンOD錠「サンド」</t>
        </is>
      </c>
      <c r="D287" s="4" t="inlineStr">
        <is>
          <t>調剤薬局</t>
        </is>
      </c>
      <c r="E287" s="4" t="n">
        <v>9344</v>
      </c>
      <c r="F287" s="4" t="n">
        <v>228934</v>
      </c>
    </row>
    <row r="288">
      <c r="A288" s="5" t="inlineStr">
        <is>
          <t>2023-07</t>
        </is>
      </c>
      <c r="B288" s="5" t="inlineStr">
        <is>
          <t>SKU0202</t>
        </is>
      </c>
      <c r="C288" s="5" t="inlineStr">
        <is>
          <t>アトルバスタチンOD錠「サンド」</t>
        </is>
      </c>
      <c r="D288" s="5" t="inlineStr">
        <is>
          <t>病院</t>
        </is>
      </c>
      <c r="E288" s="5" t="n">
        <v>5239</v>
      </c>
      <c r="F288" s="5" t="n">
        <v>128346</v>
      </c>
    </row>
    <row r="289">
      <c r="A289" s="4" t="inlineStr">
        <is>
          <t>2023-07</t>
        </is>
      </c>
      <c r="B289" s="4" t="inlineStr">
        <is>
          <t>SKU0202</t>
        </is>
      </c>
      <c r="C289" s="4" t="inlineStr">
        <is>
          <t>アトルバスタチンOD錠「サンド」</t>
        </is>
      </c>
      <c r="D289" s="4" t="inlineStr">
        <is>
          <t>診療所</t>
        </is>
      </c>
      <c r="E289" s="4" t="n">
        <v>2613</v>
      </c>
      <c r="F289" s="4" t="n">
        <v>64012</v>
      </c>
    </row>
    <row r="290">
      <c r="A290" s="5" t="inlineStr">
        <is>
          <t>2023-08</t>
        </is>
      </c>
      <c r="B290" s="5" t="inlineStr">
        <is>
          <t>SKU0201</t>
        </is>
      </c>
      <c r="C290" s="5" t="inlineStr">
        <is>
          <t>アトルバスタチンOD錠「サンド」</t>
        </is>
      </c>
      <c r="D290" s="5" t="inlineStr">
        <is>
          <t>調剤薬局</t>
        </is>
      </c>
      <c r="E290" s="5" t="n">
        <v>12805</v>
      </c>
      <c r="F290" s="5" t="n">
        <v>181835</v>
      </c>
    </row>
    <row r="291">
      <c r="A291" s="4" t="inlineStr">
        <is>
          <t>2023-08</t>
        </is>
      </c>
      <c r="B291" s="4" t="inlineStr">
        <is>
          <t>SKU0201</t>
        </is>
      </c>
      <c r="C291" s="4" t="inlineStr">
        <is>
          <t>アトルバスタチンOD錠「サンド」</t>
        </is>
      </c>
      <c r="D291" s="4" t="inlineStr">
        <is>
          <t>病院</t>
        </is>
      </c>
      <c r="E291" s="4" t="n">
        <v>7143</v>
      </c>
      <c r="F291" s="4" t="n">
        <v>101433</v>
      </c>
    </row>
    <row r="292">
      <c r="A292" s="5" t="inlineStr">
        <is>
          <t>2023-08</t>
        </is>
      </c>
      <c r="B292" s="5" t="inlineStr">
        <is>
          <t>SKU0201</t>
        </is>
      </c>
      <c r="C292" s="5" t="inlineStr">
        <is>
          <t>アトルバスタチンOD錠「サンド」</t>
        </is>
      </c>
      <c r="D292" s="5" t="inlineStr">
        <is>
          <t>診療所</t>
        </is>
      </c>
      <c r="E292" s="5" t="n">
        <v>3466</v>
      </c>
      <c r="F292" s="5" t="n">
        <v>49217</v>
      </c>
    </row>
    <row r="293">
      <c r="A293" s="4" t="inlineStr">
        <is>
          <t>2023-08</t>
        </is>
      </c>
      <c r="B293" s="4" t="inlineStr">
        <is>
          <t>SKU0202</t>
        </is>
      </c>
      <c r="C293" s="4" t="inlineStr">
        <is>
          <t>アトルバスタチンOD錠「サンド」</t>
        </is>
      </c>
      <c r="D293" s="4" t="inlineStr">
        <is>
          <t>調剤薬局</t>
        </is>
      </c>
      <c r="E293" s="4" t="n">
        <v>9628</v>
      </c>
      <c r="F293" s="4" t="n">
        <v>235892</v>
      </c>
    </row>
    <row r="294">
      <c r="A294" s="5" t="inlineStr">
        <is>
          <t>2023-08</t>
        </is>
      </c>
      <c r="B294" s="5" t="inlineStr">
        <is>
          <t>SKU0202</t>
        </is>
      </c>
      <c r="C294" s="5" t="inlineStr">
        <is>
          <t>アトルバスタチンOD錠「サンド」</t>
        </is>
      </c>
      <c r="D294" s="5" t="inlineStr">
        <is>
          <t>病院</t>
        </is>
      </c>
      <c r="E294" s="5" t="n">
        <v>5154</v>
      </c>
      <c r="F294" s="5" t="n">
        <v>126265</v>
      </c>
    </row>
    <row r="295">
      <c r="A295" s="4" t="inlineStr">
        <is>
          <t>2023-08</t>
        </is>
      </c>
      <c r="B295" s="4" t="inlineStr">
        <is>
          <t>SKU0202</t>
        </is>
      </c>
      <c r="C295" s="4" t="inlineStr">
        <is>
          <t>アトルバスタチンOD錠「サンド」</t>
        </is>
      </c>
      <c r="D295" s="4" t="inlineStr">
        <is>
          <t>診療所</t>
        </is>
      </c>
      <c r="E295" s="4" t="n">
        <v>2752</v>
      </c>
      <c r="F295" s="4" t="n">
        <v>67414</v>
      </c>
    </row>
    <row r="296">
      <c r="A296" s="5" t="inlineStr">
        <is>
          <t>2023-09</t>
        </is>
      </c>
      <c r="B296" s="5" t="inlineStr">
        <is>
          <t>SKU0201</t>
        </is>
      </c>
      <c r="C296" s="5" t="inlineStr">
        <is>
          <t>アトルバスタチンOD錠「サンド」</t>
        </is>
      </c>
      <c r="D296" s="5" t="inlineStr">
        <is>
          <t>調剤薬局</t>
        </is>
      </c>
      <c r="E296" s="5" t="n">
        <v>13679</v>
      </c>
      <c r="F296" s="5" t="n">
        <v>194238</v>
      </c>
    </row>
    <row r="297">
      <c r="A297" s="4" t="inlineStr">
        <is>
          <t>2023-09</t>
        </is>
      </c>
      <c r="B297" s="4" t="inlineStr">
        <is>
          <t>SKU0201</t>
        </is>
      </c>
      <c r="C297" s="4" t="inlineStr">
        <is>
          <t>アトルバスタチンOD錠「サンド」</t>
        </is>
      </c>
      <c r="D297" s="4" t="inlineStr">
        <is>
          <t>病院</t>
        </is>
      </c>
      <c r="E297" s="4" t="n">
        <v>7332</v>
      </c>
      <c r="F297" s="4" t="n">
        <v>104119</v>
      </c>
    </row>
    <row r="298">
      <c r="A298" s="5" t="inlineStr">
        <is>
          <t>2023-09</t>
        </is>
      </c>
      <c r="B298" s="5" t="inlineStr">
        <is>
          <t>SKU0201</t>
        </is>
      </c>
      <c r="C298" s="5" t="inlineStr">
        <is>
          <t>アトルバスタチンOD錠「サンド」</t>
        </is>
      </c>
      <c r="D298" s="5" t="inlineStr">
        <is>
          <t>診療所</t>
        </is>
      </c>
      <c r="E298" s="5" t="n">
        <v>3822</v>
      </c>
      <c r="F298" s="5" t="n">
        <v>54279</v>
      </c>
    </row>
    <row r="299">
      <c r="A299" s="4" t="inlineStr">
        <is>
          <t>2023-09</t>
        </is>
      </c>
      <c r="B299" s="4" t="inlineStr">
        <is>
          <t>SKU0202</t>
        </is>
      </c>
      <c r="C299" s="4" t="inlineStr">
        <is>
          <t>アトルバスタチンOD錠「サンド」</t>
        </is>
      </c>
      <c r="D299" s="4" t="inlineStr">
        <is>
          <t>調剤薬局</t>
        </is>
      </c>
      <c r="E299" s="4" t="n">
        <v>9543</v>
      </c>
      <c r="F299" s="4" t="n">
        <v>233802</v>
      </c>
    </row>
    <row r="300">
      <c r="A300" s="5" t="inlineStr">
        <is>
          <t>2023-09</t>
        </is>
      </c>
      <c r="B300" s="5" t="inlineStr">
        <is>
          <t>SKU0202</t>
        </is>
      </c>
      <c r="C300" s="5" t="inlineStr">
        <is>
          <t>アトルバスタチンOD錠「サンド」</t>
        </is>
      </c>
      <c r="D300" s="5" t="inlineStr">
        <is>
          <t>病院</t>
        </is>
      </c>
      <c r="E300" s="5" t="n">
        <v>5231</v>
      </c>
      <c r="F300" s="5" t="n">
        <v>128169</v>
      </c>
    </row>
    <row r="301">
      <c r="A301" s="4" t="inlineStr">
        <is>
          <t>2023-09</t>
        </is>
      </c>
      <c r="B301" s="4" t="inlineStr">
        <is>
          <t>SKU0202</t>
        </is>
      </c>
      <c r="C301" s="4" t="inlineStr">
        <is>
          <t>アトルバスタチンOD錠「サンド」</t>
        </is>
      </c>
      <c r="D301" s="4" t="inlineStr">
        <is>
          <t>診療所</t>
        </is>
      </c>
      <c r="E301" s="4" t="n">
        <v>2850</v>
      </c>
      <c r="F301" s="4" t="n">
        <v>69834</v>
      </c>
    </row>
    <row r="302">
      <c r="A302" s="5" t="inlineStr">
        <is>
          <t>2023-10</t>
        </is>
      </c>
      <c r="B302" s="5" t="inlineStr">
        <is>
          <t>SKU0201</t>
        </is>
      </c>
      <c r="C302" s="5" t="inlineStr">
        <is>
          <t>アトルバスタチンOD錠「サンド」</t>
        </is>
      </c>
      <c r="D302" s="5" t="inlineStr">
        <is>
          <t>調剤薬局</t>
        </is>
      </c>
      <c r="E302" s="5" t="n">
        <v>14323</v>
      </c>
      <c r="F302" s="5" t="n">
        <v>203389</v>
      </c>
    </row>
    <row r="303">
      <c r="A303" s="4" t="inlineStr">
        <is>
          <t>2023-10</t>
        </is>
      </c>
      <c r="B303" s="4" t="inlineStr">
        <is>
          <t>SKU0201</t>
        </is>
      </c>
      <c r="C303" s="4" t="inlineStr">
        <is>
          <t>アトルバスタチンOD錠「サンド」</t>
        </is>
      </c>
      <c r="D303" s="4" t="inlineStr">
        <is>
          <t>病院</t>
        </is>
      </c>
      <c r="E303" s="4" t="n">
        <v>7857</v>
      </c>
      <c r="F303" s="4" t="n">
        <v>111570</v>
      </c>
    </row>
    <row r="304">
      <c r="A304" s="5" t="inlineStr">
        <is>
          <t>2023-10</t>
        </is>
      </c>
      <c r="B304" s="5" t="inlineStr">
        <is>
          <t>SKU0201</t>
        </is>
      </c>
      <c r="C304" s="5" t="inlineStr">
        <is>
          <t>アトルバスタチンOD錠「サンド」</t>
        </is>
      </c>
      <c r="D304" s="5" t="inlineStr">
        <is>
          <t>診療所</t>
        </is>
      </c>
      <c r="E304" s="5" t="n">
        <v>3744</v>
      </c>
      <c r="F304" s="5" t="n">
        <v>53166</v>
      </c>
    </row>
    <row r="305">
      <c r="A305" s="4" t="inlineStr">
        <is>
          <t>2023-10</t>
        </is>
      </c>
      <c r="B305" s="4" t="inlineStr">
        <is>
          <t>SKU0202</t>
        </is>
      </c>
      <c r="C305" s="4" t="inlineStr">
        <is>
          <t>アトルバスタチンOD錠「サンド」</t>
        </is>
      </c>
      <c r="D305" s="4" t="inlineStr">
        <is>
          <t>調剤薬局</t>
        </is>
      </c>
      <c r="E305" s="4" t="n">
        <v>10944</v>
      </c>
      <c r="F305" s="4" t="n">
        <v>268130</v>
      </c>
    </row>
    <row r="306">
      <c r="A306" s="5" t="inlineStr">
        <is>
          <t>2023-10</t>
        </is>
      </c>
      <c r="B306" s="5" t="inlineStr">
        <is>
          <t>SKU0202</t>
        </is>
      </c>
      <c r="C306" s="5" t="inlineStr">
        <is>
          <t>アトルバスタチンOD錠「サンド」</t>
        </is>
      </c>
      <c r="D306" s="5" t="inlineStr">
        <is>
          <t>病院</t>
        </is>
      </c>
      <c r="E306" s="5" t="n">
        <v>6333</v>
      </c>
      <c r="F306" s="5" t="n">
        <v>155151</v>
      </c>
    </row>
    <row r="307">
      <c r="A307" s="4" t="inlineStr">
        <is>
          <t>2023-10</t>
        </is>
      </c>
      <c r="B307" s="4" t="inlineStr">
        <is>
          <t>SKU0202</t>
        </is>
      </c>
      <c r="C307" s="4" t="inlineStr">
        <is>
          <t>アトルバスタチンOD錠「サンド」</t>
        </is>
      </c>
      <c r="D307" s="4" t="inlineStr">
        <is>
          <t>診療所</t>
        </is>
      </c>
      <c r="E307" s="4" t="n">
        <v>3061</v>
      </c>
      <c r="F307" s="4" t="n">
        <v>74987</v>
      </c>
    </row>
    <row r="308">
      <c r="A308" s="5" t="inlineStr">
        <is>
          <t>2023-11</t>
        </is>
      </c>
      <c r="B308" s="5" t="inlineStr">
        <is>
          <t>SKU0201</t>
        </is>
      </c>
      <c r="C308" s="5" t="inlineStr">
        <is>
          <t>アトルバスタチンOD錠「サンド」</t>
        </is>
      </c>
      <c r="D308" s="5" t="inlineStr">
        <is>
          <t>調剤薬局</t>
        </is>
      </c>
      <c r="E308" s="5" t="n">
        <v>14088</v>
      </c>
      <c r="F308" s="5" t="n">
        <v>200056</v>
      </c>
    </row>
    <row r="309">
      <c r="A309" s="4" t="inlineStr">
        <is>
          <t>2023-11</t>
        </is>
      </c>
      <c r="B309" s="4" t="inlineStr">
        <is>
          <t>SKU0201</t>
        </is>
      </c>
      <c r="C309" s="4" t="inlineStr">
        <is>
          <t>アトルバスタチンOD錠「サンド」</t>
        </is>
      </c>
      <c r="D309" s="4" t="inlineStr">
        <is>
          <t>病院</t>
        </is>
      </c>
      <c r="E309" s="4" t="n">
        <v>7545</v>
      </c>
      <c r="F309" s="4" t="n">
        <v>107139</v>
      </c>
    </row>
    <row r="310">
      <c r="A310" s="5" t="inlineStr">
        <is>
          <t>2023-11</t>
        </is>
      </c>
      <c r="B310" s="5" t="inlineStr">
        <is>
          <t>SKU0201</t>
        </is>
      </c>
      <c r="C310" s="5" t="inlineStr">
        <is>
          <t>アトルバスタチンOD錠「サンド」</t>
        </is>
      </c>
      <c r="D310" s="5" t="inlineStr">
        <is>
          <t>診療所</t>
        </is>
      </c>
      <c r="E310" s="5" t="n">
        <v>3778</v>
      </c>
      <c r="F310" s="5" t="n">
        <v>53642</v>
      </c>
    </row>
    <row r="311">
      <c r="A311" s="4" t="inlineStr">
        <is>
          <t>2023-11</t>
        </is>
      </c>
      <c r="B311" s="4" t="inlineStr">
        <is>
          <t>SKU0202</t>
        </is>
      </c>
      <c r="C311" s="4" t="inlineStr">
        <is>
          <t>アトルバスタチンOD錠「サンド」</t>
        </is>
      </c>
      <c r="D311" s="4" t="inlineStr">
        <is>
          <t>調剤薬局</t>
        </is>
      </c>
      <c r="E311" s="4" t="n">
        <v>10206</v>
      </c>
      <c r="F311" s="4" t="n">
        <v>250042</v>
      </c>
    </row>
    <row r="312">
      <c r="A312" s="5" t="inlineStr">
        <is>
          <t>2023-11</t>
        </is>
      </c>
      <c r="B312" s="5" t="inlineStr">
        <is>
          <t>SKU0202</t>
        </is>
      </c>
      <c r="C312" s="5" t="inlineStr">
        <is>
          <t>アトルバスタチンOD錠「サンド」</t>
        </is>
      </c>
      <c r="D312" s="5" t="inlineStr">
        <is>
          <t>病院</t>
        </is>
      </c>
      <c r="E312" s="5" t="n">
        <v>5993</v>
      </c>
      <c r="F312" s="5" t="n">
        <v>146819</v>
      </c>
    </row>
    <row r="313">
      <c r="A313" s="4" t="inlineStr">
        <is>
          <t>2023-11</t>
        </is>
      </c>
      <c r="B313" s="4" t="inlineStr">
        <is>
          <t>SKU0202</t>
        </is>
      </c>
      <c r="C313" s="4" t="inlineStr">
        <is>
          <t>アトルバスタチンOD錠「サンド」</t>
        </is>
      </c>
      <c r="D313" s="4" t="inlineStr">
        <is>
          <t>診療所</t>
        </is>
      </c>
      <c r="E313" s="4" t="n">
        <v>3049</v>
      </c>
      <c r="F313" s="4" t="n">
        <v>74694</v>
      </c>
    </row>
    <row r="314">
      <c r="A314" s="5" t="inlineStr">
        <is>
          <t>2023-12</t>
        </is>
      </c>
      <c r="B314" s="5" t="inlineStr">
        <is>
          <t>SKU0201</t>
        </is>
      </c>
      <c r="C314" s="5" t="inlineStr">
        <is>
          <t>アトルバスタチンOD錠「サンド」</t>
        </is>
      </c>
      <c r="D314" s="5" t="inlineStr">
        <is>
          <t>調剤薬局</t>
        </is>
      </c>
      <c r="E314" s="5" t="n">
        <v>13998</v>
      </c>
      <c r="F314" s="5" t="n">
        <v>198771</v>
      </c>
    </row>
    <row r="315">
      <c r="A315" s="4" t="inlineStr">
        <is>
          <t>2023-12</t>
        </is>
      </c>
      <c r="B315" s="4" t="inlineStr">
        <is>
          <t>SKU0201</t>
        </is>
      </c>
      <c r="C315" s="4" t="inlineStr">
        <is>
          <t>アトルバスタチンOD錠「サンド」</t>
        </is>
      </c>
      <c r="D315" s="4" t="inlineStr">
        <is>
          <t>病院</t>
        </is>
      </c>
      <c r="E315" s="4" t="n">
        <v>7855</v>
      </c>
      <c r="F315" s="4" t="n">
        <v>111542</v>
      </c>
    </row>
    <row r="316">
      <c r="A316" s="5" t="inlineStr">
        <is>
          <t>2023-12</t>
        </is>
      </c>
      <c r="B316" s="5" t="inlineStr">
        <is>
          <t>SKU0201</t>
        </is>
      </c>
      <c r="C316" s="5" t="inlineStr">
        <is>
          <t>アトルバスタチンOD錠「サンド」</t>
        </is>
      </c>
      <c r="D316" s="5" t="inlineStr">
        <is>
          <t>診療所</t>
        </is>
      </c>
      <c r="E316" s="5" t="n">
        <v>3868</v>
      </c>
      <c r="F316" s="5" t="n">
        <v>54924</v>
      </c>
    </row>
    <row r="317">
      <c r="A317" s="4" t="inlineStr">
        <is>
          <t>2023-12</t>
        </is>
      </c>
      <c r="B317" s="4" t="inlineStr">
        <is>
          <t>SKU0202</t>
        </is>
      </c>
      <c r="C317" s="4" t="inlineStr">
        <is>
          <t>アトルバスタチンOD錠「サンド」</t>
        </is>
      </c>
      <c r="D317" s="4" t="inlineStr">
        <is>
          <t>調剤薬局</t>
        </is>
      </c>
      <c r="E317" s="4" t="n">
        <v>11267</v>
      </c>
      <c r="F317" s="4" t="n">
        <v>276035</v>
      </c>
    </row>
    <row r="318">
      <c r="A318" s="5" t="inlineStr">
        <is>
          <t>2023-12</t>
        </is>
      </c>
      <c r="B318" s="5" t="inlineStr">
        <is>
          <t>SKU0202</t>
        </is>
      </c>
      <c r="C318" s="5" t="inlineStr">
        <is>
          <t>アトルバスタチンOD錠「サンド」</t>
        </is>
      </c>
      <c r="D318" s="5" t="inlineStr">
        <is>
          <t>病院</t>
        </is>
      </c>
      <c r="E318" s="5" t="n">
        <v>6339</v>
      </c>
      <c r="F318" s="5" t="n">
        <v>155304</v>
      </c>
    </row>
    <row r="319">
      <c r="A319" s="4" t="inlineStr">
        <is>
          <t>2023-12</t>
        </is>
      </c>
      <c r="B319" s="4" t="inlineStr">
        <is>
          <t>SKU0202</t>
        </is>
      </c>
      <c r="C319" s="4" t="inlineStr">
        <is>
          <t>アトルバスタチンOD錠「サンド」</t>
        </is>
      </c>
      <c r="D319" s="4" t="inlineStr">
        <is>
          <t>診療所</t>
        </is>
      </c>
      <c r="E319" s="4" t="n">
        <v>2967</v>
      </c>
      <c r="F319" s="4" t="n">
        <v>72680</v>
      </c>
    </row>
    <row r="320">
      <c r="A320" s="5" t="inlineStr">
        <is>
          <t>2024-01</t>
        </is>
      </c>
      <c r="B320" s="5" t="inlineStr">
        <is>
          <t>SKU0201</t>
        </is>
      </c>
      <c r="C320" s="5" t="inlineStr">
        <is>
          <t>アトルバスタチンOD錠「サンド」</t>
        </is>
      </c>
      <c r="D320" s="5" t="inlineStr">
        <is>
          <t>調剤薬局</t>
        </is>
      </c>
      <c r="E320" s="5" t="n">
        <v>14425</v>
      </c>
      <c r="F320" s="5" t="n">
        <v>204839</v>
      </c>
    </row>
    <row r="321">
      <c r="A321" s="4" t="inlineStr">
        <is>
          <t>2024-01</t>
        </is>
      </c>
      <c r="B321" s="4" t="inlineStr">
        <is>
          <t>SKU0201</t>
        </is>
      </c>
      <c r="C321" s="4" t="inlineStr">
        <is>
          <t>アトルバスタチンOD錠「サンド」</t>
        </is>
      </c>
      <c r="D321" s="4" t="inlineStr">
        <is>
          <t>病院</t>
        </is>
      </c>
      <c r="E321" s="4" t="n">
        <v>7901</v>
      </c>
      <c r="F321" s="4" t="n">
        <v>112190</v>
      </c>
    </row>
    <row r="322">
      <c r="A322" s="5" t="inlineStr">
        <is>
          <t>2024-01</t>
        </is>
      </c>
      <c r="B322" s="5" t="inlineStr">
        <is>
          <t>SKU0201</t>
        </is>
      </c>
      <c r="C322" s="5" t="inlineStr">
        <is>
          <t>アトルバスタチンOD錠「サンド」</t>
        </is>
      </c>
      <c r="D322" s="5" t="inlineStr">
        <is>
          <t>診療所</t>
        </is>
      </c>
      <c r="E322" s="5" t="n">
        <v>3834</v>
      </c>
      <c r="F322" s="5" t="n">
        <v>54441</v>
      </c>
    </row>
    <row r="323">
      <c r="A323" s="4" t="inlineStr">
        <is>
          <t>2024-01</t>
        </is>
      </c>
      <c r="B323" s="4" t="inlineStr">
        <is>
          <t>SKU0202</t>
        </is>
      </c>
      <c r="C323" s="4" t="inlineStr">
        <is>
          <t>アトルバスタチンOD錠「サンド」</t>
        </is>
      </c>
      <c r="D323" s="4" t="inlineStr">
        <is>
          <t>調剤薬局</t>
        </is>
      </c>
      <c r="E323" s="4" t="n">
        <v>10512</v>
      </c>
      <c r="F323" s="4" t="n">
        <v>257538</v>
      </c>
    </row>
    <row r="324">
      <c r="A324" s="5" t="inlineStr">
        <is>
          <t>2024-01</t>
        </is>
      </c>
      <c r="B324" s="5" t="inlineStr">
        <is>
          <t>SKU0202</t>
        </is>
      </c>
      <c r="C324" s="5" t="inlineStr">
        <is>
          <t>アトルバスタチンOD錠「サンド」</t>
        </is>
      </c>
      <c r="D324" s="5" t="inlineStr">
        <is>
          <t>病院</t>
        </is>
      </c>
      <c r="E324" s="5" t="n">
        <v>6010</v>
      </c>
      <c r="F324" s="5" t="n">
        <v>147233</v>
      </c>
    </row>
    <row r="325">
      <c r="A325" s="4" t="inlineStr">
        <is>
          <t>2024-01</t>
        </is>
      </c>
      <c r="B325" s="4" t="inlineStr">
        <is>
          <t>SKU0202</t>
        </is>
      </c>
      <c r="C325" s="4" t="inlineStr">
        <is>
          <t>アトルバスタチンOD錠「サンド」</t>
        </is>
      </c>
      <c r="D325" s="4" t="inlineStr">
        <is>
          <t>診療所</t>
        </is>
      </c>
      <c r="E325" s="4" t="n">
        <v>3212</v>
      </c>
      <c r="F325" s="4" t="n">
        <v>78692</v>
      </c>
    </row>
    <row r="326">
      <c r="A326" s="5" t="inlineStr">
        <is>
          <t>2024-02</t>
        </is>
      </c>
      <c r="B326" s="5" t="inlineStr">
        <is>
          <t>SKU0201</t>
        </is>
      </c>
      <c r="C326" s="5" t="inlineStr">
        <is>
          <t>アトルバスタチンOD錠「サンド」</t>
        </is>
      </c>
      <c r="D326" s="5" t="inlineStr">
        <is>
          <t>調剤薬局</t>
        </is>
      </c>
      <c r="E326" s="5" t="n">
        <v>11589</v>
      </c>
      <c r="F326" s="5" t="n">
        <v>164560</v>
      </c>
    </row>
    <row r="327">
      <c r="A327" s="4" t="inlineStr">
        <is>
          <t>2024-02</t>
        </is>
      </c>
      <c r="B327" s="4" t="inlineStr">
        <is>
          <t>SKU0201</t>
        </is>
      </c>
      <c r="C327" s="4" t="inlineStr">
        <is>
          <t>アトルバスタチンOD錠「サンド」</t>
        </is>
      </c>
      <c r="D327" s="4" t="inlineStr">
        <is>
          <t>病院</t>
        </is>
      </c>
      <c r="E327" s="4" t="n">
        <v>6824</v>
      </c>
      <c r="F327" s="4" t="n">
        <v>96900</v>
      </c>
    </row>
    <row r="328">
      <c r="A328" s="5" t="inlineStr">
        <is>
          <t>2024-02</t>
        </is>
      </c>
      <c r="B328" s="5" t="inlineStr">
        <is>
          <t>SKU0201</t>
        </is>
      </c>
      <c r="C328" s="5" t="inlineStr">
        <is>
          <t>アトルバスタチンOD錠「サンド」</t>
        </is>
      </c>
      <c r="D328" s="5" t="inlineStr">
        <is>
          <t>診療所</t>
        </is>
      </c>
      <c r="E328" s="5" t="n">
        <v>3326</v>
      </c>
      <c r="F328" s="5" t="n">
        <v>47227</v>
      </c>
    </row>
    <row r="329">
      <c r="A329" s="4" t="inlineStr">
        <is>
          <t>2024-02</t>
        </is>
      </c>
      <c r="B329" s="4" t="inlineStr">
        <is>
          <t>SKU0202</t>
        </is>
      </c>
      <c r="C329" s="4" t="inlineStr">
        <is>
          <t>アトルバスタチンOD錠「サンド」</t>
        </is>
      </c>
      <c r="D329" s="4" t="inlineStr">
        <is>
          <t>調剤薬局</t>
        </is>
      </c>
      <c r="E329" s="4" t="n">
        <v>10540</v>
      </c>
      <c r="F329" s="4" t="n">
        <v>258231</v>
      </c>
    </row>
    <row r="330">
      <c r="A330" s="5" t="inlineStr">
        <is>
          <t>2024-02</t>
        </is>
      </c>
      <c r="B330" s="5" t="inlineStr">
        <is>
          <t>SKU0202</t>
        </is>
      </c>
      <c r="C330" s="5" t="inlineStr">
        <is>
          <t>アトルバスタチンOD錠「サンド」</t>
        </is>
      </c>
      <c r="D330" s="5" t="inlineStr">
        <is>
          <t>病院</t>
        </is>
      </c>
      <c r="E330" s="5" t="n">
        <v>5500</v>
      </c>
      <c r="F330" s="5" t="n">
        <v>134748</v>
      </c>
    </row>
    <row r="331">
      <c r="A331" s="4" t="inlineStr">
        <is>
          <t>2024-02</t>
        </is>
      </c>
      <c r="B331" s="4" t="inlineStr">
        <is>
          <t>SKU0202</t>
        </is>
      </c>
      <c r="C331" s="4" t="inlineStr">
        <is>
          <t>アトルバスタチンOD錠「サンド」</t>
        </is>
      </c>
      <c r="D331" s="4" t="inlineStr">
        <is>
          <t>診療所</t>
        </is>
      </c>
      <c r="E331" s="4" t="n">
        <v>2841</v>
      </c>
      <c r="F331" s="4" t="n">
        <v>69600</v>
      </c>
    </row>
    <row r="332">
      <c r="A332" s="5" t="inlineStr">
        <is>
          <t>2024-03</t>
        </is>
      </c>
      <c r="B332" s="5" t="inlineStr">
        <is>
          <t>SKU0201</t>
        </is>
      </c>
      <c r="C332" s="5" t="inlineStr">
        <is>
          <t>アトルバスタチンOD錠「サンド」</t>
        </is>
      </c>
      <c r="D332" s="5" t="inlineStr">
        <is>
          <t>調剤薬局</t>
        </is>
      </c>
      <c r="E332" s="5" t="n">
        <v>14652</v>
      </c>
      <c r="F332" s="5" t="n">
        <v>208057</v>
      </c>
    </row>
    <row r="333">
      <c r="A333" s="4" t="inlineStr">
        <is>
          <t>2024-03</t>
        </is>
      </c>
      <c r="B333" s="4" t="inlineStr">
        <is>
          <t>SKU0201</t>
        </is>
      </c>
      <c r="C333" s="4" t="inlineStr">
        <is>
          <t>アトルバスタチンOD錠「サンド」</t>
        </is>
      </c>
      <c r="D333" s="4" t="inlineStr">
        <is>
          <t>病院</t>
        </is>
      </c>
      <c r="E333" s="4" t="n">
        <v>8292</v>
      </c>
      <c r="F333" s="4" t="n">
        <v>117740</v>
      </c>
    </row>
    <row r="334">
      <c r="A334" s="5" t="inlineStr">
        <is>
          <t>2024-03</t>
        </is>
      </c>
      <c r="B334" s="5" t="inlineStr">
        <is>
          <t>SKU0201</t>
        </is>
      </c>
      <c r="C334" s="5" t="inlineStr">
        <is>
          <t>アトルバスタチンOD錠「サンド」</t>
        </is>
      </c>
      <c r="D334" s="5" t="inlineStr">
        <is>
          <t>診療所</t>
        </is>
      </c>
      <c r="E334" s="5" t="n">
        <v>3905</v>
      </c>
      <c r="F334" s="5" t="n">
        <v>55457</v>
      </c>
    </row>
    <row r="335">
      <c r="A335" s="4" t="inlineStr">
        <is>
          <t>2024-03</t>
        </is>
      </c>
      <c r="B335" s="4" t="inlineStr">
        <is>
          <t>SKU0202</t>
        </is>
      </c>
      <c r="C335" s="4" t="inlineStr">
        <is>
          <t>アトルバスタチンOD錠「サンド」</t>
        </is>
      </c>
      <c r="D335" s="4" t="inlineStr">
        <is>
          <t>調剤薬局</t>
        </is>
      </c>
      <c r="E335" s="4" t="n">
        <v>12042</v>
      </c>
      <c r="F335" s="4" t="n">
        <v>295027</v>
      </c>
    </row>
    <row r="336">
      <c r="A336" s="5" t="inlineStr">
        <is>
          <t>2024-03</t>
        </is>
      </c>
      <c r="B336" s="5" t="inlineStr">
        <is>
          <t>SKU0202</t>
        </is>
      </c>
      <c r="C336" s="5" t="inlineStr">
        <is>
          <t>アトルバスタチンOD錠「サンド」</t>
        </is>
      </c>
      <c r="D336" s="5" t="inlineStr">
        <is>
          <t>病院</t>
        </is>
      </c>
      <c r="E336" s="5" t="n">
        <v>6206</v>
      </c>
      <c r="F336" s="5" t="n">
        <v>152039</v>
      </c>
    </row>
    <row r="337">
      <c r="A337" s="4" t="inlineStr">
        <is>
          <t>2024-03</t>
        </is>
      </c>
      <c r="B337" s="4" t="inlineStr">
        <is>
          <t>SKU0202</t>
        </is>
      </c>
      <c r="C337" s="4" t="inlineStr">
        <is>
          <t>アトルバスタチンOD錠「サンド」</t>
        </is>
      </c>
      <c r="D337" s="4" t="inlineStr">
        <is>
          <t>診療所</t>
        </is>
      </c>
      <c r="E337" s="4" t="n">
        <v>3363</v>
      </c>
      <c r="F337" s="4" t="n">
        <v>82406</v>
      </c>
    </row>
    <row r="338">
      <c r="A338" s="5" t="inlineStr">
        <is>
          <t>2024-04</t>
        </is>
      </c>
      <c r="B338" s="5" t="inlineStr">
        <is>
          <t>SKU0201</t>
        </is>
      </c>
      <c r="C338" s="5" t="inlineStr">
        <is>
          <t>アトルバスタチンOD錠「サンド」</t>
        </is>
      </c>
      <c r="D338" s="5" t="inlineStr">
        <is>
          <t>調剤薬局</t>
        </is>
      </c>
      <c r="E338" s="5" t="n">
        <v>13272</v>
      </c>
      <c r="F338" s="5" t="n">
        <v>178091</v>
      </c>
    </row>
    <row r="339">
      <c r="A339" s="4" t="inlineStr">
        <is>
          <t>2024-04</t>
        </is>
      </c>
      <c r="B339" s="4" t="inlineStr">
        <is>
          <t>SKU0201</t>
        </is>
      </c>
      <c r="C339" s="4" t="inlineStr">
        <is>
          <t>アトルバスタチンOD錠「サンド」</t>
        </is>
      </c>
      <c r="D339" s="4" t="inlineStr">
        <is>
          <t>病院</t>
        </is>
      </c>
      <c r="E339" s="4" t="n">
        <v>7283</v>
      </c>
      <c r="F339" s="4" t="n">
        <v>97736</v>
      </c>
    </row>
    <row r="340">
      <c r="A340" s="5" t="inlineStr">
        <is>
          <t>2024-04</t>
        </is>
      </c>
      <c r="B340" s="5" t="inlineStr">
        <is>
          <t>SKU0201</t>
        </is>
      </c>
      <c r="C340" s="5" t="inlineStr">
        <is>
          <t>アトルバスタチンOD錠「サンド」</t>
        </is>
      </c>
      <c r="D340" s="5" t="inlineStr">
        <is>
          <t>診療所</t>
        </is>
      </c>
      <c r="E340" s="5" t="n">
        <v>3702</v>
      </c>
      <c r="F340" s="5" t="n">
        <v>49671</v>
      </c>
    </row>
    <row r="341">
      <c r="A341" s="4" t="inlineStr">
        <is>
          <t>2024-04</t>
        </is>
      </c>
      <c r="B341" s="4" t="inlineStr">
        <is>
          <t>SKU0202</t>
        </is>
      </c>
      <c r="C341" s="4" t="inlineStr">
        <is>
          <t>アトルバスタチンOD錠「サンド」</t>
        </is>
      </c>
      <c r="D341" s="4" t="inlineStr">
        <is>
          <t>調剤薬局</t>
        </is>
      </c>
      <c r="E341" s="4" t="n">
        <v>10862</v>
      </c>
      <c r="F341" s="4" t="n">
        <v>251473</v>
      </c>
    </row>
    <row r="342">
      <c r="A342" s="5" t="inlineStr">
        <is>
          <t>2024-04</t>
        </is>
      </c>
      <c r="B342" s="5" t="inlineStr">
        <is>
          <t>SKU0202</t>
        </is>
      </c>
      <c r="C342" s="5" t="inlineStr">
        <is>
          <t>アトルバスタチンOD錠「サンド」</t>
        </is>
      </c>
      <c r="D342" s="5" t="inlineStr">
        <is>
          <t>病院</t>
        </is>
      </c>
      <c r="E342" s="5" t="n">
        <v>6259</v>
      </c>
      <c r="F342" s="5" t="n">
        <v>144903</v>
      </c>
    </row>
    <row r="343">
      <c r="A343" s="4" t="inlineStr">
        <is>
          <t>2024-04</t>
        </is>
      </c>
      <c r="B343" s="4" t="inlineStr">
        <is>
          <t>SKU0202</t>
        </is>
      </c>
      <c r="C343" s="4" t="inlineStr">
        <is>
          <t>アトルバスタチンOD錠「サンド」</t>
        </is>
      </c>
      <c r="D343" s="4" t="inlineStr">
        <is>
          <t>診療所</t>
        </is>
      </c>
      <c r="E343" s="4" t="n">
        <v>3198</v>
      </c>
      <c r="F343" s="4" t="n">
        <v>74046</v>
      </c>
    </row>
    <row r="344">
      <c r="A344" s="5" t="inlineStr">
        <is>
          <t>2024-05</t>
        </is>
      </c>
      <c r="B344" s="5" t="inlineStr">
        <is>
          <t>SKU0201</t>
        </is>
      </c>
      <c r="C344" s="5" t="inlineStr">
        <is>
          <t>アトルバスタチンOD錠「サンド」</t>
        </is>
      </c>
      <c r="D344" s="5" t="inlineStr">
        <is>
          <t>調剤薬局</t>
        </is>
      </c>
      <c r="E344" s="5" t="n">
        <v>15051</v>
      </c>
      <c r="F344" s="5" t="n">
        <v>201965</v>
      </c>
    </row>
    <row r="345">
      <c r="A345" s="4" t="inlineStr">
        <is>
          <t>2024-05</t>
        </is>
      </c>
      <c r="B345" s="4" t="inlineStr">
        <is>
          <t>SKU0201</t>
        </is>
      </c>
      <c r="C345" s="4" t="inlineStr">
        <is>
          <t>アトルバスタチンOD錠「サンド」</t>
        </is>
      </c>
      <c r="D345" s="4" t="inlineStr">
        <is>
          <t>病院</t>
        </is>
      </c>
      <c r="E345" s="4" t="n">
        <v>7750</v>
      </c>
      <c r="F345" s="4" t="n">
        <v>103997</v>
      </c>
    </row>
    <row r="346">
      <c r="A346" s="5" t="inlineStr">
        <is>
          <t>2024-05</t>
        </is>
      </c>
      <c r="B346" s="5" t="inlineStr">
        <is>
          <t>SKU0201</t>
        </is>
      </c>
      <c r="C346" s="5" t="inlineStr">
        <is>
          <t>アトルバスタチンOD錠「サンド」</t>
        </is>
      </c>
      <c r="D346" s="5" t="inlineStr">
        <is>
          <t>診療所</t>
        </is>
      </c>
      <c r="E346" s="5" t="n">
        <v>4054</v>
      </c>
      <c r="F346" s="5" t="n">
        <v>54399</v>
      </c>
    </row>
    <row r="347">
      <c r="A347" s="4" t="inlineStr">
        <is>
          <t>2024-05</t>
        </is>
      </c>
      <c r="B347" s="4" t="inlineStr">
        <is>
          <t>SKU0202</t>
        </is>
      </c>
      <c r="C347" s="4" t="inlineStr">
        <is>
          <t>アトルバスタチンOD錠「サンド」</t>
        </is>
      </c>
      <c r="D347" s="4" t="inlineStr">
        <is>
          <t>調剤薬局</t>
        </is>
      </c>
      <c r="E347" s="4" t="n">
        <v>12992</v>
      </c>
      <c r="F347" s="4" t="n">
        <v>300801</v>
      </c>
    </row>
    <row r="348">
      <c r="A348" s="5" t="inlineStr">
        <is>
          <t>2024-05</t>
        </is>
      </c>
      <c r="B348" s="5" t="inlineStr">
        <is>
          <t>SKU0202</t>
        </is>
      </c>
      <c r="C348" s="5" t="inlineStr">
        <is>
          <t>アトルバスタチンOD錠「サンド」</t>
        </is>
      </c>
      <c r="D348" s="5" t="inlineStr">
        <is>
          <t>病院</t>
        </is>
      </c>
      <c r="E348" s="5" t="n">
        <v>6542</v>
      </c>
      <c r="F348" s="5" t="n">
        <v>151458</v>
      </c>
    </row>
    <row r="349">
      <c r="A349" s="4" t="inlineStr">
        <is>
          <t>2024-05</t>
        </is>
      </c>
      <c r="B349" s="4" t="inlineStr">
        <is>
          <t>SKU0202</t>
        </is>
      </c>
      <c r="C349" s="4" t="inlineStr">
        <is>
          <t>アトルバスタチンOD錠「サンド」</t>
        </is>
      </c>
      <c r="D349" s="4" t="inlineStr">
        <is>
          <t>診療所</t>
        </is>
      </c>
      <c r="E349" s="4" t="n">
        <v>3354</v>
      </c>
      <c r="F349" s="4" t="n">
        <v>77663</v>
      </c>
    </row>
    <row r="350">
      <c r="A350" s="5" t="inlineStr">
        <is>
          <t>2024-06</t>
        </is>
      </c>
      <c r="B350" s="5" t="inlineStr">
        <is>
          <t>SKU0201</t>
        </is>
      </c>
      <c r="C350" s="5" t="inlineStr">
        <is>
          <t>アトルバスタチンOD錠「サンド」</t>
        </is>
      </c>
      <c r="D350" s="5" t="inlineStr">
        <is>
          <t>調剤薬局</t>
        </is>
      </c>
      <c r="E350" s="5" t="n">
        <v>13917</v>
      </c>
      <c r="F350" s="5" t="n">
        <v>186756</v>
      </c>
    </row>
    <row r="351">
      <c r="A351" s="4" t="inlineStr">
        <is>
          <t>2024-06</t>
        </is>
      </c>
      <c r="B351" s="4" t="inlineStr">
        <is>
          <t>SKU0201</t>
        </is>
      </c>
      <c r="C351" s="4" t="inlineStr">
        <is>
          <t>アトルバスタチンOD錠「サンド」</t>
        </is>
      </c>
      <c r="D351" s="4" t="inlineStr">
        <is>
          <t>病院</t>
        </is>
      </c>
      <c r="E351" s="4" t="n">
        <v>7457</v>
      </c>
      <c r="F351" s="4" t="n">
        <v>100061</v>
      </c>
    </row>
    <row r="352">
      <c r="A352" s="5" t="inlineStr">
        <is>
          <t>2024-06</t>
        </is>
      </c>
      <c r="B352" s="5" t="inlineStr">
        <is>
          <t>SKU0201</t>
        </is>
      </c>
      <c r="C352" s="5" t="inlineStr">
        <is>
          <t>アトルバスタチンOD錠「サンド」</t>
        </is>
      </c>
      <c r="D352" s="5" t="inlineStr">
        <is>
          <t>診療所</t>
        </is>
      </c>
      <c r="E352" s="5" t="n">
        <v>3744</v>
      </c>
      <c r="F352" s="5" t="n">
        <v>50242</v>
      </c>
    </row>
    <row r="353">
      <c r="A353" s="4" t="inlineStr">
        <is>
          <t>2024-06</t>
        </is>
      </c>
      <c r="B353" s="4" t="inlineStr">
        <is>
          <t>SKU0202</t>
        </is>
      </c>
      <c r="C353" s="4" t="inlineStr">
        <is>
          <t>アトルバスタチンOD錠「サンド」</t>
        </is>
      </c>
      <c r="D353" s="4" t="inlineStr">
        <is>
          <t>調剤薬局</t>
        </is>
      </c>
      <c r="E353" s="4" t="n">
        <v>12382</v>
      </c>
      <c r="F353" s="4" t="n">
        <v>286663</v>
      </c>
    </row>
    <row r="354">
      <c r="A354" s="5" t="inlineStr">
        <is>
          <t>2024-06</t>
        </is>
      </c>
      <c r="B354" s="5" t="inlineStr">
        <is>
          <t>SKU0202</t>
        </is>
      </c>
      <c r="C354" s="5" t="inlineStr">
        <is>
          <t>アトルバスタチンOD錠「サンド」</t>
        </is>
      </c>
      <c r="D354" s="5" t="inlineStr">
        <is>
          <t>病院</t>
        </is>
      </c>
      <c r="E354" s="5" t="n">
        <v>6487</v>
      </c>
      <c r="F354" s="5" t="n">
        <v>150182</v>
      </c>
    </row>
    <row r="355">
      <c r="A355" s="4" t="inlineStr">
        <is>
          <t>2024-06</t>
        </is>
      </c>
      <c r="B355" s="4" t="inlineStr">
        <is>
          <t>SKU0202</t>
        </is>
      </c>
      <c r="C355" s="4" t="inlineStr">
        <is>
          <t>アトルバスタチンOD錠「サンド」</t>
        </is>
      </c>
      <c r="D355" s="4" t="inlineStr">
        <is>
          <t>診療所</t>
        </is>
      </c>
      <c r="E355" s="4" t="n">
        <v>3261</v>
      </c>
      <c r="F355" s="4" t="n">
        <v>75511</v>
      </c>
    </row>
    <row r="356">
      <c r="A356" s="5" t="inlineStr">
        <is>
          <t>2024-07</t>
        </is>
      </c>
      <c r="B356" s="5" t="inlineStr">
        <is>
          <t>SKU0201</t>
        </is>
      </c>
      <c r="C356" s="5" t="inlineStr">
        <is>
          <t>アトルバスタチンOD錠「サンド」</t>
        </is>
      </c>
      <c r="D356" s="5" t="inlineStr">
        <is>
          <t>調剤薬局</t>
        </is>
      </c>
      <c r="E356" s="5" t="n">
        <v>15095</v>
      </c>
      <c r="F356" s="5" t="n">
        <v>202562</v>
      </c>
    </row>
    <row r="357">
      <c r="A357" s="4" t="inlineStr">
        <is>
          <t>2024-07</t>
        </is>
      </c>
      <c r="B357" s="4" t="inlineStr">
        <is>
          <t>SKU0201</t>
        </is>
      </c>
      <c r="C357" s="4" t="inlineStr">
        <is>
          <t>アトルバスタチンOD錠「サンド」</t>
        </is>
      </c>
      <c r="D357" s="4" t="inlineStr">
        <is>
          <t>病院</t>
        </is>
      </c>
      <c r="E357" s="4" t="n">
        <v>7566</v>
      </c>
      <c r="F357" s="4" t="n">
        <v>101523</v>
      </c>
    </row>
    <row r="358">
      <c r="A358" s="5" t="inlineStr">
        <is>
          <t>2024-07</t>
        </is>
      </c>
      <c r="B358" s="5" t="inlineStr">
        <is>
          <t>SKU0201</t>
        </is>
      </c>
      <c r="C358" s="5" t="inlineStr">
        <is>
          <t>アトルバスタチンOD錠「サンド」</t>
        </is>
      </c>
      <c r="D358" s="5" t="inlineStr">
        <is>
          <t>診療所</t>
        </is>
      </c>
      <c r="E358" s="5" t="n">
        <v>3716</v>
      </c>
      <c r="F358" s="5" t="n">
        <v>49866</v>
      </c>
    </row>
    <row r="359">
      <c r="A359" s="4" t="inlineStr">
        <is>
          <t>2024-07</t>
        </is>
      </c>
      <c r="B359" s="4" t="inlineStr">
        <is>
          <t>SKU0202</t>
        </is>
      </c>
      <c r="C359" s="4" t="inlineStr">
        <is>
          <t>アトルバスタチンOD錠「サンド」</t>
        </is>
      </c>
      <c r="D359" s="4" t="inlineStr">
        <is>
          <t>調剤薬局</t>
        </is>
      </c>
      <c r="E359" s="4" t="n">
        <v>12413</v>
      </c>
      <c r="F359" s="4" t="n">
        <v>287395</v>
      </c>
    </row>
    <row r="360">
      <c r="A360" s="5" t="inlineStr">
        <is>
          <t>2024-07</t>
        </is>
      </c>
      <c r="B360" s="5" t="inlineStr">
        <is>
          <t>SKU0202</t>
        </is>
      </c>
      <c r="C360" s="5" t="inlineStr">
        <is>
          <t>アトルバスタチンOD錠「サンド」</t>
        </is>
      </c>
      <c r="D360" s="5" t="inlineStr">
        <is>
          <t>病院</t>
        </is>
      </c>
      <c r="E360" s="5" t="n">
        <v>6773</v>
      </c>
      <c r="F360" s="5" t="n">
        <v>156813</v>
      </c>
    </row>
    <row r="361">
      <c r="A361" s="4" t="inlineStr">
        <is>
          <t>2024-07</t>
        </is>
      </c>
      <c r="B361" s="4" t="inlineStr">
        <is>
          <t>SKU0202</t>
        </is>
      </c>
      <c r="C361" s="4" t="inlineStr">
        <is>
          <t>アトルバスタチンOD錠「サンド」</t>
        </is>
      </c>
      <c r="D361" s="4" t="inlineStr">
        <is>
          <t>診療所</t>
        </is>
      </c>
      <c r="E361" s="4" t="n">
        <v>3290</v>
      </c>
      <c r="F361" s="4" t="n">
        <v>76165</v>
      </c>
    </row>
    <row r="362">
      <c r="A362" s="5" t="inlineStr">
        <is>
          <t>2024-08</t>
        </is>
      </c>
      <c r="B362" s="5" t="inlineStr">
        <is>
          <t>SKU0201</t>
        </is>
      </c>
      <c r="C362" s="5" t="inlineStr">
        <is>
          <t>アトルバスタチンOD錠「サンド」</t>
        </is>
      </c>
      <c r="D362" s="5" t="inlineStr">
        <is>
          <t>調剤薬局</t>
        </is>
      </c>
      <c r="E362" s="5" t="n">
        <v>13839</v>
      </c>
      <c r="F362" s="5" t="n">
        <v>185710</v>
      </c>
    </row>
    <row r="363">
      <c r="A363" s="4" t="inlineStr">
        <is>
          <t>2024-08</t>
        </is>
      </c>
      <c r="B363" s="4" t="inlineStr">
        <is>
          <t>SKU0201</t>
        </is>
      </c>
      <c r="C363" s="4" t="inlineStr">
        <is>
          <t>アトルバスタチンOD錠「サンド」</t>
        </is>
      </c>
      <c r="D363" s="4" t="inlineStr">
        <is>
          <t>病院</t>
        </is>
      </c>
      <c r="E363" s="4" t="n">
        <v>8330</v>
      </c>
      <c r="F363" s="4" t="n">
        <v>111778</v>
      </c>
    </row>
    <row r="364">
      <c r="A364" s="5" t="inlineStr">
        <is>
          <t>2024-08</t>
        </is>
      </c>
      <c r="B364" s="5" t="inlineStr">
        <is>
          <t>SKU0201</t>
        </is>
      </c>
      <c r="C364" s="5" t="inlineStr">
        <is>
          <t>アトルバスタチンOD錠「サンド」</t>
        </is>
      </c>
      <c r="D364" s="5" t="inlineStr">
        <is>
          <t>診療所</t>
        </is>
      </c>
      <c r="E364" s="5" t="n">
        <v>3933</v>
      </c>
      <c r="F364" s="5" t="n">
        <v>52779</v>
      </c>
    </row>
    <row r="365">
      <c r="A365" s="4" t="inlineStr">
        <is>
          <t>2024-08</t>
        </is>
      </c>
      <c r="B365" s="4" t="inlineStr">
        <is>
          <t>SKU0202</t>
        </is>
      </c>
      <c r="C365" s="4" t="inlineStr">
        <is>
          <t>アトルバスタチンOD錠「サンド」</t>
        </is>
      </c>
      <c r="D365" s="4" t="inlineStr">
        <is>
          <t>調剤薬局</t>
        </is>
      </c>
      <c r="E365" s="4" t="n">
        <v>12449</v>
      </c>
      <c r="F365" s="4" t="n">
        <v>288224</v>
      </c>
    </row>
    <row r="366">
      <c r="A366" s="5" t="inlineStr">
        <is>
          <t>2024-08</t>
        </is>
      </c>
      <c r="B366" s="5" t="inlineStr">
        <is>
          <t>SKU0202</t>
        </is>
      </c>
      <c r="C366" s="5" t="inlineStr">
        <is>
          <t>アトルバスタチンOD錠「サンド」</t>
        </is>
      </c>
      <c r="D366" s="5" t="inlineStr">
        <is>
          <t>病院</t>
        </is>
      </c>
      <c r="E366" s="5" t="n">
        <v>7134</v>
      </c>
      <c r="F366" s="5" t="n">
        <v>165161</v>
      </c>
    </row>
    <row r="367">
      <c r="A367" s="4" t="inlineStr">
        <is>
          <t>2024-08</t>
        </is>
      </c>
      <c r="B367" s="4" t="inlineStr">
        <is>
          <t>SKU0202</t>
        </is>
      </c>
      <c r="C367" s="4" t="inlineStr">
        <is>
          <t>アトルバスタチンOD錠「サンド」</t>
        </is>
      </c>
      <c r="D367" s="4" t="inlineStr">
        <is>
          <t>診療所</t>
        </is>
      </c>
      <c r="E367" s="4" t="n">
        <v>3460</v>
      </c>
      <c r="F367" s="4" t="n">
        <v>80109</v>
      </c>
    </row>
    <row r="368">
      <c r="A368" s="5" t="inlineStr">
        <is>
          <t>2024-09</t>
        </is>
      </c>
      <c r="B368" s="5" t="inlineStr">
        <is>
          <t>SKU0201</t>
        </is>
      </c>
      <c r="C368" s="5" t="inlineStr">
        <is>
          <t>アトルバスタチンOD錠「サンド」</t>
        </is>
      </c>
      <c r="D368" s="5" t="inlineStr">
        <is>
          <t>調剤薬局</t>
        </is>
      </c>
      <c r="E368" s="5" t="n">
        <v>13132</v>
      </c>
      <c r="F368" s="5" t="n">
        <v>176225</v>
      </c>
    </row>
    <row r="369">
      <c r="A369" s="4" t="inlineStr">
        <is>
          <t>2024-09</t>
        </is>
      </c>
      <c r="B369" s="4" t="inlineStr">
        <is>
          <t>SKU0201</t>
        </is>
      </c>
      <c r="C369" s="4" t="inlineStr">
        <is>
          <t>アトルバスタチンOD錠「サンド」</t>
        </is>
      </c>
      <c r="D369" s="4" t="inlineStr">
        <is>
          <t>病院</t>
        </is>
      </c>
      <c r="E369" s="4" t="n">
        <v>7340</v>
      </c>
      <c r="F369" s="4" t="n">
        <v>98491</v>
      </c>
    </row>
    <row r="370">
      <c r="A370" s="5" t="inlineStr">
        <is>
          <t>2024-09</t>
        </is>
      </c>
      <c r="B370" s="5" t="inlineStr">
        <is>
          <t>SKU0201</t>
        </is>
      </c>
      <c r="C370" s="5" t="inlineStr">
        <is>
          <t>アトルバスタチンOD錠「サンド」</t>
        </is>
      </c>
      <c r="D370" s="5" t="inlineStr">
        <is>
          <t>診療所</t>
        </is>
      </c>
      <c r="E370" s="5" t="n">
        <v>3469</v>
      </c>
      <c r="F370" s="5" t="n">
        <v>46552</v>
      </c>
    </row>
    <row r="371">
      <c r="A371" s="4" t="inlineStr">
        <is>
          <t>2024-09</t>
        </is>
      </c>
      <c r="B371" s="4" t="inlineStr">
        <is>
          <t>SKU0202</t>
        </is>
      </c>
      <c r="C371" s="4" t="inlineStr">
        <is>
          <t>アトルバスタチンOD錠「サンド」</t>
        </is>
      </c>
      <c r="D371" s="4" t="inlineStr">
        <is>
          <t>調剤薬局</t>
        </is>
      </c>
      <c r="E371" s="4" t="n">
        <v>12099</v>
      </c>
      <c r="F371" s="4" t="n">
        <v>280128</v>
      </c>
    </row>
    <row r="372">
      <c r="A372" s="5" t="inlineStr">
        <is>
          <t>2024-09</t>
        </is>
      </c>
      <c r="B372" s="5" t="inlineStr">
        <is>
          <t>SKU0202</t>
        </is>
      </c>
      <c r="C372" s="5" t="inlineStr">
        <is>
          <t>アトルバスタチンOD錠「サンド」</t>
        </is>
      </c>
      <c r="D372" s="5" t="inlineStr">
        <is>
          <t>病院</t>
        </is>
      </c>
      <c r="E372" s="5" t="n">
        <v>6905</v>
      </c>
      <c r="F372" s="5" t="n">
        <v>159875</v>
      </c>
    </row>
    <row r="373">
      <c r="A373" s="4" t="inlineStr">
        <is>
          <t>2024-09</t>
        </is>
      </c>
      <c r="B373" s="4" t="inlineStr">
        <is>
          <t>SKU0202</t>
        </is>
      </c>
      <c r="C373" s="4" t="inlineStr">
        <is>
          <t>アトルバスタチンOD錠「サンド」</t>
        </is>
      </c>
      <c r="D373" s="4" t="inlineStr">
        <is>
          <t>診療所</t>
        </is>
      </c>
      <c r="E373" s="4" t="n">
        <v>3311</v>
      </c>
      <c r="F373" s="4" t="n">
        <v>76656</v>
      </c>
    </row>
    <row r="374">
      <c r="A374" s="5" t="inlineStr">
        <is>
          <t>2024-10</t>
        </is>
      </c>
      <c r="B374" s="5" t="inlineStr">
        <is>
          <t>SKU0201</t>
        </is>
      </c>
      <c r="C374" s="5" t="inlineStr">
        <is>
          <t>アトルバスタチンOD錠「サンド」</t>
        </is>
      </c>
      <c r="D374" s="5" t="inlineStr">
        <is>
          <t>調剤薬局</t>
        </is>
      </c>
      <c r="E374" s="5" t="n">
        <v>14064</v>
      </c>
      <c r="F374" s="5" t="n">
        <v>188721</v>
      </c>
    </row>
    <row r="375">
      <c r="A375" s="4" t="inlineStr">
        <is>
          <t>2024-10</t>
        </is>
      </c>
      <c r="B375" s="4" t="inlineStr">
        <is>
          <t>SKU0201</t>
        </is>
      </c>
      <c r="C375" s="4" t="inlineStr">
        <is>
          <t>アトルバスタチンOD錠「サンド」</t>
        </is>
      </c>
      <c r="D375" s="4" t="inlineStr">
        <is>
          <t>病院</t>
        </is>
      </c>
      <c r="E375" s="4" t="n">
        <v>7641</v>
      </c>
      <c r="F375" s="4" t="n">
        <v>102530</v>
      </c>
    </row>
    <row r="376">
      <c r="A376" s="5" t="inlineStr">
        <is>
          <t>2024-10</t>
        </is>
      </c>
      <c r="B376" s="5" t="inlineStr">
        <is>
          <t>SKU0201</t>
        </is>
      </c>
      <c r="C376" s="5" t="inlineStr">
        <is>
          <t>アトルバスタチンOD錠「サンド」</t>
        </is>
      </c>
      <c r="D376" s="5" t="inlineStr">
        <is>
          <t>診療所</t>
        </is>
      </c>
      <c r="E376" s="5" t="n">
        <v>3832</v>
      </c>
      <c r="F376" s="5" t="n">
        <v>51416</v>
      </c>
    </row>
    <row r="377">
      <c r="A377" s="4" t="inlineStr">
        <is>
          <t>2024-10</t>
        </is>
      </c>
      <c r="B377" s="4" t="inlineStr">
        <is>
          <t>SKU0202</t>
        </is>
      </c>
      <c r="C377" s="4" t="inlineStr">
        <is>
          <t>アトルバスタチンOD錠「サンド」</t>
        </is>
      </c>
      <c r="D377" s="4" t="inlineStr">
        <is>
          <t>調剤薬局</t>
        </is>
      </c>
      <c r="E377" s="4" t="n">
        <v>12965</v>
      </c>
      <c r="F377" s="4" t="n">
        <v>300170</v>
      </c>
    </row>
    <row r="378">
      <c r="A378" s="5" t="inlineStr">
        <is>
          <t>2024-10</t>
        </is>
      </c>
      <c r="B378" s="5" t="inlineStr">
        <is>
          <t>SKU0202</t>
        </is>
      </c>
      <c r="C378" s="5" t="inlineStr">
        <is>
          <t>アトルバスタチンOD錠「サンド」</t>
        </is>
      </c>
      <c r="D378" s="5" t="inlineStr">
        <is>
          <t>病院</t>
        </is>
      </c>
      <c r="E378" s="5" t="n">
        <v>7045</v>
      </c>
      <c r="F378" s="5" t="n">
        <v>163116</v>
      </c>
    </row>
    <row r="379">
      <c r="A379" s="4" t="inlineStr">
        <is>
          <t>2024-10</t>
        </is>
      </c>
      <c r="B379" s="4" t="inlineStr">
        <is>
          <t>SKU0202</t>
        </is>
      </c>
      <c r="C379" s="4" t="inlineStr">
        <is>
          <t>アトルバスタチンOD錠「サンド」</t>
        </is>
      </c>
      <c r="D379" s="4" t="inlineStr">
        <is>
          <t>診療所</t>
        </is>
      </c>
      <c r="E379" s="4" t="n">
        <v>3661</v>
      </c>
      <c r="F379" s="4" t="n">
        <v>84761</v>
      </c>
    </row>
    <row r="380">
      <c r="A380" s="5" t="inlineStr">
        <is>
          <t>2024-11</t>
        </is>
      </c>
      <c r="B380" s="5" t="inlineStr">
        <is>
          <t>SKU0201</t>
        </is>
      </c>
      <c r="C380" s="5" t="inlineStr">
        <is>
          <t>アトルバスタチンOD錠「サンド」</t>
        </is>
      </c>
      <c r="D380" s="5" t="inlineStr">
        <is>
          <t>調剤薬局</t>
        </is>
      </c>
      <c r="E380" s="5" t="n">
        <v>13083</v>
      </c>
      <c r="F380" s="5" t="n">
        <v>175554</v>
      </c>
    </row>
    <row r="381">
      <c r="A381" s="4" t="inlineStr">
        <is>
          <t>2024-11</t>
        </is>
      </c>
      <c r="B381" s="4" t="inlineStr">
        <is>
          <t>SKU0201</t>
        </is>
      </c>
      <c r="C381" s="4" t="inlineStr">
        <is>
          <t>アトルバスタチンOD錠「サンド」</t>
        </is>
      </c>
      <c r="D381" s="4" t="inlineStr">
        <is>
          <t>病院</t>
        </is>
      </c>
      <c r="E381" s="4" t="n">
        <v>7722</v>
      </c>
      <c r="F381" s="4" t="n">
        <v>103621</v>
      </c>
    </row>
    <row r="382">
      <c r="A382" s="5" t="inlineStr">
        <is>
          <t>2024-11</t>
        </is>
      </c>
      <c r="B382" s="5" t="inlineStr">
        <is>
          <t>SKU0201</t>
        </is>
      </c>
      <c r="C382" s="5" t="inlineStr">
        <is>
          <t>アトルバスタチンOD錠「サンド」</t>
        </is>
      </c>
      <c r="D382" s="5" t="inlineStr">
        <is>
          <t>診療所</t>
        </is>
      </c>
      <c r="E382" s="5" t="n">
        <v>3721</v>
      </c>
      <c r="F382" s="5" t="n">
        <v>49929</v>
      </c>
    </row>
    <row r="383">
      <c r="A383" s="4" t="inlineStr">
        <is>
          <t>2024-11</t>
        </is>
      </c>
      <c r="B383" s="4" t="inlineStr">
        <is>
          <t>SKU0202</t>
        </is>
      </c>
      <c r="C383" s="4" t="inlineStr">
        <is>
          <t>アトルバスタチンOD錠「サンド」</t>
        </is>
      </c>
      <c r="D383" s="4" t="inlineStr">
        <is>
          <t>調剤薬局</t>
        </is>
      </c>
      <c r="E383" s="4" t="n">
        <v>13012</v>
      </c>
      <c r="F383" s="4" t="n">
        <v>301266</v>
      </c>
    </row>
    <row r="384">
      <c r="A384" s="5" t="inlineStr">
        <is>
          <t>2024-11</t>
        </is>
      </c>
      <c r="B384" s="5" t="inlineStr">
        <is>
          <t>SKU0202</t>
        </is>
      </c>
      <c r="C384" s="5" t="inlineStr">
        <is>
          <t>アトルバスタチンOD錠「サンド」</t>
        </is>
      </c>
      <c r="D384" s="5" t="inlineStr">
        <is>
          <t>病院</t>
        </is>
      </c>
      <c r="E384" s="5" t="n">
        <v>6781</v>
      </c>
      <c r="F384" s="5" t="n">
        <v>156996</v>
      </c>
    </row>
    <row r="385">
      <c r="A385" s="4" t="inlineStr">
        <is>
          <t>2024-11</t>
        </is>
      </c>
      <c r="B385" s="4" t="inlineStr">
        <is>
          <t>SKU0202</t>
        </is>
      </c>
      <c r="C385" s="4" t="inlineStr">
        <is>
          <t>アトルバスタチンOD錠「サンド」</t>
        </is>
      </c>
      <c r="D385" s="4" t="inlineStr">
        <is>
          <t>診療所</t>
        </is>
      </c>
      <c r="E385" s="4" t="n">
        <v>3649</v>
      </c>
      <c r="F385" s="4" t="n">
        <v>84483</v>
      </c>
    </row>
    <row r="386">
      <c r="A386" s="5" t="inlineStr">
        <is>
          <t>2024-12</t>
        </is>
      </c>
      <c r="B386" s="5" t="inlineStr">
        <is>
          <t>SKU0201</t>
        </is>
      </c>
      <c r="C386" s="5" t="inlineStr">
        <is>
          <t>アトルバスタチンOD錠「サンド」</t>
        </is>
      </c>
      <c r="D386" s="5" t="inlineStr">
        <is>
          <t>調剤薬局</t>
        </is>
      </c>
      <c r="E386" s="5" t="n">
        <v>13617</v>
      </c>
      <c r="F386" s="5" t="n">
        <v>182731</v>
      </c>
    </row>
    <row r="387">
      <c r="A387" s="4" t="inlineStr">
        <is>
          <t>2024-12</t>
        </is>
      </c>
      <c r="B387" s="4" t="inlineStr">
        <is>
          <t>SKU0201</t>
        </is>
      </c>
      <c r="C387" s="4" t="inlineStr">
        <is>
          <t>アトルバスタチンOD錠「サンド」</t>
        </is>
      </c>
      <c r="D387" s="4" t="inlineStr">
        <is>
          <t>病院</t>
        </is>
      </c>
      <c r="E387" s="4" t="n">
        <v>7366</v>
      </c>
      <c r="F387" s="4" t="n">
        <v>98847</v>
      </c>
    </row>
    <row r="388">
      <c r="A388" s="5" t="inlineStr">
        <is>
          <t>2024-12</t>
        </is>
      </c>
      <c r="B388" s="5" t="inlineStr">
        <is>
          <t>SKU0201</t>
        </is>
      </c>
      <c r="C388" s="5" t="inlineStr">
        <is>
          <t>アトルバスタチンOD錠「サンド」</t>
        </is>
      </c>
      <c r="D388" s="5" t="inlineStr">
        <is>
          <t>診療所</t>
        </is>
      </c>
      <c r="E388" s="5" t="n">
        <v>3417</v>
      </c>
      <c r="F388" s="5" t="n">
        <v>45857</v>
      </c>
    </row>
    <row r="389">
      <c r="A389" s="4" t="inlineStr">
        <is>
          <t>2024-12</t>
        </is>
      </c>
      <c r="B389" s="4" t="inlineStr">
        <is>
          <t>SKU0202</t>
        </is>
      </c>
      <c r="C389" s="4" t="inlineStr">
        <is>
          <t>アトルバスタチンOD錠「サンド」</t>
        </is>
      </c>
      <c r="D389" s="4" t="inlineStr">
        <is>
          <t>調剤薬局</t>
        </is>
      </c>
      <c r="E389" s="4" t="n">
        <v>12733</v>
      </c>
      <c r="F389" s="4" t="n">
        <v>294805</v>
      </c>
    </row>
    <row r="390">
      <c r="A390" s="5" t="inlineStr">
        <is>
          <t>2024-12</t>
        </is>
      </c>
      <c r="B390" s="5" t="inlineStr">
        <is>
          <t>SKU0202</t>
        </is>
      </c>
      <c r="C390" s="5" t="inlineStr">
        <is>
          <t>アトルバスタチンOD錠「サンド」</t>
        </is>
      </c>
      <c r="D390" s="5" t="inlineStr">
        <is>
          <t>病院</t>
        </is>
      </c>
      <c r="E390" s="5" t="n">
        <v>6859</v>
      </c>
      <c r="F390" s="5" t="n">
        <v>158806</v>
      </c>
    </row>
    <row r="391">
      <c r="A391" s="4" t="inlineStr">
        <is>
          <t>2024-12</t>
        </is>
      </c>
      <c r="B391" s="4" t="inlineStr">
        <is>
          <t>SKU0202</t>
        </is>
      </c>
      <c r="C391" s="4" t="inlineStr">
        <is>
          <t>アトルバスタチンOD錠「サンド」</t>
        </is>
      </c>
      <c r="D391" s="4" t="inlineStr">
        <is>
          <t>診療所</t>
        </is>
      </c>
      <c r="E391" s="4" t="n">
        <v>3225</v>
      </c>
      <c r="F391" s="4" t="n">
        <v>74672</v>
      </c>
    </row>
    <row r="392">
      <c r="A392" s="5" t="inlineStr">
        <is>
          <t>2025-01</t>
        </is>
      </c>
      <c r="B392" s="5" t="inlineStr">
        <is>
          <t>SKU0201</t>
        </is>
      </c>
      <c r="C392" s="5" t="inlineStr">
        <is>
          <t>アトルバスタチンOD錠「サンド」</t>
        </is>
      </c>
      <c r="D392" s="5" t="inlineStr">
        <is>
          <t>調剤薬局</t>
        </is>
      </c>
      <c r="E392" s="5" t="n">
        <v>12318</v>
      </c>
      <c r="F392" s="5" t="n">
        <v>165291</v>
      </c>
    </row>
    <row r="393">
      <c r="A393" s="4" t="inlineStr">
        <is>
          <t>2025-01</t>
        </is>
      </c>
      <c r="B393" s="4" t="inlineStr">
        <is>
          <t>SKU0201</t>
        </is>
      </c>
      <c r="C393" s="4" t="inlineStr">
        <is>
          <t>アトルバスタチンOD錠「サンド」</t>
        </is>
      </c>
      <c r="D393" s="4" t="inlineStr">
        <is>
          <t>病院</t>
        </is>
      </c>
      <c r="E393" s="4" t="n">
        <v>6797</v>
      </c>
      <c r="F393" s="4" t="n">
        <v>91211</v>
      </c>
    </row>
    <row r="394">
      <c r="A394" s="5" t="inlineStr">
        <is>
          <t>2025-01</t>
        </is>
      </c>
      <c r="B394" s="5" t="inlineStr">
        <is>
          <t>SKU0201</t>
        </is>
      </c>
      <c r="C394" s="5" t="inlineStr">
        <is>
          <t>アトルバスタチンOD錠「サンド」</t>
        </is>
      </c>
      <c r="D394" s="5" t="inlineStr">
        <is>
          <t>診療所</t>
        </is>
      </c>
      <c r="E394" s="5" t="n">
        <v>3418</v>
      </c>
      <c r="F394" s="5" t="n">
        <v>45865</v>
      </c>
    </row>
    <row r="395">
      <c r="A395" s="4" t="inlineStr">
        <is>
          <t>2025-01</t>
        </is>
      </c>
      <c r="B395" s="4" t="inlineStr">
        <is>
          <t>SKU0202</t>
        </is>
      </c>
      <c r="C395" s="4" t="inlineStr">
        <is>
          <t>アトルバスタチンOD錠「サンド」</t>
        </is>
      </c>
      <c r="D395" s="4" t="inlineStr">
        <is>
          <t>調剤薬局</t>
        </is>
      </c>
      <c r="E395" s="4" t="n">
        <v>11906</v>
      </c>
      <c r="F395" s="4" t="n">
        <v>275660</v>
      </c>
    </row>
    <row r="396">
      <c r="A396" s="5" t="inlineStr">
        <is>
          <t>2025-01</t>
        </is>
      </c>
      <c r="B396" s="5" t="inlineStr">
        <is>
          <t>SKU0202</t>
        </is>
      </c>
      <c r="C396" s="5" t="inlineStr">
        <is>
          <t>アトルバスタチンOD錠「サンド」</t>
        </is>
      </c>
      <c r="D396" s="5" t="inlineStr">
        <is>
          <t>病院</t>
        </is>
      </c>
      <c r="E396" s="5" t="n">
        <v>6516</v>
      </c>
      <c r="F396" s="5" t="n">
        <v>150871</v>
      </c>
    </row>
    <row r="397">
      <c r="A397" s="4" t="inlineStr">
        <is>
          <t>2025-01</t>
        </is>
      </c>
      <c r="B397" s="4" t="inlineStr">
        <is>
          <t>SKU0202</t>
        </is>
      </c>
      <c r="C397" s="4" t="inlineStr">
        <is>
          <t>アトルバスタチンOD錠「サンド」</t>
        </is>
      </c>
      <c r="D397" s="4" t="inlineStr">
        <is>
          <t>診療所</t>
        </is>
      </c>
      <c r="E397" s="4" t="n">
        <v>3373</v>
      </c>
      <c r="F397" s="4" t="n">
        <v>78088</v>
      </c>
    </row>
    <row r="398">
      <c r="A398" s="5" t="inlineStr">
        <is>
          <t>2025-02</t>
        </is>
      </c>
      <c r="B398" s="5" t="inlineStr">
        <is>
          <t>SKU0201</t>
        </is>
      </c>
      <c r="C398" s="5" t="inlineStr">
        <is>
          <t>アトルバスタチンOD錠「サンド」</t>
        </is>
      </c>
      <c r="D398" s="5" t="inlineStr">
        <is>
          <t>調剤薬局</t>
        </is>
      </c>
      <c r="E398" s="5" t="n">
        <v>14465</v>
      </c>
      <c r="F398" s="5" t="n">
        <v>194108</v>
      </c>
    </row>
    <row r="399">
      <c r="A399" s="4" t="inlineStr">
        <is>
          <t>2025-02</t>
        </is>
      </c>
      <c r="B399" s="4" t="inlineStr">
        <is>
          <t>SKU0201</t>
        </is>
      </c>
      <c r="C399" s="4" t="inlineStr">
        <is>
          <t>アトルバスタチンOD錠「サンド」</t>
        </is>
      </c>
      <c r="D399" s="4" t="inlineStr">
        <is>
          <t>病院</t>
        </is>
      </c>
      <c r="E399" s="4" t="n">
        <v>6956</v>
      </c>
      <c r="F399" s="4" t="n">
        <v>93337</v>
      </c>
    </row>
    <row r="400">
      <c r="A400" s="5" t="inlineStr">
        <is>
          <t>2025-02</t>
        </is>
      </c>
      <c r="B400" s="5" t="inlineStr">
        <is>
          <t>SKU0201</t>
        </is>
      </c>
      <c r="C400" s="5" t="inlineStr">
        <is>
          <t>アトルバスタチンOD錠「サンド」</t>
        </is>
      </c>
      <c r="D400" s="5" t="inlineStr">
        <is>
          <t>診療所</t>
        </is>
      </c>
      <c r="E400" s="5" t="n">
        <v>3769</v>
      </c>
      <c r="F400" s="5" t="n">
        <v>50574</v>
      </c>
    </row>
    <row r="401">
      <c r="A401" s="4" t="inlineStr">
        <is>
          <t>2025-02</t>
        </is>
      </c>
      <c r="B401" s="4" t="inlineStr">
        <is>
          <t>SKU0202</t>
        </is>
      </c>
      <c r="C401" s="4" t="inlineStr">
        <is>
          <t>アトルバスタチンOD錠「サンド」</t>
        </is>
      </c>
      <c r="D401" s="4" t="inlineStr">
        <is>
          <t>調剤薬局</t>
        </is>
      </c>
      <c r="E401" s="4" t="n">
        <v>13540</v>
      </c>
      <c r="F401" s="4" t="n">
        <v>313491</v>
      </c>
    </row>
    <row r="402">
      <c r="A402" s="5" t="inlineStr">
        <is>
          <t>2025-02</t>
        </is>
      </c>
      <c r="B402" s="5" t="inlineStr">
        <is>
          <t>SKU0202</t>
        </is>
      </c>
      <c r="C402" s="5" t="inlineStr">
        <is>
          <t>アトルバスタチンOD錠「サンド」</t>
        </is>
      </c>
      <c r="D402" s="5" t="inlineStr">
        <is>
          <t>病院</t>
        </is>
      </c>
      <c r="E402" s="5" t="n">
        <v>7032</v>
      </c>
      <c r="F402" s="5" t="n">
        <v>162811</v>
      </c>
    </row>
    <row r="403">
      <c r="A403" s="4" t="inlineStr">
        <is>
          <t>2025-02</t>
        </is>
      </c>
      <c r="B403" s="4" t="inlineStr">
        <is>
          <t>SKU0202</t>
        </is>
      </c>
      <c r="C403" s="4" t="inlineStr">
        <is>
          <t>アトルバスタチンOD錠「サンド」</t>
        </is>
      </c>
      <c r="D403" s="4" t="inlineStr">
        <is>
          <t>診療所</t>
        </is>
      </c>
      <c r="E403" s="4" t="n">
        <v>3722</v>
      </c>
      <c r="F403" s="4" t="n">
        <v>86165</v>
      </c>
    </row>
    <row r="404">
      <c r="A404" s="5" t="inlineStr">
        <is>
          <t>2025-03</t>
        </is>
      </c>
      <c r="B404" s="5" t="inlineStr">
        <is>
          <t>SKU0201</t>
        </is>
      </c>
      <c r="C404" s="5" t="inlineStr">
        <is>
          <t>アトルバスタチンOD錠「サンド」</t>
        </is>
      </c>
      <c r="D404" s="5" t="inlineStr">
        <is>
          <t>調剤薬局</t>
        </is>
      </c>
      <c r="E404" s="5" t="n">
        <v>15485</v>
      </c>
      <c r="F404" s="5" t="n">
        <v>207788</v>
      </c>
    </row>
    <row r="405">
      <c r="A405" s="4" t="inlineStr">
        <is>
          <t>2025-03</t>
        </is>
      </c>
      <c r="B405" s="4" t="inlineStr">
        <is>
          <t>SKU0201</t>
        </is>
      </c>
      <c r="C405" s="4" t="inlineStr">
        <is>
          <t>アトルバスタチンOD錠「サンド」</t>
        </is>
      </c>
      <c r="D405" s="4" t="inlineStr">
        <is>
          <t>病院</t>
        </is>
      </c>
      <c r="E405" s="4" t="n">
        <v>7876</v>
      </c>
      <c r="F405" s="4" t="n">
        <v>105685</v>
      </c>
    </row>
    <row r="406">
      <c r="A406" s="5" t="inlineStr">
        <is>
          <t>2025-03</t>
        </is>
      </c>
      <c r="B406" s="5" t="inlineStr">
        <is>
          <t>SKU0201</t>
        </is>
      </c>
      <c r="C406" s="5" t="inlineStr">
        <is>
          <t>アトルバスタチンOD錠「サンド」</t>
        </is>
      </c>
      <c r="D406" s="5" t="inlineStr">
        <is>
          <t>診療所</t>
        </is>
      </c>
      <c r="E406" s="5" t="n">
        <v>4112</v>
      </c>
      <c r="F406" s="5" t="n">
        <v>55174</v>
      </c>
    </row>
    <row r="407">
      <c r="A407" s="4" t="inlineStr">
        <is>
          <t>2025-03</t>
        </is>
      </c>
      <c r="B407" s="4" t="inlineStr">
        <is>
          <t>SKU0202</t>
        </is>
      </c>
      <c r="C407" s="4" t="inlineStr">
        <is>
          <t>アトルバスタチンOD錠「サンド」</t>
        </is>
      </c>
      <c r="D407" s="4" t="inlineStr">
        <is>
          <t>調剤薬局</t>
        </is>
      </c>
      <c r="E407" s="4" t="n">
        <v>14371</v>
      </c>
      <c r="F407" s="4" t="n">
        <v>332723</v>
      </c>
    </row>
    <row r="408">
      <c r="A408" s="5" t="inlineStr">
        <is>
          <t>2025-03</t>
        </is>
      </c>
      <c r="B408" s="5" t="inlineStr">
        <is>
          <t>SKU0202</t>
        </is>
      </c>
      <c r="C408" s="5" t="inlineStr">
        <is>
          <t>アトルバスタチンOD錠「サンド」</t>
        </is>
      </c>
      <c r="D408" s="5" t="inlineStr">
        <is>
          <t>病院</t>
        </is>
      </c>
      <c r="E408" s="5" t="n">
        <v>7898</v>
      </c>
      <c r="F408" s="5" t="n">
        <v>182851</v>
      </c>
    </row>
    <row r="409">
      <c r="A409" s="4" t="inlineStr">
        <is>
          <t>2025-03</t>
        </is>
      </c>
      <c r="B409" s="4" t="inlineStr">
        <is>
          <t>SKU0202</t>
        </is>
      </c>
      <c r="C409" s="4" t="inlineStr">
        <is>
          <t>アトルバスタチンOD錠「サンド」</t>
        </is>
      </c>
      <c r="D409" s="4" t="inlineStr">
        <is>
          <t>診療所</t>
        </is>
      </c>
      <c r="E409" s="4" t="n">
        <v>4209</v>
      </c>
      <c r="F409" s="4" t="n">
        <v>97442</v>
      </c>
    </row>
    <row r="410">
      <c r="A410" s="5" t="inlineStr">
        <is>
          <t>2025-04</t>
        </is>
      </c>
      <c r="B410" s="5" t="inlineStr">
        <is>
          <t>SKU0201</t>
        </is>
      </c>
      <c r="C410" s="5" t="inlineStr">
        <is>
          <t>アトルバスタチンOD錠「サンド」</t>
        </is>
      </c>
      <c r="D410" s="5" t="inlineStr">
        <is>
          <t>調剤薬局</t>
        </is>
      </c>
      <c r="E410" s="5" t="n">
        <v>10604</v>
      </c>
      <c r="F410" s="5" t="n">
        <v>138023</v>
      </c>
    </row>
    <row r="411">
      <c r="A411" s="4" t="inlineStr">
        <is>
          <t>2025-04</t>
        </is>
      </c>
      <c r="B411" s="4" t="inlineStr">
        <is>
          <t>SKU0201</t>
        </is>
      </c>
      <c r="C411" s="4" t="inlineStr">
        <is>
          <t>アトルバスタチンOD錠「サンド」</t>
        </is>
      </c>
      <c r="D411" s="4" t="inlineStr">
        <is>
          <t>病院</t>
        </is>
      </c>
      <c r="E411" s="4" t="n">
        <v>5961</v>
      </c>
      <c r="F411" s="4" t="n">
        <v>77592</v>
      </c>
    </row>
    <row r="412">
      <c r="A412" s="5" t="inlineStr">
        <is>
          <t>2025-04</t>
        </is>
      </c>
      <c r="B412" s="5" t="inlineStr">
        <is>
          <t>SKU0201</t>
        </is>
      </c>
      <c r="C412" s="5" t="inlineStr">
        <is>
          <t>アトルバスタチンOD錠「サンド」</t>
        </is>
      </c>
      <c r="D412" s="5" t="inlineStr">
        <is>
          <t>診療所</t>
        </is>
      </c>
      <c r="E412" s="5" t="n">
        <v>2775</v>
      </c>
      <c r="F412" s="5" t="n">
        <v>36117</v>
      </c>
    </row>
    <row r="413">
      <c r="A413" s="4" t="inlineStr">
        <is>
          <t>2025-04</t>
        </is>
      </c>
      <c r="B413" s="4" t="inlineStr">
        <is>
          <t>SKU0202</t>
        </is>
      </c>
      <c r="C413" s="4" t="inlineStr">
        <is>
          <t>アトルバスタチンOD錠「サンド」</t>
        </is>
      </c>
      <c r="D413" s="4" t="inlineStr">
        <is>
          <t>調剤薬局</t>
        </is>
      </c>
      <c r="E413" s="4" t="n">
        <v>11439</v>
      </c>
      <c r="F413" s="4" t="n">
        <v>256885</v>
      </c>
    </row>
    <row r="414">
      <c r="A414" s="5" t="inlineStr">
        <is>
          <t>2025-04</t>
        </is>
      </c>
      <c r="B414" s="5" t="inlineStr">
        <is>
          <t>SKU0202</t>
        </is>
      </c>
      <c r="C414" s="5" t="inlineStr">
        <is>
          <t>アトルバスタチンOD錠「サンド」</t>
        </is>
      </c>
      <c r="D414" s="5" t="inlineStr">
        <is>
          <t>病院</t>
        </is>
      </c>
      <c r="E414" s="5" t="n">
        <v>6016</v>
      </c>
      <c r="F414" s="5" t="n">
        <v>135104</v>
      </c>
    </row>
    <row r="415">
      <c r="A415" s="4" t="inlineStr">
        <is>
          <t>2025-04</t>
        </is>
      </c>
      <c r="B415" s="4" t="inlineStr">
        <is>
          <t>SKU0202</t>
        </is>
      </c>
      <c r="C415" s="4" t="inlineStr">
        <is>
          <t>アトルバスタチンOD錠「サンド」</t>
        </is>
      </c>
      <c r="D415" s="4" t="inlineStr">
        <is>
          <t>診療所</t>
        </is>
      </c>
      <c r="E415" s="4" t="n">
        <v>2938</v>
      </c>
      <c r="F415" s="4" t="n">
        <v>65989</v>
      </c>
    </row>
    <row r="416">
      <c r="A416" s="5" t="inlineStr">
        <is>
          <t>2025-05</t>
        </is>
      </c>
      <c r="B416" s="5" t="inlineStr">
        <is>
          <t>SKU0201</t>
        </is>
      </c>
      <c r="C416" s="5" t="inlineStr">
        <is>
          <t>アトルバスタチンOD錠「サンド」</t>
        </is>
      </c>
      <c r="D416" s="5" t="inlineStr">
        <is>
          <t>調剤薬局</t>
        </is>
      </c>
      <c r="E416" s="5" t="n">
        <v>14237</v>
      </c>
      <c r="F416" s="5" t="n">
        <v>185308</v>
      </c>
    </row>
    <row r="417">
      <c r="A417" s="4" t="inlineStr">
        <is>
          <t>2025-05</t>
        </is>
      </c>
      <c r="B417" s="4" t="inlineStr">
        <is>
          <t>SKU0201</t>
        </is>
      </c>
      <c r="C417" s="4" t="inlineStr">
        <is>
          <t>アトルバスタチンOD錠「サンド」</t>
        </is>
      </c>
      <c r="D417" s="4" t="inlineStr">
        <is>
          <t>病院</t>
        </is>
      </c>
      <c r="E417" s="4" t="n">
        <v>7311</v>
      </c>
      <c r="F417" s="4" t="n">
        <v>95159</v>
      </c>
    </row>
    <row r="418">
      <c r="A418" s="5" t="inlineStr">
        <is>
          <t>2025-05</t>
        </is>
      </c>
      <c r="B418" s="5" t="inlineStr">
        <is>
          <t>SKU0201</t>
        </is>
      </c>
      <c r="C418" s="5" t="inlineStr">
        <is>
          <t>アトルバスタチンOD錠「サンド」</t>
        </is>
      </c>
      <c r="D418" s="5" t="inlineStr">
        <is>
          <t>診療所</t>
        </is>
      </c>
      <c r="E418" s="5" t="n">
        <v>3952</v>
      </c>
      <c r="F418" s="5" t="n">
        <v>51443</v>
      </c>
    </row>
    <row r="419">
      <c r="A419" s="4" t="inlineStr">
        <is>
          <t>2025-05</t>
        </is>
      </c>
      <c r="B419" s="4" t="inlineStr">
        <is>
          <t>SKU0202</t>
        </is>
      </c>
      <c r="C419" s="4" t="inlineStr">
        <is>
          <t>アトルバスタチンOD錠「サンド」</t>
        </is>
      </c>
      <c r="D419" s="4" t="inlineStr">
        <is>
          <t>調剤薬局</t>
        </is>
      </c>
      <c r="E419" s="4" t="n">
        <v>14139</v>
      </c>
      <c r="F419" s="4" t="n">
        <v>317529</v>
      </c>
    </row>
    <row r="420">
      <c r="A420" s="5" t="inlineStr">
        <is>
          <t>2025-05</t>
        </is>
      </c>
      <c r="B420" s="5" t="inlineStr">
        <is>
          <t>SKU0202</t>
        </is>
      </c>
      <c r="C420" s="5" t="inlineStr">
        <is>
          <t>アトルバスタチンOD錠「サンド」</t>
        </is>
      </c>
      <c r="D420" s="5" t="inlineStr">
        <is>
          <t>病院</t>
        </is>
      </c>
      <c r="E420" s="5" t="n">
        <v>7740</v>
      </c>
      <c r="F420" s="5" t="n">
        <v>173827</v>
      </c>
    </row>
    <row r="421">
      <c r="A421" s="4" t="inlineStr">
        <is>
          <t>2025-05</t>
        </is>
      </c>
      <c r="B421" s="4" t="inlineStr">
        <is>
          <t>SKU0202</t>
        </is>
      </c>
      <c r="C421" s="4" t="inlineStr">
        <is>
          <t>アトルバスタチンOD錠「サンド」</t>
        </is>
      </c>
      <c r="D421" s="4" t="inlineStr">
        <is>
          <t>診療所</t>
        </is>
      </c>
      <c r="E421" s="4" t="n">
        <v>3836</v>
      </c>
      <c r="F421" s="4" t="n">
        <v>86159</v>
      </c>
    </row>
    <row r="422">
      <c r="A422" s="5" t="inlineStr">
        <is>
          <t>2025-06</t>
        </is>
      </c>
      <c r="B422" s="5" t="inlineStr">
        <is>
          <t>SKU0201</t>
        </is>
      </c>
      <c r="C422" s="5" t="inlineStr">
        <is>
          <t>アトルバスタチンOD錠「サンド」</t>
        </is>
      </c>
      <c r="D422" s="5" t="inlineStr">
        <is>
          <t>調剤薬局</t>
        </is>
      </c>
      <c r="E422" s="5" t="n">
        <v>12330</v>
      </c>
      <c r="F422" s="5" t="n">
        <v>160486</v>
      </c>
    </row>
    <row r="423">
      <c r="A423" s="4" t="inlineStr">
        <is>
          <t>2025-06</t>
        </is>
      </c>
      <c r="B423" s="4" t="inlineStr">
        <is>
          <t>SKU0201</t>
        </is>
      </c>
      <c r="C423" s="4" t="inlineStr">
        <is>
          <t>アトルバスタチンOD錠「サンド」</t>
        </is>
      </c>
      <c r="D423" s="4" t="inlineStr">
        <is>
          <t>病院</t>
        </is>
      </c>
      <c r="E423" s="4" t="n">
        <v>6987</v>
      </c>
      <c r="F423" s="4" t="n">
        <v>90947</v>
      </c>
    </row>
    <row r="424">
      <c r="A424" s="5" t="inlineStr">
        <is>
          <t>2025-06</t>
        </is>
      </c>
      <c r="B424" s="5" t="inlineStr">
        <is>
          <t>SKU0201</t>
        </is>
      </c>
      <c r="C424" s="5" t="inlineStr">
        <is>
          <t>アトルバスタチンOD錠「サンド」</t>
        </is>
      </c>
      <c r="D424" s="5" t="inlineStr">
        <is>
          <t>診療所</t>
        </is>
      </c>
      <c r="E424" s="5" t="n">
        <v>3448</v>
      </c>
      <c r="F424" s="5" t="n">
        <v>44887</v>
      </c>
    </row>
    <row r="425">
      <c r="A425" s="4" t="inlineStr">
        <is>
          <t>2025-06</t>
        </is>
      </c>
      <c r="B425" s="4" t="inlineStr">
        <is>
          <t>SKU0202</t>
        </is>
      </c>
      <c r="C425" s="4" t="inlineStr">
        <is>
          <t>アトルバスタチンOD錠「サンド」</t>
        </is>
      </c>
      <c r="D425" s="4" t="inlineStr">
        <is>
          <t>調剤薬局</t>
        </is>
      </c>
      <c r="E425" s="4" t="n">
        <v>13249</v>
      </c>
      <c r="F425" s="4" t="n">
        <v>297549</v>
      </c>
    </row>
    <row r="426">
      <c r="A426" s="5" t="inlineStr">
        <is>
          <t>2025-06</t>
        </is>
      </c>
      <c r="B426" s="5" t="inlineStr">
        <is>
          <t>SKU0202</t>
        </is>
      </c>
      <c r="C426" s="5" t="inlineStr">
        <is>
          <t>アトルバスタチンOD錠「サンド」</t>
        </is>
      </c>
      <c r="D426" s="5" t="inlineStr">
        <is>
          <t>病院</t>
        </is>
      </c>
      <c r="E426" s="5" t="n">
        <v>7086</v>
      </c>
      <c r="F426" s="5" t="n">
        <v>159145</v>
      </c>
    </row>
    <row r="427">
      <c r="A427" s="4" t="inlineStr">
        <is>
          <t>2025-06</t>
        </is>
      </c>
      <c r="B427" s="4" t="inlineStr">
        <is>
          <t>SKU0202</t>
        </is>
      </c>
      <c r="C427" s="4" t="inlineStr">
        <is>
          <t>アトルバスタチンOD錠「サンド」</t>
        </is>
      </c>
      <c r="D427" s="4" t="inlineStr">
        <is>
          <t>診療所</t>
        </is>
      </c>
      <c r="E427" s="4" t="n">
        <v>3599</v>
      </c>
      <c r="F427" s="4" t="n">
        <v>80819</v>
      </c>
    </row>
    <row r="428">
      <c r="A428" s="5" t="inlineStr">
        <is>
          <t>2025-07</t>
        </is>
      </c>
      <c r="B428" s="5" t="inlineStr">
        <is>
          <t>SKU0201</t>
        </is>
      </c>
      <c r="C428" s="5" t="inlineStr">
        <is>
          <t>アトルバスタチンOD錠「サンド」</t>
        </is>
      </c>
      <c r="D428" s="5" t="inlineStr">
        <is>
          <t>調剤薬局</t>
        </is>
      </c>
      <c r="E428" s="5" t="n">
        <v>12282</v>
      </c>
      <c r="F428" s="5" t="n">
        <v>159866</v>
      </c>
    </row>
    <row r="429">
      <c r="A429" s="4" t="inlineStr">
        <is>
          <t>2025-07</t>
        </is>
      </c>
      <c r="B429" s="4" t="inlineStr">
        <is>
          <t>SKU0201</t>
        </is>
      </c>
      <c r="C429" s="4" t="inlineStr">
        <is>
          <t>アトルバスタチンOD錠「サンド」</t>
        </is>
      </c>
      <c r="D429" s="4" t="inlineStr">
        <is>
          <t>病院</t>
        </is>
      </c>
      <c r="E429" s="4" t="n">
        <v>7238</v>
      </c>
      <c r="F429" s="4" t="n">
        <v>94216</v>
      </c>
    </row>
    <row r="430">
      <c r="A430" s="5" t="inlineStr">
        <is>
          <t>2025-07</t>
        </is>
      </c>
      <c r="B430" s="5" t="inlineStr">
        <is>
          <t>SKU0201</t>
        </is>
      </c>
      <c r="C430" s="5" t="inlineStr">
        <is>
          <t>アトルバスタチンOD錠「サンド」</t>
        </is>
      </c>
      <c r="D430" s="5" t="inlineStr">
        <is>
          <t>診療所</t>
        </is>
      </c>
      <c r="E430" s="5" t="n">
        <v>3233</v>
      </c>
      <c r="F430" s="5" t="n">
        <v>42078</v>
      </c>
    </row>
    <row r="431">
      <c r="A431" s="4" t="inlineStr">
        <is>
          <t>2025-07</t>
        </is>
      </c>
      <c r="B431" s="4" t="inlineStr">
        <is>
          <t>SKU0202</t>
        </is>
      </c>
      <c r="C431" s="4" t="inlineStr">
        <is>
          <t>アトルバスタチンOD錠「サンド」</t>
        </is>
      </c>
      <c r="D431" s="4" t="inlineStr">
        <is>
          <t>調剤薬局</t>
        </is>
      </c>
      <c r="E431" s="4" t="n">
        <v>13571</v>
      </c>
      <c r="F431" s="4" t="n">
        <v>304768</v>
      </c>
    </row>
    <row r="432">
      <c r="A432" s="5" t="inlineStr">
        <is>
          <t>2025-07</t>
        </is>
      </c>
      <c r="B432" s="5" t="inlineStr">
        <is>
          <t>SKU0202</t>
        </is>
      </c>
      <c r="C432" s="5" t="inlineStr">
        <is>
          <t>アトルバスタチンOD錠「サンド」</t>
        </is>
      </c>
      <c r="D432" s="5" t="inlineStr">
        <is>
          <t>病院</t>
        </is>
      </c>
      <c r="E432" s="5" t="n">
        <v>7425</v>
      </c>
      <c r="F432" s="5" t="n">
        <v>166751</v>
      </c>
    </row>
    <row r="433">
      <c r="A433" s="4" t="inlineStr">
        <is>
          <t>2025-07</t>
        </is>
      </c>
      <c r="B433" s="4" t="inlineStr">
        <is>
          <t>SKU0202</t>
        </is>
      </c>
      <c r="C433" s="4" t="inlineStr">
        <is>
          <t>アトルバスタチンOD錠「サンド」</t>
        </is>
      </c>
      <c r="D433" s="4" t="inlineStr">
        <is>
          <t>診療所</t>
        </is>
      </c>
      <c r="E433" s="4" t="n">
        <v>3475</v>
      </c>
      <c r="F433" s="4" t="n">
        <v>78041</v>
      </c>
    </row>
    <row r="434">
      <c r="A434" s="5" t="inlineStr">
        <is>
          <t>2025-08</t>
        </is>
      </c>
      <c r="B434" s="5" t="inlineStr">
        <is>
          <t>SKU0201</t>
        </is>
      </c>
      <c r="C434" s="5" t="inlineStr">
        <is>
          <t>アトルバスタチンOD錠「サンド」</t>
        </is>
      </c>
      <c r="D434" s="5" t="inlineStr">
        <is>
          <t>調剤薬局</t>
        </is>
      </c>
      <c r="E434" s="5" t="n">
        <v>14334</v>
      </c>
      <c r="F434" s="5" t="n">
        <v>186583</v>
      </c>
    </row>
    <row r="435">
      <c r="A435" s="4" t="inlineStr">
        <is>
          <t>2025-08</t>
        </is>
      </c>
      <c r="B435" s="4" t="inlineStr">
        <is>
          <t>SKU0201</t>
        </is>
      </c>
      <c r="C435" s="4" t="inlineStr">
        <is>
          <t>アトルバスタチンOD錠「サンド」</t>
        </is>
      </c>
      <c r="D435" s="4" t="inlineStr">
        <is>
          <t>病院</t>
        </is>
      </c>
      <c r="E435" s="4" t="n">
        <v>7548</v>
      </c>
      <c r="F435" s="4" t="n">
        <v>98242</v>
      </c>
    </row>
    <row r="436">
      <c r="A436" s="5" t="inlineStr">
        <is>
          <t>2025-08</t>
        </is>
      </c>
      <c r="B436" s="5" t="inlineStr">
        <is>
          <t>SKU0201</t>
        </is>
      </c>
      <c r="C436" s="5" t="inlineStr">
        <is>
          <t>アトルバスタチンOD錠「サンド」</t>
        </is>
      </c>
      <c r="D436" s="5" t="inlineStr">
        <is>
          <t>診療所</t>
        </is>
      </c>
      <c r="E436" s="5" t="n">
        <v>3771</v>
      </c>
      <c r="F436" s="5" t="n">
        <v>49086</v>
      </c>
    </row>
    <row r="437">
      <c r="A437" s="4" t="inlineStr">
        <is>
          <t>2025-08</t>
        </is>
      </c>
      <c r="B437" s="4" t="inlineStr">
        <is>
          <t>SKU0202</t>
        </is>
      </c>
      <c r="C437" s="4" t="inlineStr">
        <is>
          <t>アトルバスタチンOD錠「サンド」</t>
        </is>
      </c>
      <c r="D437" s="4" t="inlineStr">
        <is>
          <t>調剤薬局</t>
        </is>
      </c>
      <c r="E437" s="4" t="n">
        <v>14351</v>
      </c>
      <c r="F437" s="4" t="n">
        <v>322284</v>
      </c>
    </row>
    <row r="438">
      <c r="A438" s="5" t="inlineStr">
        <is>
          <t>2025-08</t>
        </is>
      </c>
      <c r="B438" s="5" t="inlineStr">
        <is>
          <t>SKU0202</t>
        </is>
      </c>
      <c r="C438" s="5" t="inlineStr">
        <is>
          <t>アトルバスタチンOD錠「サンド」</t>
        </is>
      </c>
      <c r="D438" s="5" t="inlineStr">
        <is>
          <t>病院</t>
        </is>
      </c>
      <c r="E438" s="5" t="n">
        <v>7770</v>
      </c>
      <c r="F438" s="5" t="n">
        <v>174499</v>
      </c>
    </row>
    <row r="439">
      <c r="A439" s="4" t="inlineStr">
        <is>
          <t>2025-08</t>
        </is>
      </c>
      <c r="B439" s="4" t="inlineStr">
        <is>
          <t>SKU0202</t>
        </is>
      </c>
      <c r="C439" s="4" t="inlineStr">
        <is>
          <t>アトルバスタチンOD錠「サンド」</t>
        </is>
      </c>
      <c r="D439" s="4" t="inlineStr">
        <is>
          <t>診療所</t>
        </is>
      </c>
      <c r="E439" s="4" t="n">
        <v>3886</v>
      </c>
      <c r="F439" s="4" t="n">
        <v>87270</v>
      </c>
    </row>
    <row r="440">
      <c r="A440" s="5" t="inlineStr">
        <is>
          <t>2025-09</t>
        </is>
      </c>
      <c r="B440" s="5" t="inlineStr">
        <is>
          <t>SKU0201</t>
        </is>
      </c>
      <c r="C440" s="5" t="inlineStr">
        <is>
          <t>アトルバスタチンOD錠「サンド」</t>
        </is>
      </c>
      <c r="D440" s="5" t="inlineStr">
        <is>
          <t>調剤薬局</t>
        </is>
      </c>
      <c r="E440" s="5" t="n">
        <v>12900</v>
      </c>
      <c r="F440" s="5" t="n">
        <v>167915</v>
      </c>
    </row>
    <row r="441">
      <c r="A441" s="4" t="inlineStr">
        <is>
          <t>2025-09</t>
        </is>
      </c>
      <c r="B441" s="4" t="inlineStr">
        <is>
          <t>SKU0201</t>
        </is>
      </c>
      <c r="C441" s="4" t="inlineStr">
        <is>
          <t>アトルバスタチンOD錠「サンド」</t>
        </is>
      </c>
      <c r="D441" s="4" t="inlineStr">
        <is>
          <t>病院</t>
        </is>
      </c>
      <c r="E441" s="4" t="n">
        <v>7247</v>
      </c>
      <c r="F441" s="4" t="n">
        <v>94335</v>
      </c>
    </row>
    <row r="442">
      <c r="A442" s="5" t="inlineStr">
        <is>
          <t>2025-09</t>
        </is>
      </c>
      <c r="B442" s="5" t="inlineStr">
        <is>
          <t>SKU0201</t>
        </is>
      </c>
      <c r="C442" s="5" t="inlineStr">
        <is>
          <t>アトルバスタチンOD錠「サンド」</t>
        </is>
      </c>
      <c r="D442" s="5" t="inlineStr">
        <is>
          <t>診療所</t>
        </is>
      </c>
      <c r="E442" s="5" t="n">
        <v>3496</v>
      </c>
      <c r="F442" s="5" t="n">
        <v>45511</v>
      </c>
    </row>
    <row r="443">
      <c r="A443" s="4" t="inlineStr">
        <is>
          <t>2025-09</t>
        </is>
      </c>
      <c r="B443" s="4" t="inlineStr">
        <is>
          <t>SKU0202</t>
        </is>
      </c>
      <c r="C443" s="4" t="inlineStr">
        <is>
          <t>アトルバスタチンOD錠「サンド」</t>
        </is>
      </c>
      <c r="D443" s="4" t="inlineStr">
        <is>
          <t>調剤薬局</t>
        </is>
      </c>
      <c r="E443" s="4" t="n">
        <v>13436</v>
      </c>
      <c r="F443" s="4" t="n">
        <v>301738</v>
      </c>
    </row>
    <row r="444">
      <c r="A444" s="5" t="inlineStr">
        <is>
          <t>2025-09</t>
        </is>
      </c>
      <c r="B444" s="5" t="inlineStr">
        <is>
          <t>SKU0202</t>
        </is>
      </c>
      <c r="C444" s="5" t="inlineStr">
        <is>
          <t>アトルバスタチンOD錠「サンド」</t>
        </is>
      </c>
      <c r="D444" s="5" t="inlineStr">
        <is>
          <t>病院</t>
        </is>
      </c>
      <c r="E444" s="5" t="n">
        <v>7721</v>
      </c>
      <c r="F444" s="5" t="n">
        <v>173396</v>
      </c>
    </row>
    <row r="445">
      <c r="A445" s="4" t="inlineStr">
        <is>
          <t>2025-09</t>
        </is>
      </c>
      <c r="B445" s="4" t="inlineStr">
        <is>
          <t>SKU0202</t>
        </is>
      </c>
      <c r="C445" s="4" t="inlineStr">
        <is>
          <t>アトルバスタチンOD錠「サンド」</t>
        </is>
      </c>
      <c r="D445" s="4" t="inlineStr">
        <is>
          <t>診療所</t>
        </is>
      </c>
      <c r="E445" s="4" t="n">
        <v>3871</v>
      </c>
      <c r="F445" s="4" t="n">
        <v>86943</v>
      </c>
    </row>
    <row r="446">
      <c r="A446" s="5" t="inlineStr">
        <is>
          <t>2025-10</t>
        </is>
      </c>
      <c r="B446" s="5" t="inlineStr">
        <is>
          <t>SKU0201</t>
        </is>
      </c>
      <c r="C446" s="5" t="inlineStr">
        <is>
          <t>アトルバスタチンOD錠「サンド」</t>
        </is>
      </c>
      <c r="D446" s="5" t="inlineStr">
        <is>
          <t>調剤薬局</t>
        </is>
      </c>
      <c r="E446" s="5" t="n">
        <v>13711</v>
      </c>
      <c r="F446" s="5" t="n">
        <v>178474</v>
      </c>
    </row>
    <row r="447">
      <c r="A447" s="4" t="inlineStr">
        <is>
          <t>2025-10</t>
        </is>
      </c>
      <c r="B447" s="4" t="inlineStr">
        <is>
          <t>SKU0201</t>
        </is>
      </c>
      <c r="C447" s="4" t="inlineStr">
        <is>
          <t>アトルバスタチンOD錠「サンド」</t>
        </is>
      </c>
      <c r="D447" s="4" t="inlineStr">
        <is>
          <t>病院</t>
        </is>
      </c>
      <c r="E447" s="4" t="n">
        <v>7499</v>
      </c>
      <c r="F447" s="4" t="n">
        <v>97610</v>
      </c>
    </row>
    <row r="448">
      <c r="A448" s="5" t="inlineStr">
        <is>
          <t>2025-10</t>
        </is>
      </c>
      <c r="B448" s="5" t="inlineStr">
        <is>
          <t>SKU0201</t>
        </is>
      </c>
      <c r="C448" s="5" t="inlineStr">
        <is>
          <t>アトルバスタチンOD錠「サンド」</t>
        </is>
      </c>
      <c r="D448" s="5" t="inlineStr">
        <is>
          <t>診療所</t>
        </is>
      </c>
      <c r="E448" s="5" t="n">
        <v>3638</v>
      </c>
      <c r="F448" s="5" t="n">
        <v>47349</v>
      </c>
    </row>
    <row r="449">
      <c r="A449" s="4" t="inlineStr">
        <is>
          <t>2025-10</t>
        </is>
      </c>
      <c r="B449" s="4" t="inlineStr">
        <is>
          <t>SKU0202</t>
        </is>
      </c>
      <c r="C449" s="4" t="inlineStr">
        <is>
          <t>アトルバスタチンOD錠「サンド」</t>
        </is>
      </c>
      <c r="D449" s="4" t="inlineStr">
        <is>
          <t>調剤薬局</t>
        </is>
      </c>
      <c r="E449" s="4" t="n">
        <v>14376</v>
      </c>
      <c r="F449" s="4" t="n">
        <v>322864</v>
      </c>
    </row>
    <row r="450">
      <c r="A450" s="5" t="inlineStr">
        <is>
          <t>2025-10</t>
        </is>
      </c>
      <c r="B450" s="5" t="inlineStr">
        <is>
          <t>SKU0202</t>
        </is>
      </c>
      <c r="C450" s="5" t="inlineStr">
        <is>
          <t>アトルバスタチンOD錠「サンド」</t>
        </is>
      </c>
      <c r="D450" s="5" t="inlineStr">
        <is>
          <t>病院</t>
        </is>
      </c>
      <c r="E450" s="5" t="n">
        <v>7856</v>
      </c>
      <c r="F450" s="5" t="n">
        <v>176438</v>
      </c>
    </row>
    <row r="451">
      <c r="A451" s="4" t="inlineStr">
        <is>
          <t>2025-10</t>
        </is>
      </c>
      <c r="B451" s="4" t="inlineStr">
        <is>
          <t>SKU0202</t>
        </is>
      </c>
      <c r="C451" s="4" t="inlineStr">
        <is>
          <t>アトルバスタチンOD錠「サンド」</t>
        </is>
      </c>
      <c r="D451" s="4" t="inlineStr">
        <is>
          <t>診療所</t>
        </is>
      </c>
      <c r="E451" s="4" t="n">
        <v>3835</v>
      </c>
      <c r="F451" s="4" t="n">
        <v>86134</v>
      </c>
    </row>
    <row r="452">
      <c r="A452" s="5" t="inlineStr">
        <is>
          <t>2025-11</t>
        </is>
      </c>
      <c r="B452" s="5" t="inlineStr">
        <is>
          <t>SKU0201</t>
        </is>
      </c>
      <c r="C452" s="5" t="inlineStr">
        <is>
          <t>アトルバスタチンOD錠「サンド」</t>
        </is>
      </c>
      <c r="D452" s="5" t="inlineStr">
        <is>
          <t>調剤薬局</t>
        </is>
      </c>
      <c r="E452" s="5" t="n">
        <v>14543</v>
      </c>
      <c r="F452" s="5" t="n">
        <v>189303</v>
      </c>
    </row>
    <row r="453">
      <c r="A453" s="4" t="inlineStr">
        <is>
          <t>2025-11</t>
        </is>
      </c>
      <c r="B453" s="4" t="inlineStr">
        <is>
          <t>SKU0201</t>
        </is>
      </c>
      <c r="C453" s="4" t="inlineStr">
        <is>
          <t>アトルバスタチンOD錠「サンド」</t>
        </is>
      </c>
      <c r="D453" s="4" t="inlineStr">
        <is>
          <t>病院</t>
        </is>
      </c>
      <c r="E453" s="4" t="n">
        <v>7857</v>
      </c>
      <c r="F453" s="4" t="n">
        <v>102271</v>
      </c>
    </row>
    <row r="454">
      <c r="A454" s="5" t="inlineStr">
        <is>
          <t>2025-11</t>
        </is>
      </c>
      <c r="B454" s="5" t="inlineStr">
        <is>
          <t>SKU0201</t>
        </is>
      </c>
      <c r="C454" s="5" t="inlineStr">
        <is>
          <t>アトルバスタチンOD錠「サンド」</t>
        </is>
      </c>
      <c r="D454" s="5" t="inlineStr">
        <is>
          <t>診療所</t>
        </is>
      </c>
      <c r="E454" s="5" t="n">
        <v>3886</v>
      </c>
      <c r="F454" s="5" t="n">
        <v>50587</v>
      </c>
    </row>
    <row r="455">
      <c r="A455" s="4" t="inlineStr">
        <is>
          <t>2025-11</t>
        </is>
      </c>
      <c r="B455" s="4" t="inlineStr">
        <is>
          <t>SKU0202</t>
        </is>
      </c>
      <c r="C455" s="4" t="inlineStr">
        <is>
          <t>アトルバスタチンOD錠「サンド」</t>
        </is>
      </c>
      <c r="D455" s="4" t="inlineStr">
        <is>
          <t>調剤薬局</t>
        </is>
      </c>
      <c r="E455" s="4" t="n">
        <v>14692</v>
      </c>
      <c r="F455" s="4" t="n">
        <v>329955</v>
      </c>
    </row>
    <row r="456">
      <c r="A456" s="5" t="inlineStr">
        <is>
          <t>2025-11</t>
        </is>
      </c>
      <c r="B456" s="5" t="inlineStr">
        <is>
          <t>SKU0202</t>
        </is>
      </c>
      <c r="C456" s="5" t="inlineStr">
        <is>
          <t>アトルバスタチンOD錠「サンド」</t>
        </is>
      </c>
      <c r="D456" s="5" t="inlineStr">
        <is>
          <t>病院</t>
        </is>
      </c>
      <c r="E456" s="5" t="n">
        <v>8465</v>
      </c>
      <c r="F456" s="5" t="n">
        <v>190097</v>
      </c>
    </row>
    <row r="457">
      <c r="A457" s="4" t="inlineStr">
        <is>
          <t>2025-11</t>
        </is>
      </c>
      <c r="B457" s="4" t="inlineStr">
        <is>
          <t>SKU0202</t>
        </is>
      </c>
      <c r="C457" s="4" t="inlineStr">
        <is>
          <t>アトルバスタチンOD錠「サンド」</t>
        </is>
      </c>
      <c r="D457" s="4" t="inlineStr">
        <is>
          <t>診療所</t>
        </is>
      </c>
      <c r="E457" s="4" t="n">
        <v>4545</v>
      </c>
      <c r="F457" s="4" t="n">
        <v>102064</v>
      </c>
    </row>
    <row r="458">
      <c r="A458" s="5" t="inlineStr">
        <is>
          <t>2025-12</t>
        </is>
      </c>
      <c r="B458" s="5" t="inlineStr">
        <is>
          <t>SKU0201</t>
        </is>
      </c>
      <c r="C458" s="5" t="inlineStr">
        <is>
          <t>アトルバスタチンOD錠「サンド」</t>
        </is>
      </c>
      <c r="D458" s="5" t="inlineStr">
        <is>
          <t>調剤薬局</t>
        </is>
      </c>
      <c r="E458" s="5" t="n">
        <v>12998</v>
      </c>
      <c r="F458" s="5" t="n">
        <v>169191</v>
      </c>
    </row>
    <row r="459">
      <c r="A459" s="4" t="inlineStr">
        <is>
          <t>2025-12</t>
        </is>
      </c>
      <c r="B459" s="4" t="inlineStr">
        <is>
          <t>SKU0201</t>
        </is>
      </c>
      <c r="C459" s="4" t="inlineStr">
        <is>
          <t>アトルバスタチンOD錠「サンド」</t>
        </is>
      </c>
      <c r="D459" s="4" t="inlineStr">
        <is>
          <t>病院</t>
        </is>
      </c>
      <c r="E459" s="4" t="n">
        <v>7312</v>
      </c>
      <c r="F459" s="4" t="n">
        <v>95182</v>
      </c>
    </row>
    <row r="460">
      <c r="A460" s="5" t="inlineStr">
        <is>
          <t>2025-12</t>
        </is>
      </c>
      <c r="B460" s="5" t="inlineStr">
        <is>
          <t>SKU0201</t>
        </is>
      </c>
      <c r="C460" s="5" t="inlineStr">
        <is>
          <t>アトルバスタチンOD錠「サンド」</t>
        </is>
      </c>
      <c r="D460" s="5" t="inlineStr">
        <is>
          <t>診療所</t>
        </is>
      </c>
      <c r="E460" s="5" t="n">
        <v>3466</v>
      </c>
      <c r="F460" s="5" t="n">
        <v>45117</v>
      </c>
    </row>
    <row r="461">
      <c r="A461" s="4" t="inlineStr">
        <is>
          <t>2025-12</t>
        </is>
      </c>
      <c r="B461" s="4" t="inlineStr">
        <is>
          <t>SKU0202</t>
        </is>
      </c>
      <c r="C461" s="4" t="inlineStr">
        <is>
          <t>アトルバスタチンOD錠「サンド」</t>
        </is>
      </c>
      <c r="D461" s="4" t="inlineStr">
        <is>
          <t>調剤薬局</t>
        </is>
      </c>
      <c r="E461" s="4" t="n">
        <v>15680</v>
      </c>
      <c r="F461" s="4" t="n">
        <v>352136</v>
      </c>
    </row>
    <row r="462">
      <c r="A462" s="5" t="inlineStr">
        <is>
          <t>2025-12</t>
        </is>
      </c>
      <c r="B462" s="5" t="inlineStr">
        <is>
          <t>SKU0202</t>
        </is>
      </c>
      <c r="C462" s="5" t="inlineStr">
        <is>
          <t>アトルバスタチンOD錠「サンド」</t>
        </is>
      </c>
      <c r="D462" s="5" t="inlineStr">
        <is>
          <t>病院</t>
        </is>
      </c>
      <c r="E462" s="5" t="n">
        <v>8163</v>
      </c>
      <c r="F462" s="5" t="n">
        <v>183332</v>
      </c>
    </row>
    <row r="463">
      <c r="A463" s="4" t="inlineStr">
        <is>
          <t>2025-12</t>
        </is>
      </c>
      <c r="B463" s="4" t="inlineStr">
        <is>
          <t>SKU0202</t>
        </is>
      </c>
      <c r="C463" s="4" t="inlineStr">
        <is>
          <t>アトルバスタチンOD錠「サンド」</t>
        </is>
      </c>
      <c r="D463" s="4" t="inlineStr">
        <is>
          <t>診療所</t>
        </is>
      </c>
      <c r="E463" s="4" t="n">
        <v>4135</v>
      </c>
      <c r="F463" s="4" t="n">
        <v>92865</v>
      </c>
    </row>
    <row r="464">
      <c r="A464" s="5" t="inlineStr">
        <is>
          <t>2026-01</t>
        </is>
      </c>
      <c r="B464" s="5" t="inlineStr">
        <is>
          <t>SKU0201</t>
        </is>
      </c>
      <c r="C464" s="5" t="inlineStr">
        <is>
          <t>アトルバスタチンOD錠「サンド」</t>
        </is>
      </c>
      <c r="D464" s="5" t="inlineStr">
        <is>
          <t>調剤薬局</t>
        </is>
      </c>
      <c r="E464" s="5" t="n">
        <v>12077</v>
      </c>
      <c r="F464" s="5" t="n">
        <v>157206</v>
      </c>
    </row>
    <row r="465">
      <c r="A465" s="4" t="inlineStr">
        <is>
          <t>2026-01</t>
        </is>
      </c>
      <c r="B465" s="4" t="inlineStr">
        <is>
          <t>SKU0201</t>
        </is>
      </c>
      <c r="C465" s="4" t="inlineStr">
        <is>
          <t>アトルバスタチンOD錠「サンド」</t>
        </is>
      </c>
      <c r="D465" s="4" t="inlineStr">
        <is>
          <t>病院</t>
        </is>
      </c>
      <c r="E465" s="4" t="n">
        <v>6438</v>
      </c>
      <c r="F465" s="4" t="n">
        <v>83802</v>
      </c>
    </row>
    <row r="466">
      <c r="A466" s="5" t="inlineStr">
        <is>
          <t>2026-01</t>
        </is>
      </c>
      <c r="B466" s="5" t="inlineStr">
        <is>
          <t>SKU0201</t>
        </is>
      </c>
      <c r="C466" s="5" t="inlineStr">
        <is>
          <t>アトルバスタチンOD錠「サンド」</t>
        </is>
      </c>
      <c r="D466" s="5" t="inlineStr">
        <is>
          <t>診療所</t>
        </is>
      </c>
      <c r="E466" s="5" t="n">
        <v>3051</v>
      </c>
      <c r="F466" s="5" t="n">
        <v>39709</v>
      </c>
    </row>
    <row r="467">
      <c r="A467" s="4" t="inlineStr">
        <is>
          <t>2026-01</t>
        </is>
      </c>
      <c r="B467" s="4" t="inlineStr">
        <is>
          <t>SKU0202</t>
        </is>
      </c>
      <c r="C467" s="4" t="inlineStr">
        <is>
          <t>アトルバスタチンOD錠「サンド」</t>
        </is>
      </c>
      <c r="D467" s="4" t="inlineStr">
        <is>
          <t>調剤薬局</t>
        </is>
      </c>
      <c r="E467" s="4" t="n">
        <v>12758</v>
      </c>
      <c r="F467" s="4" t="n">
        <v>286521</v>
      </c>
    </row>
    <row r="468">
      <c r="A468" s="5" t="inlineStr">
        <is>
          <t>2026-01</t>
        </is>
      </c>
      <c r="B468" s="5" t="inlineStr">
        <is>
          <t>SKU0202</t>
        </is>
      </c>
      <c r="C468" s="5" t="inlineStr">
        <is>
          <t>アトルバスタチンOD錠「サンド」</t>
        </is>
      </c>
      <c r="D468" s="5" t="inlineStr">
        <is>
          <t>病院</t>
        </is>
      </c>
      <c r="E468" s="5" t="n">
        <v>7016</v>
      </c>
      <c r="F468" s="5" t="n">
        <v>157562</v>
      </c>
    </row>
    <row r="469">
      <c r="A469" s="4" t="inlineStr">
        <is>
          <t>2026-01</t>
        </is>
      </c>
      <c r="B469" s="4" t="inlineStr">
        <is>
          <t>SKU0202</t>
        </is>
      </c>
      <c r="C469" s="4" t="inlineStr">
        <is>
          <t>アトルバスタチンOD錠「サンド」</t>
        </is>
      </c>
      <c r="D469" s="4" t="inlineStr">
        <is>
          <t>診療所</t>
        </is>
      </c>
      <c r="E469" s="4" t="n">
        <v>3597</v>
      </c>
      <c r="F469" s="4" t="n">
        <v>80775</v>
      </c>
    </row>
    <row r="470">
      <c r="A470" s="5" t="inlineStr">
        <is>
          <t>2026-02</t>
        </is>
      </c>
      <c r="B470" s="5" t="inlineStr">
        <is>
          <t>SKU0201</t>
        </is>
      </c>
      <c r="C470" s="5" t="inlineStr">
        <is>
          <t>アトルバスタチンOD錠「サンド」</t>
        </is>
      </c>
      <c r="D470" s="5" t="inlineStr">
        <is>
          <t>調剤薬局</t>
        </is>
      </c>
      <c r="E470" s="5" t="n">
        <v>13117</v>
      </c>
      <c r="F470" s="5" t="n">
        <v>170738</v>
      </c>
    </row>
    <row r="471">
      <c r="A471" s="4" t="inlineStr">
        <is>
          <t>2026-02</t>
        </is>
      </c>
      <c r="B471" s="4" t="inlineStr">
        <is>
          <t>SKU0201</t>
        </is>
      </c>
      <c r="C471" s="4" t="inlineStr">
        <is>
          <t>アトルバスタチンOD錠「サンド」</t>
        </is>
      </c>
      <c r="D471" s="4" t="inlineStr">
        <is>
          <t>病院</t>
        </is>
      </c>
      <c r="E471" s="4" t="n">
        <v>7092</v>
      </c>
      <c r="F471" s="4" t="n">
        <v>92317</v>
      </c>
    </row>
    <row r="472">
      <c r="A472" s="5" t="inlineStr">
        <is>
          <t>2026-02</t>
        </is>
      </c>
      <c r="B472" s="5" t="inlineStr">
        <is>
          <t>SKU0201</t>
        </is>
      </c>
      <c r="C472" s="5" t="inlineStr">
        <is>
          <t>アトルバスタチンOD錠「サンド」</t>
        </is>
      </c>
      <c r="D472" s="5" t="inlineStr">
        <is>
          <t>診療所</t>
        </is>
      </c>
      <c r="E472" s="5" t="n">
        <v>3747</v>
      </c>
      <c r="F472" s="5" t="n">
        <v>48768</v>
      </c>
    </row>
    <row r="473">
      <c r="A473" s="4" t="inlineStr">
        <is>
          <t>2026-02</t>
        </is>
      </c>
      <c r="B473" s="4" t="inlineStr">
        <is>
          <t>SKU0202</t>
        </is>
      </c>
      <c r="C473" s="4" t="inlineStr">
        <is>
          <t>アトルバスタチンOD錠「サンド」</t>
        </is>
      </c>
      <c r="D473" s="4" t="inlineStr">
        <is>
          <t>調剤薬局</t>
        </is>
      </c>
      <c r="E473" s="4" t="n">
        <v>15317</v>
      </c>
      <c r="F473" s="4" t="n">
        <v>343986</v>
      </c>
    </row>
    <row r="474">
      <c r="A474" s="5" t="inlineStr">
        <is>
          <t>2026-02</t>
        </is>
      </c>
      <c r="B474" s="5" t="inlineStr">
        <is>
          <t>SKU0202</t>
        </is>
      </c>
      <c r="C474" s="5" t="inlineStr">
        <is>
          <t>アトルバスタチンOD錠「サンド」</t>
        </is>
      </c>
      <c r="D474" s="5" t="inlineStr">
        <is>
          <t>病院</t>
        </is>
      </c>
      <c r="E474" s="5" t="n">
        <v>8962</v>
      </c>
      <c r="F474" s="5" t="n">
        <v>201262</v>
      </c>
    </row>
    <row r="475">
      <c r="A475" s="4" t="inlineStr">
        <is>
          <t>2026-02</t>
        </is>
      </c>
      <c r="B475" s="4" t="inlineStr">
        <is>
          <t>SKU0202</t>
        </is>
      </c>
      <c r="C475" s="4" t="inlineStr">
        <is>
          <t>アトルバスタチンOD錠「サンド」</t>
        </is>
      </c>
      <c r="D475" s="4" t="inlineStr">
        <is>
          <t>診療所</t>
        </is>
      </c>
      <c r="E475" s="4" t="n">
        <v>4203</v>
      </c>
      <c r="F475" s="4" t="n">
        <v>94393</v>
      </c>
    </row>
    <row r="476">
      <c r="A476" s="5" t="inlineStr">
        <is>
          <t>2026-03</t>
        </is>
      </c>
      <c r="B476" s="5" t="inlineStr">
        <is>
          <t>SKU0201</t>
        </is>
      </c>
      <c r="C476" s="5" t="inlineStr">
        <is>
          <t>アトルバスタチンOD錠「サンド」</t>
        </is>
      </c>
      <c r="D476" s="5" t="inlineStr">
        <is>
          <t>調剤薬局</t>
        </is>
      </c>
      <c r="E476" s="5" t="n">
        <v>15499</v>
      </c>
      <c r="F476" s="5" t="n">
        <v>201747</v>
      </c>
    </row>
    <row r="477">
      <c r="A477" s="4" t="inlineStr">
        <is>
          <t>2026-03</t>
        </is>
      </c>
      <c r="B477" s="4" t="inlineStr">
        <is>
          <t>SKU0201</t>
        </is>
      </c>
      <c r="C477" s="4" t="inlineStr">
        <is>
          <t>アトルバスタチンOD錠「サンド」</t>
        </is>
      </c>
      <c r="D477" s="4" t="inlineStr">
        <is>
          <t>病院</t>
        </is>
      </c>
      <c r="E477" s="4" t="n">
        <v>8110</v>
      </c>
      <c r="F477" s="4" t="n">
        <v>105569</v>
      </c>
    </row>
    <row r="478">
      <c r="A478" s="5" t="inlineStr">
        <is>
          <t>2026-03</t>
        </is>
      </c>
      <c r="B478" s="5" t="inlineStr">
        <is>
          <t>SKU0201</t>
        </is>
      </c>
      <c r="C478" s="5" t="inlineStr">
        <is>
          <t>アトルバスタチンOD錠「サンド」</t>
        </is>
      </c>
      <c r="D478" s="5" t="inlineStr">
        <is>
          <t>診療所</t>
        </is>
      </c>
      <c r="E478" s="5" t="n">
        <v>4128</v>
      </c>
      <c r="F478" s="5" t="n">
        <v>53733</v>
      </c>
    </row>
    <row r="479">
      <c r="A479" s="4" t="inlineStr">
        <is>
          <t>2026-03</t>
        </is>
      </c>
      <c r="B479" s="4" t="inlineStr">
        <is>
          <t>SKU0202</t>
        </is>
      </c>
      <c r="C479" s="4" t="inlineStr">
        <is>
          <t>アトルバスタチンOD錠「サンド」</t>
        </is>
      </c>
      <c r="D479" s="4" t="inlineStr">
        <is>
          <t>調剤薬局</t>
        </is>
      </c>
      <c r="E479" s="4" t="n">
        <v>17066</v>
      </c>
      <c r="F479" s="4" t="n">
        <v>383256</v>
      </c>
    </row>
    <row r="480">
      <c r="A480" s="5" t="inlineStr">
        <is>
          <t>2026-03</t>
        </is>
      </c>
      <c r="B480" s="5" t="inlineStr">
        <is>
          <t>SKU0202</t>
        </is>
      </c>
      <c r="C480" s="5" t="inlineStr">
        <is>
          <t>アトルバスタチンOD錠「サンド」</t>
        </is>
      </c>
      <c r="D480" s="5" t="inlineStr">
        <is>
          <t>病院</t>
        </is>
      </c>
      <c r="E480" s="5" t="n">
        <v>9272</v>
      </c>
      <c r="F480" s="5" t="n">
        <v>208221</v>
      </c>
    </row>
    <row r="481">
      <c r="A481" s="4" t="inlineStr">
        <is>
          <t>2026-03</t>
        </is>
      </c>
      <c r="B481" s="4" t="inlineStr">
        <is>
          <t>SKU0202</t>
        </is>
      </c>
      <c r="C481" s="4" t="inlineStr">
        <is>
          <t>アトルバスタチンOD錠「サンド」</t>
        </is>
      </c>
      <c r="D481" s="4" t="inlineStr">
        <is>
          <t>診療所</t>
        </is>
      </c>
      <c r="E481" s="4" t="n">
        <v>4823</v>
      </c>
      <c r="F481" s="4" t="n">
        <v>108321</v>
      </c>
    </row>
    <row r="482">
      <c r="A482" s="5" t="inlineStr">
        <is>
          <t>2026-04</t>
        </is>
      </c>
      <c r="B482" s="5" t="inlineStr">
        <is>
          <t>SKU0201</t>
        </is>
      </c>
      <c r="C482" s="5" t="inlineStr">
        <is>
          <t>アトルバスタチンOD錠「サンド」</t>
        </is>
      </c>
      <c r="D482" s="5" t="inlineStr">
        <is>
          <t>調剤薬局</t>
        </is>
      </c>
      <c r="E482" s="5" t="n">
        <v>12720</v>
      </c>
      <c r="F482" s="5" t="n">
        <v>155638</v>
      </c>
    </row>
    <row r="483">
      <c r="A483" s="4" t="inlineStr">
        <is>
          <t>2026-04</t>
        </is>
      </c>
      <c r="B483" s="4" t="inlineStr">
        <is>
          <t>SKU0201</t>
        </is>
      </c>
      <c r="C483" s="4" t="inlineStr">
        <is>
          <t>アトルバスタチンOD錠「サンド」</t>
        </is>
      </c>
      <c r="D483" s="4" t="inlineStr">
        <is>
          <t>病院</t>
        </is>
      </c>
      <c r="E483" s="4" t="n">
        <v>6747</v>
      </c>
      <c r="F483" s="4" t="n">
        <v>82548</v>
      </c>
    </row>
    <row r="484">
      <c r="A484" s="5" t="inlineStr">
        <is>
          <t>2026-04</t>
        </is>
      </c>
      <c r="B484" s="5" t="inlineStr">
        <is>
          <t>SKU0201</t>
        </is>
      </c>
      <c r="C484" s="5" t="inlineStr">
        <is>
          <t>アトルバスタチンOD錠「サンド」</t>
        </is>
      </c>
      <c r="D484" s="5" t="inlineStr">
        <is>
          <t>診療所</t>
        </is>
      </c>
      <c r="E484" s="5" t="n">
        <v>3239</v>
      </c>
      <c r="F484" s="5" t="n">
        <v>39633</v>
      </c>
    </row>
    <row r="485">
      <c r="A485" s="4" t="inlineStr">
        <is>
          <t>2026-04</t>
        </is>
      </c>
      <c r="B485" s="4" t="inlineStr">
        <is>
          <t>SKU0202</t>
        </is>
      </c>
      <c r="C485" s="4" t="inlineStr">
        <is>
          <t>アトルバスタチンOD錠「サンド」</t>
        </is>
      </c>
      <c r="D485" s="4" t="inlineStr">
        <is>
          <t>調剤薬局</t>
        </is>
      </c>
      <c r="E485" s="4" t="n">
        <v>14265</v>
      </c>
      <c r="F485" s="4" t="n">
        <v>301148</v>
      </c>
    </row>
    <row r="486">
      <c r="A486" s="5" t="inlineStr">
        <is>
          <t>2026-04</t>
        </is>
      </c>
      <c r="B486" s="5" t="inlineStr">
        <is>
          <t>SKU0202</t>
        </is>
      </c>
      <c r="C486" s="5" t="inlineStr">
        <is>
          <t>アトルバスタチンOD錠「サンド」</t>
        </is>
      </c>
      <c r="D486" s="5" t="inlineStr">
        <is>
          <t>病院</t>
        </is>
      </c>
      <c r="E486" s="5" t="n">
        <v>7765</v>
      </c>
      <c r="F486" s="5" t="n">
        <v>163919</v>
      </c>
    </row>
    <row r="487">
      <c r="A487" s="4" t="inlineStr">
        <is>
          <t>2026-04</t>
        </is>
      </c>
      <c r="B487" s="4" t="inlineStr">
        <is>
          <t>SKU0202</t>
        </is>
      </c>
      <c r="C487" s="4" t="inlineStr">
        <is>
          <t>アトルバスタチンOD錠「サンド」</t>
        </is>
      </c>
      <c r="D487" s="4" t="inlineStr">
        <is>
          <t>診療所</t>
        </is>
      </c>
      <c r="E487" s="4" t="n">
        <v>3841</v>
      </c>
      <c r="F487" s="4" t="n">
        <v>81085</v>
      </c>
    </row>
    <row r="488">
      <c r="A488" s="5" t="inlineStr">
        <is>
          <t>2026-05</t>
        </is>
      </c>
      <c r="B488" s="5" t="inlineStr">
        <is>
          <t>SKU0201</t>
        </is>
      </c>
      <c r="C488" s="5" t="inlineStr">
        <is>
          <t>アトルバスタチンOD錠「サンド」</t>
        </is>
      </c>
      <c r="D488" s="5" t="inlineStr">
        <is>
          <t>調剤薬局</t>
        </is>
      </c>
      <c r="E488" s="5" t="n">
        <v>11886</v>
      </c>
      <c r="F488" s="5" t="n">
        <v>145430</v>
      </c>
    </row>
    <row r="489">
      <c r="A489" s="4" t="inlineStr">
        <is>
          <t>2026-05</t>
        </is>
      </c>
      <c r="B489" s="4" t="inlineStr">
        <is>
          <t>SKU0201</t>
        </is>
      </c>
      <c r="C489" s="4" t="inlineStr">
        <is>
          <t>アトルバスタチンOD錠「サンド」</t>
        </is>
      </c>
      <c r="D489" s="4" t="inlineStr">
        <is>
          <t>病院</t>
        </is>
      </c>
      <c r="E489" s="4" t="n">
        <v>6680</v>
      </c>
      <c r="F489" s="4" t="n">
        <v>81734</v>
      </c>
    </row>
    <row r="490">
      <c r="A490" s="5" t="inlineStr">
        <is>
          <t>2026-05</t>
        </is>
      </c>
      <c r="B490" s="5" t="inlineStr">
        <is>
          <t>SKU0201</t>
        </is>
      </c>
      <c r="C490" s="5" t="inlineStr">
        <is>
          <t>アトルバスタチンOD錠「サンド」</t>
        </is>
      </c>
      <c r="D490" s="5" t="inlineStr">
        <is>
          <t>診療所</t>
        </is>
      </c>
      <c r="E490" s="5" t="n">
        <v>3230</v>
      </c>
      <c r="F490" s="5" t="n">
        <v>39517</v>
      </c>
    </row>
    <row r="491">
      <c r="A491" s="4" t="inlineStr">
        <is>
          <t>2026-05</t>
        </is>
      </c>
      <c r="B491" s="4" t="inlineStr">
        <is>
          <t>SKU0202</t>
        </is>
      </c>
      <c r="C491" s="4" t="inlineStr">
        <is>
          <t>アトルバスタチンOD錠「サンド」</t>
        </is>
      </c>
      <c r="D491" s="4" t="inlineStr">
        <is>
          <t>調剤薬局</t>
        </is>
      </c>
      <c r="E491" s="4" t="n">
        <v>13498</v>
      </c>
      <c r="F491" s="4" t="n">
        <v>284945</v>
      </c>
    </row>
    <row r="492">
      <c r="A492" s="5" t="inlineStr">
        <is>
          <t>2026-05</t>
        </is>
      </c>
      <c r="B492" s="5" t="inlineStr">
        <is>
          <t>SKU0202</t>
        </is>
      </c>
      <c r="C492" s="5" t="inlineStr">
        <is>
          <t>アトルバスタチンOD錠「サンド」</t>
        </is>
      </c>
      <c r="D492" s="5" t="inlineStr">
        <is>
          <t>病院</t>
        </is>
      </c>
      <c r="E492" s="5" t="n">
        <v>7853</v>
      </c>
      <c r="F492" s="5" t="n">
        <v>165777</v>
      </c>
    </row>
    <row r="493">
      <c r="A493" s="4" t="inlineStr">
        <is>
          <t>2026-05</t>
        </is>
      </c>
      <c r="B493" s="4" t="inlineStr">
        <is>
          <t>SKU0202</t>
        </is>
      </c>
      <c r="C493" s="4" t="inlineStr">
        <is>
          <t>アトルバスタチンOD錠「サンド」</t>
        </is>
      </c>
      <c r="D493" s="4" t="inlineStr">
        <is>
          <t>診療所</t>
        </is>
      </c>
      <c r="E493" s="4" t="n">
        <v>3930</v>
      </c>
      <c r="F493" s="4" t="n">
        <v>82958</v>
      </c>
    </row>
    <row r="494">
      <c r="A494" s="5" t="inlineStr">
        <is>
          <t>2023-01</t>
        </is>
      </c>
      <c r="B494" s="5" t="inlineStr">
        <is>
          <t>SKU0301</t>
        </is>
      </c>
      <c r="C494" s="5" t="inlineStr">
        <is>
          <t>フィルグラスチムBS注「サンド」</t>
        </is>
      </c>
      <c r="D494" s="5" t="inlineStr">
        <is>
          <t>病院</t>
        </is>
      </c>
      <c r="E494" s="5" t="n">
        <v>10</v>
      </c>
      <c r="F494" s="5" t="n">
        <v>59421</v>
      </c>
    </row>
    <row r="495">
      <c r="A495" s="4" t="inlineStr">
        <is>
          <t>2023-01</t>
        </is>
      </c>
      <c r="B495" s="4" t="inlineStr">
        <is>
          <t>SKU0301</t>
        </is>
      </c>
      <c r="C495" s="4" t="inlineStr">
        <is>
          <t>フィルグラスチムBS注「サンド」</t>
        </is>
      </c>
      <c r="D495" s="4" t="inlineStr">
        <is>
          <t>クリニック(注射対応)</t>
        </is>
      </c>
      <c r="E495" s="4" t="n">
        <v>2</v>
      </c>
      <c r="F495" s="4" t="n">
        <v>9434</v>
      </c>
    </row>
    <row r="496">
      <c r="A496" s="5" t="inlineStr">
        <is>
          <t>2023-01</t>
        </is>
      </c>
      <c r="B496" s="5" t="inlineStr">
        <is>
          <t>SKU0302</t>
        </is>
      </c>
      <c r="C496" s="5" t="inlineStr">
        <is>
          <t>フィルグラスチムBS注「サンド」</t>
        </is>
      </c>
      <c r="D496" s="5" t="inlineStr">
        <is>
          <t>病院</t>
        </is>
      </c>
      <c r="E496" s="5" t="n">
        <v>18</v>
      </c>
      <c r="F496" s="5" t="n">
        <v>180448</v>
      </c>
    </row>
    <row r="497">
      <c r="A497" s="4" t="inlineStr">
        <is>
          <t>2023-01</t>
        </is>
      </c>
      <c r="B497" s="4" t="inlineStr">
        <is>
          <t>SKU0302</t>
        </is>
      </c>
      <c r="C497" s="4" t="inlineStr">
        <is>
          <t>フィルグラスチムBS注「サンド」</t>
        </is>
      </c>
      <c r="D497" s="4" t="inlineStr">
        <is>
          <t>クリニック(注射対応)</t>
        </is>
      </c>
      <c r="E497" s="4" t="n">
        <v>3</v>
      </c>
      <c r="F497" s="4" t="n">
        <v>33870</v>
      </c>
    </row>
    <row r="498">
      <c r="A498" s="5" t="inlineStr">
        <is>
          <t>2023-02</t>
        </is>
      </c>
      <c r="B498" s="5" t="inlineStr">
        <is>
          <t>SKU0301</t>
        </is>
      </c>
      <c r="C498" s="5" t="inlineStr">
        <is>
          <t>フィルグラスチムBS注「サンド」</t>
        </is>
      </c>
      <c r="D498" s="5" t="inlineStr">
        <is>
          <t>病院</t>
        </is>
      </c>
      <c r="E498" s="5" t="n">
        <v>9</v>
      </c>
      <c r="F498" s="5" t="n">
        <v>54479</v>
      </c>
    </row>
    <row r="499">
      <c r="A499" s="4" t="inlineStr">
        <is>
          <t>2023-02</t>
        </is>
      </c>
      <c r="B499" s="4" t="inlineStr">
        <is>
          <t>SKU0301</t>
        </is>
      </c>
      <c r="C499" s="4" t="inlineStr">
        <is>
          <t>フィルグラスチムBS注「サンド」</t>
        </is>
      </c>
      <c r="D499" s="4" t="inlineStr">
        <is>
          <t>クリニック(注射対応)</t>
        </is>
      </c>
      <c r="E499" s="4" t="n">
        <v>2</v>
      </c>
      <c r="F499" s="4" t="n">
        <v>9646</v>
      </c>
    </row>
    <row r="500">
      <c r="A500" s="5" t="inlineStr">
        <is>
          <t>2023-02</t>
        </is>
      </c>
      <c r="B500" s="5" t="inlineStr">
        <is>
          <t>SKU0302</t>
        </is>
      </c>
      <c r="C500" s="5" t="inlineStr">
        <is>
          <t>フィルグラスチムBS注「サンド」</t>
        </is>
      </c>
      <c r="D500" s="5" t="inlineStr">
        <is>
          <t>病院</t>
        </is>
      </c>
      <c r="E500" s="5" t="n">
        <v>17</v>
      </c>
      <c r="F500" s="5" t="n">
        <v>172347</v>
      </c>
    </row>
    <row r="501">
      <c r="A501" s="4" t="inlineStr">
        <is>
          <t>2023-02</t>
        </is>
      </c>
      <c r="B501" s="4" t="inlineStr">
        <is>
          <t>SKU0302</t>
        </is>
      </c>
      <c r="C501" s="4" t="inlineStr">
        <is>
          <t>フィルグラスチムBS注「サンド」</t>
        </is>
      </c>
      <c r="D501" s="4" t="inlineStr">
        <is>
          <t>クリニック(注射対応)</t>
        </is>
      </c>
      <c r="E501" s="4" t="n">
        <v>3</v>
      </c>
      <c r="F501" s="4" t="n">
        <v>30610</v>
      </c>
    </row>
    <row r="502">
      <c r="A502" s="5" t="inlineStr">
        <is>
          <t>2023-03</t>
        </is>
      </c>
      <c r="B502" s="5" t="inlineStr">
        <is>
          <t>SKU0301</t>
        </is>
      </c>
      <c r="C502" s="5" t="inlineStr">
        <is>
          <t>フィルグラスチムBS注「サンド」</t>
        </is>
      </c>
      <c r="D502" s="5" t="inlineStr">
        <is>
          <t>病院</t>
        </is>
      </c>
      <c r="E502" s="5" t="n">
        <v>15</v>
      </c>
      <c r="F502" s="5" t="n">
        <v>89280</v>
      </c>
    </row>
    <row r="503">
      <c r="A503" s="4" t="inlineStr">
        <is>
          <t>2023-03</t>
        </is>
      </c>
      <c r="B503" s="4" t="inlineStr">
        <is>
          <t>SKU0301</t>
        </is>
      </c>
      <c r="C503" s="4" t="inlineStr">
        <is>
          <t>フィルグラスチムBS注「サンド」</t>
        </is>
      </c>
      <c r="D503" s="4" t="inlineStr">
        <is>
          <t>クリニック(注射対応)</t>
        </is>
      </c>
      <c r="E503" s="4" t="n">
        <v>3</v>
      </c>
      <c r="F503" s="4" t="n">
        <v>15022</v>
      </c>
    </row>
    <row r="504">
      <c r="A504" s="5" t="inlineStr">
        <is>
          <t>2023-03</t>
        </is>
      </c>
      <c r="B504" s="5" t="inlineStr">
        <is>
          <t>SKU0302</t>
        </is>
      </c>
      <c r="C504" s="5" t="inlineStr">
        <is>
          <t>フィルグラスチムBS注「サンド」</t>
        </is>
      </c>
      <c r="D504" s="5" t="inlineStr">
        <is>
          <t>病院</t>
        </is>
      </c>
      <c r="E504" s="5" t="n">
        <v>27</v>
      </c>
      <c r="F504" s="5" t="n">
        <v>279952</v>
      </c>
    </row>
    <row r="505">
      <c r="A505" s="4" t="inlineStr">
        <is>
          <t>2023-03</t>
        </is>
      </c>
      <c r="B505" s="4" t="inlineStr">
        <is>
          <t>SKU0302</t>
        </is>
      </c>
      <c r="C505" s="4" t="inlineStr">
        <is>
          <t>フィルグラスチムBS注「サンド」</t>
        </is>
      </c>
      <c r="D505" s="4" t="inlineStr">
        <is>
          <t>クリニック(注射対応)</t>
        </is>
      </c>
      <c r="E505" s="4" t="n">
        <v>5</v>
      </c>
      <c r="F505" s="4" t="n">
        <v>46153</v>
      </c>
    </row>
    <row r="506">
      <c r="A506" s="5" t="inlineStr">
        <is>
          <t>2023-04</t>
        </is>
      </c>
      <c r="B506" s="5" t="inlineStr">
        <is>
          <t>SKU0301</t>
        </is>
      </c>
      <c r="C506" s="5" t="inlineStr">
        <is>
          <t>フィルグラスチムBS注「サンド」</t>
        </is>
      </c>
      <c r="D506" s="5" t="inlineStr">
        <is>
          <t>病院</t>
        </is>
      </c>
      <c r="E506" s="5" t="n">
        <v>16</v>
      </c>
      <c r="F506" s="5" t="n">
        <v>92038</v>
      </c>
    </row>
    <row r="507">
      <c r="A507" s="4" t="inlineStr">
        <is>
          <t>2023-04</t>
        </is>
      </c>
      <c r="B507" s="4" t="inlineStr">
        <is>
          <t>SKU0301</t>
        </is>
      </c>
      <c r="C507" s="4" t="inlineStr">
        <is>
          <t>フィルグラスチムBS注「サンド」</t>
        </is>
      </c>
      <c r="D507" s="4" t="inlineStr">
        <is>
          <t>クリニック(注射対応)</t>
        </is>
      </c>
      <c r="E507" s="4" t="n">
        <v>3</v>
      </c>
      <c r="F507" s="4" t="n">
        <v>16170</v>
      </c>
    </row>
    <row r="508">
      <c r="A508" s="5" t="inlineStr">
        <is>
          <t>2023-04</t>
        </is>
      </c>
      <c r="B508" s="5" t="inlineStr">
        <is>
          <t>SKU0302</t>
        </is>
      </c>
      <c r="C508" s="5" t="inlineStr">
        <is>
          <t>フィルグラスチムBS注「サンド」</t>
        </is>
      </c>
      <c r="D508" s="5" t="inlineStr">
        <is>
          <t>病院</t>
        </is>
      </c>
      <c r="E508" s="5" t="n">
        <v>27</v>
      </c>
      <c r="F508" s="5" t="n">
        <v>273690</v>
      </c>
    </row>
    <row r="509">
      <c r="A509" s="4" t="inlineStr">
        <is>
          <t>2023-04</t>
        </is>
      </c>
      <c r="B509" s="4" t="inlineStr">
        <is>
          <t>SKU0302</t>
        </is>
      </c>
      <c r="C509" s="4" t="inlineStr">
        <is>
          <t>フィルグラスチムBS注「サンド」</t>
        </is>
      </c>
      <c r="D509" s="4" t="inlineStr">
        <is>
          <t>クリニック(注射対応)</t>
        </is>
      </c>
      <c r="E509" s="4" t="n">
        <v>5</v>
      </c>
      <c r="F509" s="4" t="n">
        <v>49175</v>
      </c>
    </row>
    <row r="510">
      <c r="A510" s="5" t="inlineStr">
        <is>
          <t>2023-05</t>
        </is>
      </c>
      <c r="B510" s="5" t="inlineStr">
        <is>
          <t>SKU0301</t>
        </is>
      </c>
      <c r="C510" s="5" t="inlineStr">
        <is>
          <t>フィルグラスチムBS注「サンド」</t>
        </is>
      </c>
      <c r="D510" s="5" t="inlineStr">
        <is>
          <t>病院</t>
        </is>
      </c>
      <c r="E510" s="5" t="n">
        <v>21</v>
      </c>
      <c r="F510" s="5" t="n">
        <v>121644</v>
      </c>
    </row>
    <row r="511">
      <c r="A511" s="4" t="inlineStr">
        <is>
          <t>2023-05</t>
        </is>
      </c>
      <c r="B511" s="4" t="inlineStr">
        <is>
          <t>SKU0301</t>
        </is>
      </c>
      <c r="C511" s="4" t="inlineStr">
        <is>
          <t>フィルグラスチムBS注「サンド」</t>
        </is>
      </c>
      <c r="D511" s="4" t="inlineStr">
        <is>
          <t>クリニック(注射対応)</t>
        </is>
      </c>
      <c r="E511" s="4" t="n">
        <v>4</v>
      </c>
      <c r="F511" s="4" t="n">
        <v>21172</v>
      </c>
    </row>
    <row r="512">
      <c r="A512" s="5" t="inlineStr">
        <is>
          <t>2023-05</t>
        </is>
      </c>
      <c r="B512" s="5" t="inlineStr">
        <is>
          <t>SKU0302</t>
        </is>
      </c>
      <c r="C512" s="5" t="inlineStr">
        <is>
          <t>フィルグラスチムBS注「サンド」</t>
        </is>
      </c>
      <c r="D512" s="5" t="inlineStr">
        <is>
          <t>病院</t>
        </is>
      </c>
      <c r="E512" s="5" t="n">
        <v>36</v>
      </c>
      <c r="F512" s="5" t="n">
        <v>367248</v>
      </c>
    </row>
    <row r="513">
      <c r="A513" s="4" t="inlineStr">
        <is>
          <t>2023-05</t>
        </is>
      </c>
      <c r="B513" s="4" t="inlineStr">
        <is>
          <t>SKU0302</t>
        </is>
      </c>
      <c r="C513" s="4" t="inlineStr">
        <is>
          <t>フィルグラスチムBS注「サンド」</t>
        </is>
      </c>
      <c r="D513" s="4" t="inlineStr">
        <is>
          <t>クリニック(注射対応)</t>
        </is>
      </c>
      <c r="E513" s="4" t="n">
        <v>6</v>
      </c>
      <c r="F513" s="4" t="n">
        <v>63334</v>
      </c>
    </row>
    <row r="514">
      <c r="A514" s="5" t="inlineStr">
        <is>
          <t>2023-06</t>
        </is>
      </c>
      <c r="B514" s="5" t="inlineStr">
        <is>
          <t>SKU0301</t>
        </is>
      </c>
      <c r="C514" s="5" t="inlineStr">
        <is>
          <t>フィルグラスチムBS注「サンド」</t>
        </is>
      </c>
      <c r="D514" s="5" t="inlineStr">
        <is>
          <t>病院</t>
        </is>
      </c>
      <c r="E514" s="5" t="n">
        <v>29</v>
      </c>
      <c r="F514" s="5" t="n">
        <v>168276</v>
      </c>
    </row>
    <row r="515">
      <c r="A515" s="4" t="inlineStr">
        <is>
          <t>2023-06</t>
        </is>
      </c>
      <c r="B515" s="4" t="inlineStr">
        <is>
          <t>SKU0301</t>
        </is>
      </c>
      <c r="C515" s="4" t="inlineStr">
        <is>
          <t>フィルグラスチムBS注「サンド」</t>
        </is>
      </c>
      <c r="D515" s="4" t="inlineStr">
        <is>
          <t>クリニック(注射対応)</t>
        </is>
      </c>
      <c r="E515" s="4" t="n">
        <v>5</v>
      </c>
      <c r="F515" s="4" t="n">
        <v>28396</v>
      </c>
    </row>
    <row r="516">
      <c r="A516" s="5" t="inlineStr">
        <is>
          <t>2023-06</t>
        </is>
      </c>
      <c r="B516" s="5" t="inlineStr">
        <is>
          <t>SKU0302</t>
        </is>
      </c>
      <c r="C516" s="5" t="inlineStr">
        <is>
          <t>フィルグラスチムBS注「サンド」</t>
        </is>
      </c>
      <c r="D516" s="5" t="inlineStr">
        <is>
          <t>病院</t>
        </is>
      </c>
      <c r="E516" s="5" t="n">
        <v>49</v>
      </c>
      <c r="F516" s="5" t="n">
        <v>498925</v>
      </c>
    </row>
    <row r="517">
      <c r="A517" s="4" t="inlineStr">
        <is>
          <t>2023-06</t>
        </is>
      </c>
      <c r="B517" s="4" t="inlineStr">
        <is>
          <t>SKU0302</t>
        </is>
      </c>
      <c r="C517" s="4" t="inlineStr">
        <is>
          <t>フィルグラスチムBS注「サンド」</t>
        </is>
      </c>
      <c r="D517" s="4" t="inlineStr">
        <is>
          <t>クリニック(注射対応)</t>
        </is>
      </c>
      <c r="E517" s="4" t="n">
        <v>8</v>
      </c>
      <c r="F517" s="4" t="n">
        <v>83149</v>
      </c>
    </row>
    <row r="518">
      <c r="A518" s="5" t="inlineStr">
        <is>
          <t>2023-07</t>
        </is>
      </c>
      <c r="B518" s="5" t="inlineStr">
        <is>
          <t>SKU0301</t>
        </is>
      </c>
      <c r="C518" s="5" t="inlineStr">
        <is>
          <t>フィルグラスチムBS注「サンド」</t>
        </is>
      </c>
      <c r="D518" s="5" t="inlineStr">
        <is>
          <t>病院</t>
        </is>
      </c>
      <c r="E518" s="5" t="n">
        <v>36</v>
      </c>
      <c r="F518" s="5" t="n">
        <v>206803</v>
      </c>
    </row>
    <row r="519">
      <c r="A519" s="4" t="inlineStr">
        <is>
          <t>2023-07</t>
        </is>
      </c>
      <c r="B519" s="4" t="inlineStr">
        <is>
          <t>SKU0301</t>
        </is>
      </c>
      <c r="C519" s="4" t="inlineStr">
        <is>
          <t>フィルグラスチムBS注「サンド」</t>
        </is>
      </c>
      <c r="D519" s="4" t="inlineStr">
        <is>
          <t>クリニック(注射対応)</t>
        </is>
      </c>
      <c r="E519" s="4" t="n">
        <v>6</v>
      </c>
      <c r="F519" s="4" t="n">
        <v>36430</v>
      </c>
    </row>
    <row r="520">
      <c r="A520" s="5" t="inlineStr">
        <is>
          <t>2023-07</t>
        </is>
      </c>
      <c r="B520" s="5" t="inlineStr">
        <is>
          <t>SKU0302</t>
        </is>
      </c>
      <c r="C520" s="5" t="inlineStr">
        <is>
          <t>フィルグラスチムBS注「サンド」</t>
        </is>
      </c>
      <c r="D520" s="5" t="inlineStr">
        <is>
          <t>病院</t>
        </is>
      </c>
      <c r="E520" s="5" t="n">
        <v>62</v>
      </c>
      <c r="F520" s="5" t="n">
        <v>627638</v>
      </c>
    </row>
    <row r="521">
      <c r="A521" s="4" t="inlineStr">
        <is>
          <t>2023-07</t>
        </is>
      </c>
      <c r="B521" s="4" t="inlineStr">
        <is>
          <t>SKU0302</t>
        </is>
      </c>
      <c r="C521" s="4" t="inlineStr">
        <is>
          <t>フィルグラスチムBS注「サンド」</t>
        </is>
      </c>
      <c r="D521" s="4" t="inlineStr">
        <is>
          <t>クリニック(注射対応)</t>
        </is>
      </c>
      <c r="E521" s="4" t="n">
        <v>11</v>
      </c>
      <c r="F521" s="4" t="n">
        <v>107580</v>
      </c>
    </row>
    <row r="522">
      <c r="A522" s="5" t="inlineStr">
        <is>
          <t>2023-08</t>
        </is>
      </c>
      <c r="B522" s="5" t="inlineStr">
        <is>
          <t>SKU0301</t>
        </is>
      </c>
      <c r="C522" s="5" t="inlineStr">
        <is>
          <t>フィルグラスチムBS注「サンド」</t>
        </is>
      </c>
      <c r="D522" s="5" t="inlineStr">
        <is>
          <t>病院</t>
        </is>
      </c>
      <c r="E522" s="5" t="n">
        <v>39</v>
      </c>
      <c r="F522" s="5" t="n">
        <v>226033</v>
      </c>
    </row>
    <row r="523">
      <c r="A523" s="4" t="inlineStr">
        <is>
          <t>2023-08</t>
        </is>
      </c>
      <c r="B523" s="4" t="inlineStr">
        <is>
          <t>SKU0301</t>
        </is>
      </c>
      <c r="C523" s="4" t="inlineStr">
        <is>
          <t>フィルグラスチムBS注「サンド」</t>
        </is>
      </c>
      <c r="D523" s="4" t="inlineStr">
        <is>
          <t>クリニック(注射対応)</t>
        </is>
      </c>
      <c r="E523" s="4" t="n">
        <v>7</v>
      </c>
      <c r="F523" s="4" t="n">
        <v>40744</v>
      </c>
    </row>
    <row r="524">
      <c r="A524" s="5" t="inlineStr">
        <is>
          <t>2023-08</t>
        </is>
      </c>
      <c r="B524" s="5" t="inlineStr">
        <is>
          <t>SKU0302</t>
        </is>
      </c>
      <c r="C524" s="5" t="inlineStr">
        <is>
          <t>フィルグラスチムBS注「サンド」</t>
        </is>
      </c>
      <c r="D524" s="5" t="inlineStr">
        <is>
          <t>病院</t>
        </is>
      </c>
      <c r="E524" s="5" t="n">
        <v>59</v>
      </c>
      <c r="F524" s="5" t="n">
        <v>598639</v>
      </c>
    </row>
    <row r="525">
      <c r="A525" s="4" t="inlineStr">
        <is>
          <t>2023-08</t>
        </is>
      </c>
      <c r="B525" s="4" t="inlineStr">
        <is>
          <t>SKU0302</t>
        </is>
      </c>
      <c r="C525" s="4" t="inlineStr">
        <is>
          <t>フィルグラスチムBS注「サンド」</t>
        </is>
      </c>
      <c r="D525" s="4" t="inlineStr">
        <is>
          <t>クリニック(注射対応)</t>
        </is>
      </c>
      <c r="E525" s="4" t="n">
        <v>11</v>
      </c>
      <c r="F525" s="4" t="n">
        <v>112625</v>
      </c>
    </row>
    <row r="526">
      <c r="A526" s="5" t="inlineStr">
        <is>
          <t>2023-09</t>
        </is>
      </c>
      <c r="B526" s="5" t="inlineStr">
        <is>
          <t>SKU0301</t>
        </is>
      </c>
      <c r="C526" s="5" t="inlineStr">
        <is>
          <t>フィルグラスチムBS注「サンド」</t>
        </is>
      </c>
      <c r="D526" s="5" t="inlineStr">
        <is>
          <t>病院</t>
        </is>
      </c>
      <c r="E526" s="5" t="n">
        <v>47</v>
      </c>
      <c r="F526" s="5" t="n">
        <v>273444</v>
      </c>
    </row>
    <row r="527">
      <c r="A527" s="4" t="inlineStr">
        <is>
          <t>2023-09</t>
        </is>
      </c>
      <c r="B527" s="4" t="inlineStr">
        <is>
          <t>SKU0301</t>
        </is>
      </c>
      <c r="C527" s="4" t="inlineStr">
        <is>
          <t>フィルグラスチムBS注「サンド」</t>
        </is>
      </c>
      <c r="D527" s="4" t="inlineStr">
        <is>
          <t>クリニック(注射対応)</t>
        </is>
      </c>
      <c r="E527" s="4" t="n">
        <v>8</v>
      </c>
      <c r="F527" s="4" t="n">
        <v>45707</v>
      </c>
    </row>
    <row r="528">
      <c r="A528" s="5" t="inlineStr">
        <is>
          <t>2023-09</t>
        </is>
      </c>
      <c r="B528" s="5" t="inlineStr">
        <is>
          <t>SKU0302</t>
        </is>
      </c>
      <c r="C528" s="5" t="inlineStr">
        <is>
          <t>フィルグラスチムBS注「サンド」</t>
        </is>
      </c>
      <c r="D528" s="5" t="inlineStr">
        <is>
          <t>病院</t>
        </is>
      </c>
      <c r="E528" s="5" t="n">
        <v>70</v>
      </c>
      <c r="F528" s="5" t="n">
        <v>711073</v>
      </c>
    </row>
    <row r="529">
      <c r="A529" s="4" t="inlineStr">
        <is>
          <t>2023-09</t>
        </is>
      </c>
      <c r="B529" s="4" t="inlineStr">
        <is>
          <t>SKU0302</t>
        </is>
      </c>
      <c r="C529" s="4" t="inlineStr">
        <is>
          <t>フィルグラスチムBS注「サンド」</t>
        </is>
      </c>
      <c r="D529" s="4" t="inlineStr">
        <is>
          <t>クリニック(注射対応)</t>
        </is>
      </c>
      <c r="E529" s="4" t="n">
        <v>12</v>
      </c>
      <c r="F529" s="4" t="n">
        <v>127287</v>
      </c>
    </row>
    <row r="530">
      <c r="A530" s="5" t="inlineStr">
        <is>
          <t>2023-10</t>
        </is>
      </c>
      <c r="B530" s="5" t="inlineStr">
        <is>
          <t>SKU0301</t>
        </is>
      </c>
      <c r="C530" s="5" t="inlineStr">
        <is>
          <t>フィルグラスチムBS注「サンド」</t>
        </is>
      </c>
      <c r="D530" s="5" t="inlineStr">
        <is>
          <t>病院</t>
        </is>
      </c>
      <c r="E530" s="5" t="n">
        <v>58</v>
      </c>
      <c r="F530" s="5" t="n">
        <v>336648</v>
      </c>
    </row>
    <row r="531">
      <c r="A531" s="4" t="inlineStr">
        <is>
          <t>2023-10</t>
        </is>
      </c>
      <c r="B531" s="4" t="inlineStr">
        <is>
          <t>SKU0301</t>
        </is>
      </c>
      <c r="C531" s="4" t="inlineStr">
        <is>
          <t>フィルグラスチムBS注「サンド」</t>
        </is>
      </c>
      <c r="D531" s="4" t="inlineStr">
        <is>
          <t>クリニック(注射対応)</t>
        </is>
      </c>
      <c r="E531" s="4" t="n">
        <v>9</v>
      </c>
      <c r="F531" s="4" t="n">
        <v>54387</v>
      </c>
    </row>
    <row r="532">
      <c r="A532" s="5" t="inlineStr">
        <is>
          <t>2023-10</t>
        </is>
      </c>
      <c r="B532" s="5" t="inlineStr">
        <is>
          <t>SKU0302</t>
        </is>
      </c>
      <c r="C532" s="5" t="inlineStr">
        <is>
          <t>フィルグラスチムBS注「サンド」</t>
        </is>
      </c>
      <c r="D532" s="5" t="inlineStr">
        <is>
          <t>病院</t>
        </is>
      </c>
      <c r="E532" s="5" t="n">
        <v>82</v>
      </c>
      <c r="F532" s="5" t="n">
        <v>838495</v>
      </c>
    </row>
    <row r="533">
      <c r="A533" s="4" t="inlineStr">
        <is>
          <t>2023-10</t>
        </is>
      </c>
      <c r="B533" s="4" t="inlineStr">
        <is>
          <t>SKU0302</t>
        </is>
      </c>
      <c r="C533" s="4" t="inlineStr">
        <is>
          <t>フィルグラスチムBS注「サンド」</t>
        </is>
      </c>
      <c r="D533" s="4" t="inlineStr">
        <is>
          <t>クリニック(注射対応)</t>
        </is>
      </c>
      <c r="E533" s="4" t="n">
        <v>15</v>
      </c>
      <c r="F533" s="4" t="n">
        <v>156818</v>
      </c>
    </row>
    <row r="534">
      <c r="A534" s="5" t="inlineStr">
        <is>
          <t>2023-11</t>
        </is>
      </c>
      <c r="B534" s="5" t="inlineStr">
        <is>
          <t>SKU0301</t>
        </is>
      </c>
      <c r="C534" s="5" t="inlineStr">
        <is>
          <t>フィルグラスチムBS注「サンド」</t>
        </is>
      </c>
      <c r="D534" s="5" t="inlineStr">
        <is>
          <t>病院</t>
        </is>
      </c>
      <c r="E534" s="5" t="n">
        <v>76</v>
      </c>
      <c r="F534" s="5" t="n">
        <v>439066</v>
      </c>
    </row>
    <row r="535">
      <c r="A535" s="4" t="inlineStr">
        <is>
          <t>2023-11</t>
        </is>
      </c>
      <c r="B535" s="4" t="inlineStr">
        <is>
          <t>SKU0301</t>
        </is>
      </c>
      <c r="C535" s="4" t="inlineStr">
        <is>
          <t>フィルグラスチムBS注「サンド」</t>
        </is>
      </c>
      <c r="D535" s="4" t="inlineStr">
        <is>
          <t>クリニック(注射対応)</t>
        </is>
      </c>
      <c r="E535" s="4" t="n">
        <v>14</v>
      </c>
      <c r="F535" s="4" t="n">
        <v>82297</v>
      </c>
    </row>
    <row r="536">
      <c r="A536" s="5" t="inlineStr">
        <is>
          <t>2023-11</t>
        </is>
      </c>
      <c r="B536" s="5" t="inlineStr">
        <is>
          <t>SKU0302</t>
        </is>
      </c>
      <c r="C536" s="5" t="inlineStr">
        <is>
          <t>フィルグラスチムBS注「サンド」</t>
        </is>
      </c>
      <c r="D536" s="5" t="inlineStr">
        <is>
          <t>病院</t>
        </is>
      </c>
      <c r="E536" s="5" t="n">
        <v>115</v>
      </c>
      <c r="F536" s="5" t="n">
        <v>1172419</v>
      </c>
    </row>
    <row r="537">
      <c r="A537" s="4" t="inlineStr">
        <is>
          <t>2023-11</t>
        </is>
      </c>
      <c r="B537" s="4" t="inlineStr">
        <is>
          <t>SKU0302</t>
        </is>
      </c>
      <c r="C537" s="4" t="inlineStr">
        <is>
          <t>フィルグラスチムBS注「サンド」</t>
        </is>
      </c>
      <c r="D537" s="4" t="inlineStr">
        <is>
          <t>クリニック(注射対応)</t>
        </is>
      </c>
      <c r="E537" s="4" t="n">
        <v>19</v>
      </c>
      <c r="F537" s="4" t="n">
        <v>196750</v>
      </c>
    </row>
    <row r="538">
      <c r="A538" s="5" t="inlineStr">
        <is>
          <t>2023-12</t>
        </is>
      </c>
      <c r="B538" s="5" t="inlineStr">
        <is>
          <t>SKU0301</t>
        </is>
      </c>
      <c r="C538" s="5" t="inlineStr">
        <is>
          <t>フィルグラスチムBS注「サンド」</t>
        </is>
      </c>
      <c r="D538" s="5" t="inlineStr">
        <is>
          <t>病院</t>
        </is>
      </c>
      <c r="E538" s="5" t="n">
        <v>74</v>
      </c>
      <c r="F538" s="5" t="n">
        <v>428568</v>
      </c>
    </row>
    <row r="539">
      <c r="A539" s="4" t="inlineStr">
        <is>
          <t>2023-12</t>
        </is>
      </c>
      <c r="B539" s="4" t="inlineStr">
        <is>
          <t>SKU0301</t>
        </is>
      </c>
      <c r="C539" s="4" t="inlineStr">
        <is>
          <t>フィルグラスチムBS注「サンド」</t>
        </is>
      </c>
      <c r="D539" s="4" t="inlineStr">
        <is>
          <t>クリニック(注射対応)</t>
        </is>
      </c>
      <c r="E539" s="4" t="n">
        <v>12</v>
      </c>
      <c r="F539" s="4" t="n">
        <v>72135</v>
      </c>
    </row>
    <row r="540">
      <c r="A540" s="5" t="inlineStr">
        <is>
          <t>2023-12</t>
        </is>
      </c>
      <c r="B540" s="5" t="inlineStr">
        <is>
          <t>SKU0302</t>
        </is>
      </c>
      <c r="C540" s="5" t="inlineStr">
        <is>
          <t>フィルグラスチムBS注「サンド」</t>
        </is>
      </c>
      <c r="D540" s="5" t="inlineStr">
        <is>
          <t>病院</t>
        </is>
      </c>
      <c r="E540" s="5" t="n">
        <v>112</v>
      </c>
      <c r="F540" s="5" t="n">
        <v>1142974</v>
      </c>
    </row>
    <row r="541">
      <c r="A541" s="4" t="inlineStr">
        <is>
          <t>2023-12</t>
        </is>
      </c>
      <c r="B541" s="4" t="inlineStr">
        <is>
          <t>SKU0302</t>
        </is>
      </c>
      <c r="C541" s="4" t="inlineStr">
        <is>
          <t>フィルグラスチムBS注「サンド」</t>
        </is>
      </c>
      <c r="D541" s="4" t="inlineStr">
        <is>
          <t>クリニック(注射対応)</t>
        </is>
      </c>
      <c r="E541" s="4" t="n">
        <v>20</v>
      </c>
      <c r="F541" s="4" t="n">
        <v>201980</v>
      </c>
    </row>
    <row r="542">
      <c r="A542" s="5" t="inlineStr">
        <is>
          <t>2024-01</t>
        </is>
      </c>
      <c r="B542" s="5" t="inlineStr">
        <is>
          <t>SKU0301</t>
        </is>
      </c>
      <c r="C542" s="5" t="inlineStr">
        <is>
          <t>フィルグラスチムBS注「サンド」</t>
        </is>
      </c>
      <c r="D542" s="5" t="inlineStr">
        <is>
          <t>病院</t>
        </is>
      </c>
      <c r="E542" s="5" t="n">
        <v>101</v>
      </c>
      <c r="F542" s="5" t="n">
        <v>585923</v>
      </c>
    </row>
    <row r="543">
      <c r="A543" s="4" t="inlineStr">
        <is>
          <t>2024-01</t>
        </is>
      </c>
      <c r="B543" s="4" t="inlineStr">
        <is>
          <t>SKU0301</t>
        </is>
      </c>
      <c r="C543" s="4" t="inlineStr">
        <is>
          <t>フィルグラスチムBS注「サンド」</t>
        </is>
      </c>
      <c r="D543" s="4" t="inlineStr">
        <is>
          <t>クリニック(注射対応)</t>
        </is>
      </c>
      <c r="E543" s="4" t="n">
        <v>19</v>
      </c>
      <c r="F543" s="4" t="n">
        <v>108122</v>
      </c>
    </row>
    <row r="544">
      <c r="A544" s="5" t="inlineStr">
        <is>
          <t>2024-01</t>
        </is>
      </c>
      <c r="B544" s="5" t="inlineStr">
        <is>
          <t>SKU0302</t>
        </is>
      </c>
      <c r="C544" s="5" t="inlineStr">
        <is>
          <t>フィルグラスチムBS注「サンド」</t>
        </is>
      </c>
      <c r="D544" s="5" t="inlineStr">
        <is>
          <t>病院</t>
        </is>
      </c>
      <c r="E544" s="5" t="n">
        <v>153</v>
      </c>
      <c r="F544" s="5" t="n">
        <v>1555923</v>
      </c>
    </row>
    <row r="545">
      <c r="A545" s="4" t="inlineStr">
        <is>
          <t>2024-01</t>
        </is>
      </c>
      <c r="B545" s="4" t="inlineStr">
        <is>
          <t>SKU0302</t>
        </is>
      </c>
      <c r="C545" s="4" t="inlineStr">
        <is>
          <t>フィルグラスチムBS注「サンド」</t>
        </is>
      </c>
      <c r="D545" s="4" t="inlineStr">
        <is>
          <t>クリニック(注射対応)</t>
        </is>
      </c>
      <c r="E545" s="4" t="n">
        <v>26</v>
      </c>
      <c r="F545" s="4" t="n">
        <v>263690</v>
      </c>
    </row>
    <row r="546">
      <c r="A546" s="5" t="inlineStr">
        <is>
          <t>2024-02</t>
        </is>
      </c>
      <c r="B546" s="5" t="inlineStr">
        <is>
          <t>SKU0301</t>
        </is>
      </c>
      <c r="C546" s="5" t="inlineStr">
        <is>
          <t>フィルグラスチムBS注「サンド」</t>
        </is>
      </c>
      <c r="D546" s="5" t="inlineStr">
        <is>
          <t>病院</t>
        </is>
      </c>
      <c r="E546" s="5" t="n">
        <v>106</v>
      </c>
      <c r="F546" s="5" t="n">
        <v>612622</v>
      </c>
    </row>
    <row r="547">
      <c r="A547" s="4" t="inlineStr">
        <is>
          <t>2024-02</t>
        </is>
      </c>
      <c r="B547" s="4" t="inlineStr">
        <is>
          <t>SKU0301</t>
        </is>
      </c>
      <c r="C547" s="4" t="inlineStr">
        <is>
          <t>フィルグラスチムBS注「サンド」</t>
        </is>
      </c>
      <c r="D547" s="4" t="inlineStr">
        <is>
          <t>クリニック(注射対応)</t>
        </is>
      </c>
      <c r="E547" s="4" t="n">
        <v>20</v>
      </c>
      <c r="F547" s="4" t="n">
        <v>117646</v>
      </c>
    </row>
    <row r="548">
      <c r="A548" s="5" t="inlineStr">
        <is>
          <t>2024-02</t>
        </is>
      </c>
      <c r="B548" s="5" t="inlineStr">
        <is>
          <t>SKU0302</t>
        </is>
      </c>
      <c r="C548" s="5" t="inlineStr">
        <is>
          <t>フィルグラスチムBS注「サンド」</t>
        </is>
      </c>
      <c r="D548" s="5" t="inlineStr">
        <is>
          <t>病院</t>
        </is>
      </c>
      <c r="E548" s="5" t="n">
        <v>162</v>
      </c>
      <c r="F548" s="5" t="n">
        <v>1649648</v>
      </c>
    </row>
    <row r="549">
      <c r="A549" s="4" t="inlineStr">
        <is>
          <t>2024-02</t>
        </is>
      </c>
      <c r="B549" s="4" t="inlineStr">
        <is>
          <t>SKU0302</t>
        </is>
      </c>
      <c r="C549" s="4" t="inlineStr">
        <is>
          <t>フィルグラスチムBS注「サンド」</t>
        </is>
      </c>
      <c r="D549" s="4" t="inlineStr">
        <is>
          <t>クリニック(注射対応)</t>
        </is>
      </c>
      <c r="E549" s="4" t="n">
        <v>28</v>
      </c>
      <c r="F549" s="4" t="n">
        <v>289001</v>
      </c>
    </row>
    <row r="550">
      <c r="A550" s="5" t="inlineStr">
        <is>
          <t>2024-03</t>
        </is>
      </c>
      <c r="B550" s="5" t="inlineStr">
        <is>
          <t>SKU0301</t>
        </is>
      </c>
      <c r="C550" s="5" t="inlineStr">
        <is>
          <t>フィルグラスチムBS注「サンド」</t>
        </is>
      </c>
      <c r="D550" s="5" t="inlineStr">
        <is>
          <t>病院</t>
        </is>
      </c>
      <c r="E550" s="5" t="n">
        <v>159</v>
      </c>
      <c r="F550" s="5" t="n">
        <v>923865</v>
      </c>
    </row>
    <row r="551">
      <c r="A551" s="4" t="inlineStr">
        <is>
          <t>2024-03</t>
        </is>
      </c>
      <c r="B551" s="4" t="inlineStr">
        <is>
          <t>SKU0301</t>
        </is>
      </c>
      <c r="C551" s="4" t="inlineStr">
        <is>
          <t>フィルグラスチムBS注「サンド」</t>
        </is>
      </c>
      <c r="D551" s="4" t="inlineStr">
        <is>
          <t>クリニック(注射対応)</t>
        </is>
      </c>
      <c r="E551" s="4" t="n">
        <v>26</v>
      </c>
      <c r="F551" s="4" t="n">
        <v>152838</v>
      </c>
    </row>
    <row r="552">
      <c r="A552" s="5" t="inlineStr">
        <is>
          <t>2024-03</t>
        </is>
      </c>
      <c r="B552" s="5" t="inlineStr">
        <is>
          <t>SKU0302</t>
        </is>
      </c>
      <c r="C552" s="5" t="inlineStr">
        <is>
          <t>フィルグラスチムBS注「サンド」</t>
        </is>
      </c>
      <c r="D552" s="5" t="inlineStr">
        <is>
          <t>病院</t>
        </is>
      </c>
      <c r="E552" s="5" t="n">
        <v>227</v>
      </c>
      <c r="F552" s="5" t="n">
        <v>2310841</v>
      </c>
    </row>
    <row r="553">
      <c r="A553" s="4" t="inlineStr">
        <is>
          <t>2024-03</t>
        </is>
      </c>
      <c r="B553" s="4" t="inlineStr">
        <is>
          <t>SKU0302</t>
        </is>
      </c>
      <c r="C553" s="4" t="inlineStr">
        <is>
          <t>フィルグラスチムBS注「サンド」</t>
        </is>
      </c>
      <c r="D553" s="4" t="inlineStr">
        <is>
          <t>クリニック(注射対応)</t>
        </is>
      </c>
      <c r="E553" s="4" t="n">
        <v>37</v>
      </c>
      <c r="F553" s="4" t="n">
        <v>373547</v>
      </c>
    </row>
    <row r="554">
      <c r="A554" s="5" t="inlineStr">
        <is>
          <t>2024-04</t>
        </is>
      </c>
      <c r="B554" s="5" t="inlineStr">
        <is>
          <t>SKU0301</t>
        </is>
      </c>
      <c r="C554" s="5" t="inlineStr">
        <is>
          <t>フィルグラスチムBS注「サンド」</t>
        </is>
      </c>
      <c r="D554" s="5" t="inlineStr">
        <is>
          <t>病院</t>
        </is>
      </c>
      <c r="E554" s="5" t="n">
        <v>150</v>
      </c>
      <c r="F554" s="5" t="n">
        <v>819655</v>
      </c>
    </row>
    <row r="555">
      <c r="A555" s="4" t="inlineStr">
        <is>
          <t>2024-04</t>
        </is>
      </c>
      <c r="B555" s="4" t="inlineStr">
        <is>
          <t>SKU0301</t>
        </is>
      </c>
      <c r="C555" s="4" t="inlineStr">
        <is>
          <t>フィルグラスチムBS注「サンド」</t>
        </is>
      </c>
      <c r="D555" s="4" t="inlineStr">
        <is>
          <t>クリニック(注射対応)</t>
        </is>
      </c>
      <c r="E555" s="4" t="n">
        <v>25</v>
      </c>
      <c r="F555" s="4" t="n">
        <v>134304</v>
      </c>
    </row>
    <row r="556">
      <c r="A556" s="5" t="inlineStr">
        <is>
          <t>2024-04</t>
        </is>
      </c>
      <c r="B556" s="5" t="inlineStr">
        <is>
          <t>SKU0302</t>
        </is>
      </c>
      <c r="C556" s="5" t="inlineStr">
        <is>
          <t>フィルグラスチムBS注「サンド」</t>
        </is>
      </c>
      <c r="D556" s="5" t="inlineStr">
        <is>
          <t>病院</t>
        </is>
      </c>
      <c r="E556" s="5" t="n">
        <v>192</v>
      </c>
      <c r="F556" s="5" t="n">
        <v>1854112</v>
      </c>
    </row>
    <row r="557">
      <c r="A557" s="4" t="inlineStr">
        <is>
          <t>2024-04</t>
        </is>
      </c>
      <c r="B557" s="4" t="inlineStr">
        <is>
          <t>SKU0302</t>
        </is>
      </c>
      <c r="C557" s="4" t="inlineStr">
        <is>
          <t>フィルグラスチムBS注「サンド」</t>
        </is>
      </c>
      <c r="D557" s="4" t="inlineStr">
        <is>
          <t>クリニック(注射対応)</t>
        </is>
      </c>
      <c r="E557" s="4" t="n">
        <v>37</v>
      </c>
      <c r="F557" s="4" t="n">
        <v>351902</v>
      </c>
    </row>
    <row r="558">
      <c r="A558" s="5" t="inlineStr">
        <is>
          <t>2024-05</t>
        </is>
      </c>
      <c r="B558" s="5" t="inlineStr">
        <is>
          <t>SKU0301</t>
        </is>
      </c>
      <c r="C558" s="5" t="inlineStr">
        <is>
          <t>フィルグラスチムBS注「サンド」</t>
        </is>
      </c>
      <c r="D558" s="5" t="inlineStr">
        <is>
          <t>病院</t>
        </is>
      </c>
      <c r="E558" s="5" t="n">
        <v>179</v>
      </c>
      <c r="F558" s="5" t="n">
        <v>979912</v>
      </c>
    </row>
    <row r="559">
      <c r="A559" s="4" t="inlineStr">
        <is>
          <t>2024-05</t>
        </is>
      </c>
      <c r="B559" s="4" t="inlineStr">
        <is>
          <t>SKU0301</t>
        </is>
      </c>
      <c r="C559" s="4" t="inlineStr">
        <is>
          <t>フィルグラスチムBS注「サンド」</t>
        </is>
      </c>
      <c r="D559" s="4" t="inlineStr">
        <is>
          <t>クリニック(注射対応)</t>
        </is>
      </c>
      <c r="E559" s="4" t="n">
        <v>33</v>
      </c>
      <c r="F559" s="4" t="n">
        <v>178681</v>
      </c>
    </row>
    <row r="560">
      <c r="A560" s="5" t="inlineStr">
        <is>
          <t>2024-05</t>
        </is>
      </c>
      <c r="B560" s="5" t="inlineStr">
        <is>
          <t>SKU0302</t>
        </is>
      </c>
      <c r="C560" s="5" t="inlineStr">
        <is>
          <t>フィルグラスチムBS注「サンド」</t>
        </is>
      </c>
      <c r="D560" s="5" t="inlineStr">
        <is>
          <t>病院</t>
        </is>
      </c>
      <c r="E560" s="5" t="n">
        <v>241</v>
      </c>
      <c r="F560" s="5" t="n">
        <v>2318753</v>
      </c>
    </row>
    <row r="561">
      <c r="A561" s="4" t="inlineStr">
        <is>
          <t>2024-05</t>
        </is>
      </c>
      <c r="B561" s="4" t="inlineStr">
        <is>
          <t>SKU0302</t>
        </is>
      </c>
      <c r="C561" s="4" t="inlineStr">
        <is>
          <t>フィルグラスチムBS注「サンド」</t>
        </is>
      </c>
      <c r="D561" s="4" t="inlineStr">
        <is>
          <t>クリニック(注射対応)</t>
        </is>
      </c>
      <c r="E561" s="4" t="n">
        <v>42</v>
      </c>
      <c r="F561" s="4" t="n">
        <v>405024</v>
      </c>
    </row>
    <row r="562">
      <c r="A562" s="5" t="inlineStr">
        <is>
          <t>2024-06</t>
        </is>
      </c>
      <c r="B562" s="5" t="inlineStr">
        <is>
          <t>SKU0301</t>
        </is>
      </c>
      <c r="C562" s="5" t="inlineStr">
        <is>
          <t>フィルグラスチムBS注「サンド」</t>
        </is>
      </c>
      <c r="D562" s="5" t="inlineStr">
        <is>
          <t>病院</t>
        </is>
      </c>
      <c r="E562" s="5" t="n">
        <v>201</v>
      </c>
      <c r="F562" s="5" t="n">
        <v>1102685</v>
      </c>
    </row>
    <row r="563">
      <c r="A563" s="4" t="inlineStr">
        <is>
          <t>2024-06</t>
        </is>
      </c>
      <c r="B563" s="4" t="inlineStr">
        <is>
          <t>SKU0301</t>
        </is>
      </c>
      <c r="C563" s="4" t="inlineStr">
        <is>
          <t>フィルグラスチムBS注「サンド」</t>
        </is>
      </c>
      <c r="D563" s="4" t="inlineStr">
        <is>
          <t>クリニック(注射対応)</t>
        </is>
      </c>
      <c r="E563" s="4" t="n">
        <v>34</v>
      </c>
      <c r="F563" s="4" t="n">
        <v>185615</v>
      </c>
    </row>
    <row r="564">
      <c r="A564" s="5" t="inlineStr">
        <is>
          <t>2024-06</t>
        </is>
      </c>
      <c r="B564" s="5" t="inlineStr">
        <is>
          <t>SKU0302</t>
        </is>
      </c>
      <c r="C564" s="5" t="inlineStr">
        <is>
          <t>フィルグラスチムBS注「サンド」</t>
        </is>
      </c>
      <c r="D564" s="5" t="inlineStr">
        <is>
          <t>病院</t>
        </is>
      </c>
      <c r="E564" s="5" t="n">
        <v>238</v>
      </c>
      <c r="F564" s="5" t="n">
        <v>2290465</v>
      </c>
    </row>
    <row r="565">
      <c r="A565" s="4" t="inlineStr">
        <is>
          <t>2024-06</t>
        </is>
      </c>
      <c r="B565" s="4" t="inlineStr">
        <is>
          <t>SKU0302</t>
        </is>
      </c>
      <c r="C565" s="4" t="inlineStr">
        <is>
          <t>フィルグラスチムBS注「サンド」</t>
        </is>
      </c>
      <c r="D565" s="4" t="inlineStr">
        <is>
          <t>クリニック(注射対応)</t>
        </is>
      </c>
      <c r="E565" s="4" t="n">
        <v>43</v>
      </c>
      <c r="F565" s="4" t="n">
        <v>416722</v>
      </c>
    </row>
    <row r="566">
      <c r="A566" s="5" t="inlineStr">
        <is>
          <t>2024-07</t>
        </is>
      </c>
      <c r="B566" s="5" t="inlineStr">
        <is>
          <t>SKU0301</t>
        </is>
      </c>
      <c r="C566" s="5" t="inlineStr">
        <is>
          <t>フィルグラスチムBS注「サンド」</t>
        </is>
      </c>
      <c r="D566" s="5" t="inlineStr">
        <is>
          <t>病院</t>
        </is>
      </c>
      <c r="E566" s="5" t="n">
        <v>250</v>
      </c>
      <c r="F566" s="5" t="n">
        <v>1369409</v>
      </c>
    </row>
    <row r="567">
      <c r="A567" s="4" t="inlineStr">
        <is>
          <t>2024-07</t>
        </is>
      </c>
      <c r="B567" s="4" t="inlineStr">
        <is>
          <t>SKU0301</t>
        </is>
      </c>
      <c r="C567" s="4" t="inlineStr">
        <is>
          <t>フィルグラスチムBS注「サンド」</t>
        </is>
      </c>
      <c r="D567" s="4" t="inlineStr">
        <is>
          <t>クリニック(注射対応)</t>
        </is>
      </c>
      <c r="E567" s="4" t="n">
        <v>44</v>
      </c>
      <c r="F567" s="4" t="n">
        <v>240550</v>
      </c>
    </row>
    <row r="568">
      <c r="A568" s="5" t="inlineStr">
        <is>
          <t>2024-07</t>
        </is>
      </c>
      <c r="B568" s="5" t="inlineStr">
        <is>
          <t>SKU0302</t>
        </is>
      </c>
      <c r="C568" s="5" t="inlineStr">
        <is>
          <t>フィルグラスチムBS注「サンド」</t>
        </is>
      </c>
      <c r="D568" s="5" t="inlineStr">
        <is>
          <t>病院</t>
        </is>
      </c>
      <c r="E568" s="5" t="n">
        <v>298</v>
      </c>
      <c r="F568" s="5" t="n">
        <v>2873462</v>
      </c>
    </row>
    <row r="569">
      <c r="A569" s="4" t="inlineStr">
        <is>
          <t>2024-07</t>
        </is>
      </c>
      <c r="B569" s="4" t="inlineStr">
        <is>
          <t>SKU0302</t>
        </is>
      </c>
      <c r="C569" s="4" t="inlineStr">
        <is>
          <t>フィルグラスチムBS注「サンド」</t>
        </is>
      </c>
      <c r="D569" s="4" t="inlineStr">
        <is>
          <t>クリニック(注射対応)</t>
        </is>
      </c>
      <c r="E569" s="4" t="n">
        <v>54</v>
      </c>
      <c r="F569" s="4" t="n">
        <v>520534</v>
      </c>
    </row>
    <row r="570">
      <c r="A570" s="5" t="inlineStr">
        <is>
          <t>2024-08</t>
        </is>
      </c>
      <c r="B570" s="5" t="inlineStr">
        <is>
          <t>SKU0301</t>
        </is>
      </c>
      <c r="C570" s="5" t="inlineStr">
        <is>
          <t>フィルグラスチムBS注「サンド」</t>
        </is>
      </c>
      <c r="D570" s="5" t="inlineStr">
        <is>
          <t>病院</t>
        </is>
      </c>
      <c r="E570" s="5" t="n">
        <v>247</v>
      </c>
      <c r="F570" s="5" t="n">
        <v>1353656</v>
      </c>
    </row>
    <row r="571">
      <c r="A571" s="4" t="inlineStr">
        <is>
          <t>2024-08</t>
        </is>
      </c>
      <c r="B571" s="4" t="inlineStr">
        <is>
          <t>SKU0301</t>
        </is>
      </c>
      <c r="C571" s="4" t="inlineStr">
        <is>
          <t>フィルグラスチムBS注「サンド」</t>
        </is>
      </c>
      <c r="D571" s="4" t="inlineStr">
        <is>
          <t>クリニック(注射対応)</t>
        </is>
      </c>
      <c r="E571" s="4" t="n">
        <v>44</v>
      </c>
      <c r="F571" s="4" t="n">
        <v>240458</v>
      </c>
    </row>
    <row r="572">
      <c r="A572" s="5" t="inlineStr">
        <is>
          <t>2024-08</t>
        </is>
      </c>
      <c r="B572" s="5" t="inlineStr">
        <is>
          <t>SKU0302</t>
        </is>
      </c>
      <c r="C572" s="5" t="inlineStr">
        <is>
          <t>フィルグラスチムBS注「サンド」</t>
        </is>
      </c>
      <c r="D572" s="5" t="inlineStr">
        <is>
          <t>病院</t>
        </is>
      </c>
      <c r="E572" s="5" t="n">
        <v>301</v>
      </c>
      <c r="F572" s="5" t="n">
        <v>2897026</v>
      </c>
    </row>
    <row r="573">
      <c r="A573" s="4" t="inlineStr">
        <is>
          <t>2024-08</t>
        </is>
      </c>
      <c r="B573" s="4" t="inlineStr">
        <is>
          <t>SKU0302</t>
        </is>
      </c>
      <c r="C573" s="4" t="inlineStr">
        <is>
          <t>フィルグラスチムBS注「サンド」</t>
        </is>
      </c>
      <c r="D573" s="4" t="inlineStr">
        <is>
          <t>クリニック(注射対応)</t>
        </is>
      </c>
      <c r="E573" s="4" t="n">
        <v>54</v>
      </c>
      <c r="F573" s="4" t="n">
        <v>523199</v>
      </c>
    </row>
    <row r="574">
      <c r="A574" s="5" t="inlineStr">
        <is>
          <t>2024-09</t>
        </is>
      </c>
      <c r="B574" s="5" t="inlineStr">
        <is>
          <t>SKU0301</t>
        </is>
      </c>
      <c r="C574" s="5" t="inlineStr">
        <is>
          <t>フィルグラスチムBS注「サンド」</t>
        </is>
      </c>
      <c r="D574" s="5" t="inlineStr">
        <is>
          <t>病院</t>
        </is>
      </c>
      <c r="E574" s="5" t="n">
        <v>275</v>
      </c>
      <c r="F574" s="5" t="n">
        <v>1507358</v>
      </c>
    </row>
    <row r="575">
      <c r="A575" s="4" t="inlineStr">
        <is>
          <t>2024-09</t>
        </is>
      </c>
      <c r="B575" s="4" t="inlineStr">
        <is>
          <t>SKU0301</t>
        </is>
      </c>
      <c r="C575" s="4" t="inlineStr">
        <is>
          <t>フィルグラスチムBS注「サンド」</t>
        </is>
      </c>
      <c r="D575" s="4" t="inlineStr">
        <is>
          <t>クリニック(注射対応)</t>
        </is>
      </c>
      <c r="E575" s="4" t="n">
        <v>51</v>
      </c>
      <c r="F575" s="4" t="n">
        <v>278243</v>
      </c>
    </row>
    <row r="576">
      <c r="A576" s="5" t="inlineStr">
        <is>
          <t>2024-09</t>
        </is>
      </c>
      <c r="B576" s="5" t="inlineStr">
        <is>
          <t>SKU0302</t>
        </is>
      </c>
      <c r="C576" s="5" t="inlineStr">
        <is>
          <t>フィルグラスチムBS注「サンド」</t>
        </is>
      </c>
      <c r="D576" s="5" t="inlineStr">
        <is>
          <t>病院</t>
        </is>
      </c>
      <c r="E576" s="5" t="n">
        <v>352</v>
      </c>
      <c r="F576" s="5" t="n">
        <v>3392758</v>
      </c>
    </row>
    <row r="577">
      <c r="A577" s="4" t="inlineStr">
        <is>
          <t>2024-09</t>
        </is>
      </c>
      <c r="B577" s="4" t="inlineStr">
        <is>
          <t>SKU0302</t>
        </is>
      </c>
      <c r="C577" s="4" t="inlineStr">
        <is>
          <t>フィルグラスチムBS注「サンド」</t>
        </is>
      </c>
      <c r="D577" s="4" t="inlineStr">
        <is>
          <t>クリニック(注射対応)</t>
        </is>
      </c>
      <c r="E577" s="4" t="n">
        <v>60</v>
      </c>
      <c r="F577" s="4" t="n">
        <v>581976</v>
      </c>
    </row>
    <row r="578">
      <c r="A578" s="5" t="inlineStr">
        <is>
          <t>2024-10</t>
        </is>
      </c>
      <c r="B578" s="5" t="inlineStr">
        <is>
          <t>SKU0301</t>
        </is>
      </c>
      <c r="C578" s="5" t="inlineStr">
        <is>
          <t>フィルグラスチムBS注「サンド」</t>
        </is>
      </c>
      <c r="D578" s="5" t="inlineStr">
        <is>
          <t>病院</t>
        </is>
      </c>
      <c r="E578" s="5" t="n">
        <v>328</v>
      </c>
      <c r="F578" s="5" t="n">
        <v>1799363</v>
      </c>
    </row>
    <row r="579">
      <c r="A579" s="4" t="inlineStr">
        <is>
          <t>2024-10</t>
        </is>
      </c>
      <c r="B579" s="4" t="inlineStr">
        <is>
          <t>SKU0301</t>
        </is>
      </c>
      <c r="C579" s="4" t="inlineStr">
        <is>
          <t>フィルグラスチムBS注「サンド」</t>
        </is>
      </c>
      <c r="D579" s="4" t="inlineStr">
        <is>
          <t>クリニック(注射対応)</t>
        </is>
      </c>
      <c r="E579" s="4" t="n">
        <v>59</v>
      </c>
      <c r="F579" s="4" t="n">
        <v>322662</v>
      </c>
    </row>
    <row r="580">
      <c r="A580" s="5" t="inlineStr">
        <is>
          <t>2024-10</t>
        </is>
      </c>
      <c r="B580" s="5" t="inlineStr">
        <is>
          <t>SKU0302</t>
        </is>
      </c>
      <c r="C580" s="5" t="inlineStr">
        <is>
          <t>フィルグラスチムBS注「サンド」</t>
        </is>
      </c>
      <c r="D580" s="5" t="inlineStr">
        <is>
          <t>病院</t>
        </is>
      </c>
      <c r="E580" s="5" t="n">
        <v>388</v>
      </c>
      <c r="F580" s="5" t="n">
        <v>3741473</v>
      </c>
    </row>
    <row r="581">
      <c r="A581" s="4" t="inlineStr">
        <is>
          <t>2024-10</t>
        </is>
      </c>
      <c r="B581" s="4" t="inlineStr">
        <is>
          <t>SKU0302</t>
        </is>
      </c>
      <c r="C581" s="4" t="inlineStr">
        <is>
          <t>フィルグラスチムBS注「サンド」</t>
        </is>
      </c>
      <c r="D581" s="4" t="inlineStr">
        <is>
          <t>クリニック(注射対応)</t>
        </is>
      </c>
      <c r="E581" s="4" t="n">
        <v>68</v>
      </c>
      <c r="F581" s="4" t="n">
        <v>653554</v>
      </c>
    </row>
    <row r="582">
      <c r="A582" s="5" t="inlineStr">
        <is>
          <t>2024-11</t>
        </is>
      </c>
      <c r="B582" s="5" t="inlineStr">
        <is>
          <t>SKU0301</t>
        </is>
      </c>
      <c r="C582" s="5" t="inlineStr">
        <is>
          <t>フィルグラスチムBS注「サンド」</t>
        </is>
      </c>
      <c r="D582" s="5" t="inlineStr">
        <is>
          <t>病院</t>
        </is>
      </c>
      <c r="E582" s="5" t="n">
        <v>348</v>
      </c>
      <c r="F582" s="5" t="n">
        <v>1905415</v>
      </c>
    </row>
    <row r="583">
      <c r="A583" s="4" t="inlineStr">
        <is>
          <t>2024-11</t>
        </is>
      </c>
      <c r="B583" s="4" t="inlineStr">
        <is>
          <t>SKU0301</t>
        </is>
      </c>
      <c r="C583" s="4" t="inlineStr">
        <is>
          <t>フィルグラスチムBS注「サンド」</t>
        </is>
      </c>
      <c r="D583" s="4" t="inlineStr">
        <is>
          <t>クリニック(注射対応)</t>
        </is>
      </c>
      <c r="E583" s="4" t="n">
        <v>62</v>
      </c>
      <c r="F583" s="4" t="n">
        <v>339420</v>
      </c>
    </row>
    <row r="584">
      <c r="A584" s="5" t="inlineStr">
        <is>
          <t>2024-11</t>
        </is>
      </c>
      <c r="B584" s="5" t="inlineStr">
        <is>
          <t>SKU0302</t>
        </is>
      </c>
      <c r="C584" s="5" t="inlineStr">
        <is>
          <t>フィルグラスチムBS注「サンド」</t>
        </is>
      </c>
      <c r="D584" s="5" t="inlineStr">
        <is>
          <t>病院</t>
        </is>
      </c>
      <c r="E584" s="5" t="n">
        <v>405</v>
      </c>
      <c r="F584" s="5" t="n">
        <v>3906557</v>
      </c>
    </row>
    <row r="585">
      <c r="A585" s="4" t="inlineStr">
        <is>
          <t>2024-11</t>
        </is>
      </c>
      <c r="B585" s="4" t="inlineStr">
        <is>
          <t>SKU0302</t>
        </is>
      </c>
      <c r="C585" s="4" t="inlineStr">
        <is>
          <t>フィルグラスチムBS注「サンド」</t>
        </is>
      </c>
      <c r="D585" s="4" t="inlineStr">
        <is>
          <t>クリニック(注射対応)</t>
        </is>
      </c>
      <c r="E585" s="4" t="n">
        <v>74</v>
      </c>
      <c r="F585" s="4" t="n">
        <v>717798</v>
      </c>
    </row>
    <row r="586">
      <c r="A586" s="5" t="inlineStr">
        <is>
          <t>2024-12</t>
        </is>
      </c>
      <c r="B586" s="5" t="inlineStr">
        <is>
          <t>SKU0301</t>
        </is>
      </c>
      <c r="C586" s="5" t="inlineStr">
        <is>
          <t>フィルグラスチムBS注「サンド」</t>
        </is>
      </c>
      <c r="D586" s="5" t="inlineStr">
        <is>
          <t>病院</t>
        </is>
      </c>
      <c r="E586" s="5" t="n">
        <v>443</v>
      </c>
      <c r="F586" s="5" t="n">
        <v>2426863</v>
      </c>
    </row>
    <row r="587">
      <c r="A587" s="4" t="inlineStr">
        <is>
          <t>2024-12</t>
        </is>
      </c>
      <c r="B587" s="4" t="inlineStr">
        <is>
          <t>SKU0301</t>
        </is>
      </c>
      <c r="C587" s="4" t="inlineStr">
        <is>
          <t>フィルグラスチムBS注「サンド」</t>
        </is>
      </c>
      <c r="D587" s="4" t="inlineStr">
        <is>
          <t>クリニック(注射対応)</t>
        </is>
      </c>
      <c r="E587" s="4" t="n">
        <v>73</v>
      </c>
      <c r="F587" s="4" t="n">
        <v>399141</v>
      </c>
    </row>
    <row r="588">
      <c r="A588" s="5" t="inlineStr">
        <is>
          <t>2024-12</t>
        </is>
      </c>
      <c r="B588" s="5" t="inlineStr">
        <is>
          <t>SKU0302</t>
        </is>
      </c>
      <c r="C588" s="5" t="inlineStr">
        <is>
          <t>フィルグラスチムBS注「サンド」</t>
        </is>
      </c>
      <c r="D588" s="5" t="inlineStr">
        <is>
          <t>病院</t>
        </is>
      </c>
      <c r="E588" s="5" t="n">
        <v>499</v>
      </c>
      <c r="F588" s="5" t="n">
        <v>4808846</v>
      </c>
    </row>
    <row r="589">
      <c r="A589" s="4" t="inlineStr">
        <is>
          <t>2024-12</t>
        </is>
      </c>
      <c r="B589" s="4" t="inlineStr">
        <is>
          <t>SKU0302</t>
        </is>
      </c>
      <c r="C589" s="4" t="inlineStr">
        <is>
          <t>フィルグラスチムBS注「サンド」</t>
        </is>
      </c>
      <c r="D589" s="4" t="inlineStr">
        <is>
          <t>クリニック(注射対応)</t>
        </is>
      </c>
      <c r="E589" s="4" t="n">
        <v>87</v>
      </c>
      <c r="F589" s="4" t="n">
        <v>842386</v>
      </c>
    </row>
    <row r="590">
      <c r="A590" s="5" t="inlineStr">
        <is>
          <t>2025-01</t>
        </is>
      </c>
      <c r="B590" s="5" t="inlineStr">
        <is>
          <t>SKU0301</t>
        </is>
      </c>
      <c r="C590" s="5" t="inlineStr">
        <is>
          <t>フィルグラスチムBS注「サンド」</t>
        </is>
      </c>
      <c r="D590" s="5" t="inlineStr">
        <is>
          <t>病院</t>
        </is>
      </c>
      <c r="E590" s="5" t="n">
        <v>443</v>
      </c>
      <c r="F590" s="5" t="n">
        <v>2425651</v>
      </c>
    </row>
    <row r="591">
      <c r="A591" s="4" t="inlineStr">
        <is>
          <t>2025-01</t>
        </is>
      </c>
      <c r="B591" s="4" t="inlineStr">
        <is>
          <t>SKU0301</t>
        </is>
      </c>
      <c r="C591" s="4" t="inlineStr">
        <is>
          <t>フィルグラスチムBS注「サンド」</t>
        </is>
      </c>
      <c r="D591" s="4" t="inlineStr">
        <is>
          <t>クリニック(注射対応)</t>
        </is>
      </c>
      <c r="E591" s="4" t="n">
        <v>77</v>
      </c>
      <c r="F591" s="4" t="n">
        <v>423550</v>
      </c>
    </row>
    <row r="592">
      <c r="A592" s="5" t="inlineStr">
        <is>
          <t>2025-01</t>
        </is>
      </c>
      <c r="B592" s="5" t="inlineStr">
        <is>
          <t>SKU0302</t>
        </is>
      </c>
      <c r="C592" s="5" t="inlineStr">
        <is>
          <t>フィルグラスチムBS注「サンド」</t>
        </is>
      </c>
      <c r="D592" s="5" t="inlineStr">
        <is>
          <t>病院</t>
        </is>
      </c>
      <c r="E592" s="5" t="n">
        <v>472</v>
      </c>
      <c r="F592" s="5" t="n">
        <v>4553943</v>
      </c>
    </row>
    <row r="593">
      <c r="A593" s="4" t="inlineStr">
        <is>
          <t>2025-01</t>
        </is>
      </c>
      <c r="B593" s="4" t="inlineStr">
        <is>
          <t>SKU0302</t>
        </is>
      </c>
      <c r="C593" s="4" t="inlineStr">
        <is>
          <t>フィルグラスチムBS注「サンド」</t>
        </is>
      </c>
      <c r="D593" s="4" t="inlineStr">
        <is>
          <t>クリニック(注射対応)</t>
        </is>
      </c>
      <c r="E593" s="4" t="n">
        <v>84</v>
      </c>
      <c r="F593" s="4" t="n">
        <v>808457</v>
      </c>
    </row>
    <row r="594">
      <c r="A594" s="5" t="inlineStr">
        <is>
          <t>2025-02</t>
        </is>
      </c>
      <c r="B594" s="5" t="inlineStr">
        <is>
          <t>SKU0301</t>
        </is>
      </c>
      <c r="C594" s="5" t="inlineStr">
        <is>
          <t>フィルグラスチムBS注「サンド」</t>
        </is>
      </c>
      <c r="D594" s="5" t="inlineStr">
        <is>
          <t>病院</t>
        </is>
      </c>
      <c r="E594" s="5" t="n">
        <v>494</v>
      </c>
      <c r="F594" s="5" t="n">
        <v>2705253</v>
      </c>
    </row>
    <row r="595">
      <c r="A595" s="4" t="inlineStr">
        <is>
          <t>2025-02</t>
        </is>
      </c>
      <c r="B595" s="4" t="inlineStr">
        <is>
          <t>SKU0301</t>
        </is>
      </c>
      <c r="C595" s="4" t="inlineStr">
        <is>
          <t>フィルグラスチムBS注「サンド」</t>
        </is>
      </c>
      <c r="D595" s="4" t="inlineStr">
        <is>
          <t>クリニック(注射対応)</t>
        </is>
      </c>
      <c r="E595" s="4" t="n">
        <v>90</v>
      </c>
      <c r="F595" s="4" t="n">
        <v>491698</v>
      </c>
    </row>
    <row r="596">
      <c r="A596" s="5" t="inlineStr">
        <is>
          <t>2025-02</t>
        </is>
      </c>
      <c r="B596" s="5" t="inlineStr">
        <is>
          <t>SKU0302</t>
        </is>
      </c>
      <c r="C596" s="5" t="inlineStr">
        <is>
          <t>フィルグラスチムBS注「サンド」</t>
        </is>
      </c>
      <c r="D596" s="5" t="inlineStr">
        <is>
          <t>病院</t>
        </is>
      </c>
      <c r="E596" s="5" t="n">
        <v>509</v>
      </c>
      <c r="F596" s="5" t="n">
        <v>4904689</v>
      </c>
    </row>
    <row r="597">
      <c r="A597" s="4" t="inlineStr">
        <is>
          <t>2025-02</t>
        </is>
      </c>
      <c r="B597" s="4" t="inlineStr">
        <is>
          <t>SKU0302</t>
        </is>
      </c>
      <c r="C597" s="4" t="inlineStr">
        <is>
          <t>フィルグラスチムBS注「サンド」</t>
        </is>
      </c>
      <c r="D597" s="4" t="inlineStr">
        <is>
          <t>クリニック(注射対応)</t>
        </is>
      </c>
      <c r="E597" s="4" t="n">
        <v>97</v>
      </c>
      <c r="F597" s="4" t="n">
        <v>936734</v>
      </c>
    </row>
    <row r="598">
      <c r="A598" s="5" t="inlineStr">
        <is>
          <t>2025-03</t>
        </is>
      </c>
      <c r="B598" s="5" t="inlineStr">
        <is>
          <t>SKU0301</t>
        </is>
      </c>
      <c r="C598" s="5" t="inlineStr">
        <is>
          <t>フィルグラスチムBS注「サンド」</t>
        </is>
      </c>
      <c r="D598" s="5" t="inlineStr">
        <is>
          <t>病院</t>
        </is>
      </c>
      <c r="E598" s="5" t="n">
        <v>622</v>
      </c>
      <c r="F598" s="5" t="n">
        <v>3411388</v>
      </c>
    </row>
    <row r="599">
      <c r="A599" s="4" t="inlineStr">
        <is>
          <t>2025-03</t>
        </is>
      </c>
      <c r="B599" s="4" t="inlineStr">
        <is>
          <t>SKU0301</t>
        </is>
      </c>
      <c r="C599" s="4" t="inlineStr">
        <is>
          <t>フィルグラスチムBS注「サンド」</t>
        </is>
      </c>
      <c r="D599" s="4" t="inlineStr">
        <is>
          <t>クリニック(注射対応)</t>
        </is>
      </c>
      <c r="E599" s="4" t="n">
        <v>106</v>
      </c>
      <c r="F599" s="4" t="n">
        <v>578597</v>
      </c>
    </row>
    <row r="600">
      <c r="A600" s="5" t="inlineStr">
        <is>
          <t>2025-03</t>
        </is>
      </c>
      <c r="B600" s="5" t="inlineStr">
        <is>
          <t>SKU0302</t>
        </is>
      </c>
      <c r="C600" s="5" t="inlineStr">
        <is>
          <t>フィルグラスチムBS注「サンド」</t>
        </is>
      </c>
      <c r="D600" s="5" t="inlineStr">
        <is>
          <t>病院</t>
        </is>
      </c>
      <c r="E600" s="5" t="n">
        <v>662</v>
      </c>
      <c r="F600" s="5" t="n">
        <v>6378906</v>
      </c>
    </row>
    <row r="601">
      <c r="A601" s="4" t="inlineStr">
        <is>
          <t>2025-03</t>
        </is>
      </c>
      <c r="B601" s="4" t="inlineStr">
        <is>
          <t>SKU0302</t>
        </is>
      </c>
      <c r="C601" s="4" t="inlineStr">
        <is>
          <t>フィルグラスチムBS注「サンド」</t>
        </is>
      </c>
      <c r="D601" s="4" t="inlineStr">
        <is>
          <t>クリニック(注射対応)</t>
        </is>
      </c>
      <c r="E601" s="4" t="n">
        <v>112</v>
      </c>
      <c r="F601" s="4" t="n">
        <v>1084053</v>
      </c>
    </row>
    <row r="602">
      <c r="A602" s="5" t="inlineStr">
        <is>
          <t>2025-04</t>
        </is>
      </c>
      <c r="B602" s="5" t="inlineStr">
        <is>
          <t>SKU0301</t>
        </is>
      </c>
      <c r="C602" s="5" t="inlineStr">
        <is>
          <t>フィルグラスチムBS注「サンド」</t>
        </is>
      </c>
      <c r="D602" s="5" t="inlineStr">
        <is>
          <t>病院</t>
        </is>
      </c>
      <c r="E602" s="5" t="n">
        <v>517</v>
      </c>
      <c r="F602" s="5" t="n">
        <v>2751036</v>
      </c>
    </row>
    <row r="603">
      <c r="A603" s="4" t="inlineStr">
        <is>
          <t>2025-04</t>
        </is>
      </c>
      <c r="B603" s="4" t="inlineStr">
        <is>
          <t>SKU0301</t>
        </is>
      </c>
      <c r="C603" s="4" t="inlineStr">
        <is>
          <t>フィルグラスチムBS注「サンド」</t>
        </is>
      </c>
      <c r="D603" s="4" t="inlineStr">
        <is>
          <t>クリニック(注射対応)</t>
        </is>
      </c>
      <c r="E603" s="4" t="n">
        <v>87</v>
      </c>
      <c r="F603" s="4" t="n">
        <v>463529</v>
      </c>
    </row>
    <row r="604">
      <c r="A604" s="5" t="inlineStr">
        <is>
          <t>2025-04</t>
        </is>
      </c>
      <c r="B604" s="5" t="inlineStr">
        <is>
          <t>SKU0302</t>
        </is>
      </c>
      <c r="C604" s="5" t="inlineStr">
        <is>
          <t>フィルグラスチムBS注「サンド」</t>
        </is>
      </c>
      <c r="D604" s="5" t="inlineStr">
        <is>
          <t>病院</t>
        </is>
      </c>
      <c r="E604" s="5" t="n">
        <v>513</v>
      </c>
      <c r="F604" s="5" t="n">
        <v>4793146</v>
      </c>
    </row>
    <row r="605">
      <c r="A605" s="4" t="inlineStr">
        <is>
          <t>2025-04</t>
        </is>
      </c>
      <c r="B605" s="4" t="inlineStr">
        <is>
          <t>SKU0302</t>
        </is>
      </c>
      <c r="C605" s="4" t="inlineStr">
        <is>
          <t>フィルグラスチムBS注「サンド」</t>
        </is>
      </c>
      <c r="D605" s="4" t="inlineStr">
        <is>
          <t>クリニック(注射対応)</t>
        </is>
      </c>
      <c r="E605" s="4" t="n">
        <v>100</v>
      </c>
      <c r="F605" s="4" t="n">
        <v>935571</v>
      </c>
    </row>
    <row r="606">
      <c r="A606" s="5" t="inlineStr">
        <is>
          <t>2025-05</t>
        </is>
      </c>
      <c r="B606" s="5" t="inlineStr">
        <is>
          <t>SKU0301</t>
        </is>
      </c>
      <c r="C606" s="5" t="inlineStr">
        <is>
          <t>フィルグラスチムBS注「サンド」</t>
        </is>
      </c>
      <c r="D606" s="5" t="inlineStr">
        <is>
          <t>病院</t>
        </is>
      </c>
      <c r="E606" s="5" t="n">
        <v>538</v>
      </c>
      <c r="F606" s="5" t="n">
        <v>2860265</v>
      </c>
    </row>
    <row r="607">
      <c r="A607" s="4" t="inlineStr">
        <is>
          <t>2025-05</t>
        </is>
      </c>
      <c r="B607" s="4" t="inlineStr">
        <is>
          <t>SKU0301</t>
        </is>
      </c>
      <c r="C607" s="4" t="inlineStr">
        <is>
          <t>フィルグラスチムBS注「サンド」</t>
        </is>
      </c>
      <c r="D607" s="4" t="inlineStr">
        <is>
          <t>クリニック(注射対応)</t>
        </is>
      </c>
      <c r="E607" s="4" t="n">
        <v>96</v>
      </c>
      <c r="F607" s="4" t="n">
        <v>513014</v>
      </c>
    </row>
    <row r="608">
      <c r="A608" s="5" t="inlineStr">
        <is>
          <t>2025-05</t>
        </is>
      </c>
      <c r="B608" s="5" t="inlineStr">
        <is>
          <t>SKU0302</t>
        </is>
      </c>
      <c r="C608" s="5" t="inlineStr">
        <is>
          <t>フィルグラスチムBS注「サンド」</t>
        </is>
      </c>
      <c r="D608" s="5" t="inlineStr">
        <is>
          <t>病院</t>
        </is>
      </c>
      <c r="E608" s="5" t="n">
        <v>553</v>
      </c>
      <c r="F608" s="5" t="n">
        <v>5170460</v>
      </c>
    </row>
    <row r="609">
      <c r="A609" s="4" t="inlineStr">
        <is>
          <t>2025-05</t>
        </is>
      </c>
      <c r="B609" s="4" t="inlineStr">
        <is>
          <t>SKU0302</t>
        </is>
      </c>
      <c r="C609" s="4" t="inlineStr">
        <is>
          <t>フィルグラスチムBS注「サンド」</t>
        </is>
      </c>
      <c r="D609" s="4" t="inlineStr">
        <is>
          <t>クリニック(注射対応)</t>
        </is>
      </c>
      <c r="E609" s="4" t="n">
        <v>98</v>
      </c>
      <c r="F609" s="4" t="n">
        <v>911762</v>
      </c>
    </row>
    <row r="610">
      <c r="A610" s="5" t="inlineStr">
        <is>
          <t>2025-06</t>
        </is>
      </c>
      <c r="B610" s="5" t="inlineStr">
        <is>
          <t>SKU0301</t>
        </is>
      </c>
      <c r="C610" s="5" t="inlineStr">
        <is>
          <t>フィルグラスチムBS注「サンド」</t>
        </is>
      </c>
      <c r="D610" s="5" t="inlineStr">
        <is>
          <t>病院</t>
        </is>
      </c>
      <c r="E610" s="5" t="n">
        <v>605</v>
      </c>
      <c r="F610" s="5" t="n">
        <v>3216811</v>
      </c>
    </row>
    <row r="611">
      <c r="A611" s="4" t="inlineStr">
        <is>
          <t>2025-06</t>
        </is>
      </c>
      <c r="B611" s="4" t="inlineStr">
        <is>
          <t>SKU0301</t>
        </is>
      </c>
      <c r="C611" s="4" t="inlineStr">
        <is>
          <t>フィルグラスチムBS注「サンド」</t>
        </is>
      </c>
      <c r="D611" s="4" t="inlineStr">
        <is>
          <t>クリニック(注射対応)</t>
        </is>
      </c>
      <c r="E611" s="4" t="n">
        <v>105</v>
      </c>
      <c r="F611" s="4" t="n">
        <v>558159</v>
      </c>
    </row>
    <row r="612">
      <c r="A612" s="5" t="inlineStr">
        <is>
          <t>2025-06</t>
        </is>
      </c>
      <c r="B612" s="5" t="inlineStr">
        <is>
          <t>SKU0302</t>
        </is>
      </c>
      <c r="C612" s="5" t="inlineStr">
        <is>
          <t>フィルグラスチムBS注「サンド」</t>
        </is>
      </c>
      <c r="D612" s="5" t="inlineStr">
        <is>
          <t>病院</t>
        </is>
      </c>
      <c r="E612" s="5" t="n">
        <v>628</v>
      </c>
      <c r="F612" s="5" t="n">
        <v>5867480</v>
      </c>
    </row>
    <row r="613">
      <c r="A613" s="4" t="inlineStr">
        <is>
          <t>2025-06</t>
        </is>
      </c>
      <c r="B613" s="4" t="inlineStr">
        <is>
          <t>SKU0302</t>
        </is>
      </c>
      <c r="C613" s="4" t="inlineStr">
        <is>
          <t>フィルグラスチムBS注「サンド」</t>
        </is>
      </c>
      <c r="D613" s="4" t="inlineStr">
        <is>
          <t>クリニック(注射対応)</t>
        </is>
      </c>
      <c r="E613" s="4" t="n">
        <v>111</v>
      </c>
      <c r="F613" s="4" t="n">
        <v>1037728</v>
      </c>
    </row>
    <row r="614">
      <c r="A614" s="5" t="inlineStr">
        <is>
          <t>2025-07</t>
        </is>
      </c>
      <c r="B614" s="5" t="inlineStr">
        <is>
          <t>SKU0301</t>
        </is>
      </c>
      <c r="C614" s="5" t="inlineStr">
        <is>
          <t>フィルグラスチムBS注「サンド」</t>
        </is>
      </c>
      <c r="D614" s="5" t="inlineStr">
        <is>
          <t>病院</t>
        </is>
      </c>
      <c r="E614" s="5" t="n">
        <v>678</v>
      </c>
      <c r="F614" s="5" t="n">
        <v>3604951</v>
      </c>
    </row>
    <row r="615">
      <c r="A615" s="4" t="inlineStr">
        <is>
          <t>2025-07</t>
        </is>
      </c>
      <c r="B615" s="4" t="inlineStr">
        <is>
          <t>SKU0301</t>
        </is>
      </c>
      <c r="C615" s="4" t="inlineStr">
        <is>
          <t>フィルグラスチムBS注「サンド」</t>
        </is>
      </c>
      <c r="D615" s="4" t="inlineStr">
        <is>
          <t>クリニック(注射対応)</t>
        </is>
      </c>
      <c r="E615" s="4" t="n">
        <v>119</v>
      </c>
      <c r="F615" s="4" t="n">
        <v>634613</v>
      </c>
    </row>
    <row r="616">
      <c r="A616" s="5" t="inlineStr">
        <is>
          <t>2025-07</t>
        </is>
      </c>
      <c r="B616" s="5" t="inlineStr">
        <is>
          <t>SKU0302</t>
        </is>
      </c>
      <c r="C616" s="5" t="inlineStr">
        <is>
          <t>フィルグラスチムBS注「サンド」</t>
        </is>
      </c>
      <c r="D616" s="5" t="inlineStr">
        <is>
          <t>病院</t>
        </is>
      </c>
      <c r="E616" s="5" t="n">
        <v>703</v>
      </c>
      <c r="F616" s="5" t="n">
        <v>6576518</v>
      </c>
    </row>
    <row r="617">
      <c r="A617" s="4" t="inlineStr">
        <is>
          <t>2025-07</t>
        </is>
      </c>
      <c r="B617" s="4" t="inlineStr">
        <is>
          <t>SKU0302</t>
        </is>
      </c>
      <c r="C617" s="4" t="inlineStr">
        <is>
          <t>フィルグラスチムBS注「サンド」</t>
        </is>
      </c>
      <c r="D617" s="4" t="inlineStr">
        <is>
          <t>クリニック(注射対応)</t>
        </is>
      </c>
      <c r="E617" s="4" t="n">
        <v>115</v>
      </c>
      <c r="F617" s="4" t="n">
        <v>1072621</v>
      </c>
    </row>
    <row r="618">
      <c r="A618" s="5" t="inlineStr">
        <is>
          <t>2025-08</t>
        </is>
      </c>
      <c r="B618" s="5" t="inlineStr">
        <is>
          <t>SKU0301</t>
        </is>
      </c>
      <c r="C618" s="5" t="inlineStr">
        <is>
          <t>フィルグラスチムBS注「サンド」</t>
        </is>
      </c>
      <c r="D618" s="5" t="inlineStr">
        <is>
          <t>病院</t>
        </is>
      </c>
      <c r="E618" s="5" t="n">
        <v>741</v>
      </c>
      <c r="F618" s="5" t="n">
        <v>3941675</v>
      </c>
    </row>
    <row r="619">
      <c r="A619" s="4" t="inlineStr">
        <is>
          <t>2025-08</t>
        </is>
      </c>
      <c r="B619" s="4" t="inlineStr">
        <is>
          <t>SKU0301</t>
        </is>
      </c>
      <c r="C619" s="4" t="inlineStr">
        <is>
          <t>フィルグラスチムBS注「サンド」</t>
        </is>
      </c>
      <c r="D619" s="4" t="inlineStr">
        <is>
          <t>クリニック(注射対応)</t>
        </is>
      </c>
      <c r="E619" s="4" t="n">
        <v>136</v>
      </c>
      <c r="F619" s="4" t="n">
        <v>720414</v>
      </c>
    </row>
    <row r="620">
      <c r="A620" s="5" t="inlineStr">
        <is>
          <t>2025-08</t>
        </is>
      </c>
      <c r="B620" s="5" t="inlineStr">
        <is>
          <t>SKU0302</t>
        </is>
      </c>
      <c r="C620" s="5" t="inlineStr">
        <is>
          <t>フィルグラスチムBS注「サンド」</t>
        </is>
      </c>
      <c r="D620" s="5" t="inlineStr">
        <is>
          <t>病院</t>
        </is>
      </c>
      <c r="E620" s="5" t="n">
        <v>756</v>
      </c>
      <c r="F620" s="5" t="n">
        <v>7064051</v>
      </c>
    </row>
    <row r="621">
      <c r="A621" s="4" t="inlineStr">
        <is>
          <t>2025-08</t>
        </is>
      </c>
      <c r="B621" s="4" t="inlineStr">
        <is>
          <t>SKU0302</t>
        </is>
      </c>
      <c r="C621" s="4" t="inlineStr">
        <is>
          <t>フィルグラスチムBS注「サンド」</t>
        </is>
      </c>
      <c r="D621" s="4" t="inlineStr">
        <is>
          <t>クリニック(注射対応)</t>
        </is>
      </c>
      <c r="E621" s="4" t="n">
        <v>123</v>
      </c>
      <c r="F621" s="4" t="n">
        <v>1149807</v>
      </c>
    </row>
    <row r="622">
      <c r="A622" s="5" t="inlineStr">
        <is>
          <t>2025-09</t>
        </is>
      </c>
      <c r="B622" s="5" t="inlineStr">
        <is>
          <t>SKU0301</t>
        </is>
      </c>
      <c r="C622" s="5" t="inlineStr">
        <is>
          <t>フィルグラスチムBS注「サンド」</t>
        </is>
      </c>
      <c r="D622" s="5" t="inlineStr">
        <is>
          <t>病院</t>
        </is>
      </c>
      <c r="E622" s="5" t="n">
        <v>757</v>
      </c>
      <c r="F622" s="5" t="n">
        <v>4024425</v>
      </c>
    </row>
    <row r="623">
      <c r="A623" s="4" t="inlineStr">
        <is>
          <t>2025-09</t>
        </is>
      </c>
      <c r="B623" s="4" t="inlineStr">
        <is>
          <t>SKU0301</t>
        </is>
      </c>
      <c r="C623" s="4" t="inlineStr">
        <is>
          <t>フィルグラスチムBS注「サンド」</t>
        </is>
      </c>
      <c r="D623" s="4" t="inlineStr">
        <is>
          <t>クリニック(注射対応)</t>
        </is>
      </c>
      <c r="E623" s="4" t="n">
        <v>140</v>
      </c>
      <c r="F623" s="4" t="n">
        <v>746120</v>
      </c>
    </row>
    <row r="624">
      <c r="A624" s="5" t="inlineStr">
        <is>
          <t>2025-09</t>
        </is>
      </c>
      <c r="B624" s="5" t="inlineStr">
        <is>
          <t>SKU0302</t>
        </is>
      </c>
      <c r="C624" s="5" t="inlineStr">
        <is>
          <t>フィルグラスチムBS注「サンド」</t>
        </is>
      </c>
      <c r="D624" s="5" t="inlineStr">
        <is>
          <t>病院</t>
        </is>
      </c>
      <c r="E624" s="5" t="n">
        <v>745</v>
      </c>
      <c r="F624" s="5" t="n">
        <v>6968839</v>
      </c>
    </row>
    <row r="625">
      <c r="A625" s="4" t="inlineStr">
        <is>
          <t>2025-09</t>
        </is>
      </c>
      <c r="B625" s="4" t="inlineStr">
        <is>
          <t>SKU0302</t>
        </is>
      </c>
      <c r="C625" s="4" t="inlineStr">
        <is>
          <t>フィルグラスチムBS注「サンド」</t>
        </is>
      </c>
      <c r="D625" s="4" t="inlineStr">
        <is>
          <t>クリニック(注射対応)</t>
        </is>
      </c>
      <c r="E625" s="4" t="n">
        <v>130</v>
      </c>
      <c r="F625" s="4" t="n">
        <v>1218427</v>
      </c>
    </row>
    <row r="626">
      <c r="A626" s="5" t="inlineStr">
        <is>
          <t>2025-10</t>
        </is>
      </c>
      <c r="B626" s="5" t="inlineStr">
        <is>
          <t>SKU0301</t>
        </is>
      </c>
      <c r="C626" s="5" t="inlineStr">
        <is>
          <t>フィルグラスチムBS注「サンド」</t>
        </is>
      </c>
      <c r="D626" s="5" t="inlineStr">
        <is>
          <t>病院</t>
        </is>
      </c>
      <c r="E626" s="5" t="n">
        <v>818</v>
      </c>
      <c r="F626" s="5" t="n">
        <v>4349702</v>
      </c>
    </row>
    <row r="627">
      <c r="A627" s="4" t="inlineStr">
        <is>
          <t>2025-10</t>
        </is>
      </c>
      <c r="B627" s="4" t="inlineStr">
        <is>
          <t>SKU0301</t>
        </is>
      </c>
      <c r="C627" s="4" t="inlineStr">
        <is>
          <t>フィルグラスチムBS注「サンド」</t>
        </is>
      </c>
      <c r="D627" s="4" t="inlineStr">
        <is>
          <t>クリニック(注射対応)</t>
        </is>
      </c>
      <c r="E627" s="4" t="n">
        <v>144</v>
      </c>
      <c r="F627" s="4" t="n">
        <v>763744</v>
      </c>
    </row>
    <row r="628">
      <c r="A628" s="5" t="inlineStr">
        <is>
          <t>2025-10</t>
        </is>
      </c>
      <c r="B628" s="5" t="inlineStr">
        <is>
          <t>SKU0302</t>
        </is>
      </c>
      <c r="C628" s="5" t="inlineStr">
        <is>
          <t>フィルグラスチムBS注「サンド」</t>
        </is>
      </c>
      <c r="D628" s="5" t="inlineStr">
        <is>
          <t>病院</t>
        </is>
      </c>
      <c r="E628" s="5" t="n">
        <v>782</v>
      </c>
      <c r="F628" s="5" t="n">
        <v>7313928</v>
      </c>
    </row>
    <row r="629">
      <c r="A629" s="4" t="inlineStr">
        <is>
          <t>2025-10</t>
        </is>
      </c>
      <c r="B629" s="4" t="inlineStr">
        <is>
          <t>SKU0302</t>
        </is>
      </c>
      <c r="C629" s="4" t="inlineStr">
        <is>
          <t>フィルグラスチムBS注「サンド」</t>
        </is>
      </c>
      <c r="D629" s="4" t="inlineStr">
        <is>
          <t>クリニック(注射対応)</t>
        </is>
      </c>
      <c r="E629" s="4" t="n">
        <v>136</v>
      </c>
      <c r="F629" s="4" t="n">
        <v>1269940</v>
      </c>
    </row>
    <row r="630">
      <c r="A630" s="5" t="inlineStr">
        <is>
          <t>2025-11</t>
        </is>
      </c>
      <c r="B630" s="5" t="inlineStr">
        <is>
          <t>SKU0301</t>
        </is>
      </c>
      <c r="C630" s="5" t="inlineStr">
        <is>
          <t>フィルグラスチムBS注「サンド」</t>
        </is>
      </c>
      <c r="D630" s="5" t="inlineStr">
        <is>
          <t>病院</t>
        </is>
      </c>
      <c r="E630" s="5" t="n">
        <v>745</v>
      </c>
      <c r="F630" s="5" t="n">
        <v>3959035</v>
      </c>
    </row>
    <row r="631">
      <c r="A631" s="4" t="inlineStr">
        <is>
          <t>2025-11</t>
        </is>
      </c>
      <c r="B631" s="4" t="inlineStr">
        <is>
          <t>SKU0301</t>
        </is>
      </c>
      <c r="C631" s="4" t="inlineStr">
        <is>
          <t>フィルグラスチムBS注「サンド」</t>
        </is>
      </c>
      <c r="D631" s="4" t="inlineStr">
        <is>
          <t>クリニック(注射対応)</t>
        </is>
      </c>
      <c r="E631" s="4" t="n">
        <v>132</v>
      </c>
      <c r="F631" s="4" t="n">
        <v>701196</v>
      </c>
    </row>
    <row r="632">
      <c r="A632" s="5" t="inlineStr">
        <is>
          <t>2025-11</t>
        </is>
      </c>
      <c r="B632" s="5" t="inlineStr">
        <is>
          <t>SKU0302</t>
        </is>
      </c>
      <c r="C632" s="5" t="inlineStr">
        <is>
          <t>フィルグラスチムBS注「サンド」</t>
        </is>
      </c>
      <c r="D632" s="5" t="inlineStr">
        <is>
          <t>病院</t>
        </is>
      </c>
      <c r="E632" s="5" t="n">
        <v>674</v>
      </c>
      <c r="F632" s="5" t="n">
        <v>6304186</v>
      </c>
    </row>
    <row r="633">
      <c r="A633" s="4" t="inlineStr">
        <is>
          <t>2025-11</t>
        </is>
      </c>
      <c r="B633" s="4" t="inlineStr">
        <is>
          <t>SKU0302</t>
        </is>
      </c>
      <c r="C633" s="4" t="inlineStr">
        <is>
          <t>フィルグラスチムBS注「サンド」</t>
        </is>
      </c>
      <c r="D633" s="4" t="inlineStr">
        <is>
          <t>クリニック(注射対応)</t>
        </is>
      </c>
      <c r="E633" s="4" t="n">
        <v>123</v>
      </c>
      <c r="F633" s="4" t="n">
        <v>1153733</v>
      </c>
    </row>
    <row r="634">
      <c r="A634" s="5" t="inlineStr">
        <is>
          <t>2025-12</t>
        </is>
      </c>
      <c r="B634" s="5" t="inlineStr">
        <is>
          <t>SKU0301</t>
        </is>
      </c>
      <c r="C634" s="5" t="inlineStr">
        <is>
          <t>フィルグラスチムBS注「サンド」</t>
        </is>
      </c>
      <c r="D634" s="5" t="inlineStr">
        <is>
          <t>病院</t>
        </is>
      </c>
      <c r="E634" s="5" t="n">
        <v>959</v>
      </c>
      <c r="F634" s="5" t="n">
        <v>5099765</v>
      </c>
    </row>
    <row r="635">
      <c r="A635" s="4" t="inlineStr">
        <is>
          <t>2025-12</t>
        </is>
      </c>
      <c r="B635" s="4" t="inlineStr">
        <is>
          <t>SKU0301</t>
        </is>
      </c>
      <c r="C635" s="4" t="inlineStr">
        <is>
          <t>フィルグラスチムBS注「サンド」</t>
        </is>
      </c>
      <c r="D635" s="4" t="inlineStr">
        <is>
          <t>クリニック(注射対応)</t>
        </is>
      </c>
      <c r="E635" s="4" t="n">
        <v>147</v>
      </c>
      <c r="F635" s="4" t="n">
        <v>783484</v>
      </c>
    </row>
    <row r="636">
      <c r="A636" s="5" t="inlineStr">
        <is>
          <t>2025-12</t>
        </is>
      </c>
      <c r="B636" s="5" t="inlineStr">
        <is>
          <t>SKU0302</t>
        </is>
      </c>
      <c r="C636" s="5" t="inlineStr">
        <is>
          <t>フィルグラスチムBS注「サンド」</t>
        </is>
      </c>
      <c r="D636" s="5" t="inlineStr">
        <is>
          <t>病院</t>
        </is>
      </c>
      <c r="E636" s="5" t="n">
        <v>806</v>
      </c>
      <c r="F636" s="5" t="n">
        <v>7534553</v>
      </c>
    </row>
    <row r="637">
      <c r="A637" s="4" t="inlineStr">
        <is>
          <t>2025-12</t>
        </is>
      </c>
      <c r="B637" s="4" t="inlineStr">
        <is>
          <t>SKU0302</t>
        </is>
      </c>
      <c r="C637" s="4" t="inlineStr">
        <is>
          <t>フィルグラスチムBS注「サンド」</t>
        </is>
      </c>
      <c r="D637" s="4" t="inlineStr">
        <is>
          <t>クリニック(注射対応)</t>
        </is>
      </c>
      <c r="E637" s="4" t="n">
        <v>138</v>
      </c>
      <c r="F637" s="4" t="n">
        <v>1286796</v>
      </c>
    </row>
    <row r="638">
      <c r="A638" s="5" t="inlineStr">
        <is>
          <t>2026-01</t>
        </is>
      </c>
      <c r="B638" s="5" t="inlineStr">
        <is>
          <t>SKU0301</t>
        </is>
      </c>
      <c r="C638" s="5" t="inlineStr">
        <is>
          <t>フィルグラスチムBS注「サンド」</t>
        </is>
      </c>
      <c r="D638" s="5" t="inlineStr">
        <is>
          <t>病院</t>
        </is>
      </c>
      <c r="E638" s="5" t="n">
        <v>922</v>
      </c>
      <c r="F638" s="5" t="n">
        <v>4899839</v>
      </c>
    </row>
    <row r="639">
      <c r="A639" s="4" t="inlineStr">
        <is>
          <t>2026-01</t>
        </is>
      </c>
      <c r="B639" s="4" t="inlineStr">
        <is>
          <t>SKU0301</t>
        </is>
      </c>
      <c r="C639" s="4" t="inlineStr">
        <is>
          <t>フィルグラスチムBS注「サンド」</t>
        </is>
      </c>
      <c r="D639" s="4" t="inlineStr">
        <is>
          <t>クリニック(注射対応)</t>
        </is>
      </c>
      <c r="E639" s="4" t="n">
        <v>160</v>
      </c>
      <c r="F639" s="4" t="n">
        <v>851142</v>
      </c>
    </row>
    <row r="640">
      <c r="A640" s="5" t="inlineStr">
        <is>
          <t>2026-01</t>
        </is>
      </c>
      <c r="B640" s="5" t="inlineStr">
        <is>
          <t>SKU0302</t>
        </is>
      </c>
      <c r="C640" s="5" t="inlineStr">
        <is>
          <t>フィルグラスチムBS注「サンド」</t>
        </is>
      </c>
      <c r="D640" s="5" t="inlineStr">
        <is>
          <t>病院</t>
        </is>
      </c>
      <c r="E640" s="5" t="n">
        <v>822</v>
      </c>
      <c r="F640" s="5" t="n">
        <v>7683019</v>
      </c>
    </row>
    <row r="641">
      <c r="A641" s="4" t="inlineStr">
        <is>
          <t>2026-01</t>
        </is>
      </c>
      <c r="B641" s="4" t="inlineStr">
        <is>
          <t>SKU0302</t>
        </is>
      </c>
      <c r="C641" s="4" t="inlineStr">
        <is>
          <t>フィルグラスチムBS注「サンド」</t>
        </is>
      </c>
      <c r="D641" s="4" t="inlineStr">
        <is>
          <t>クリニック(注射対応)</t>
        </is>
      </c>
      <c r="E641" s="4" t="n">
        <v>147</v>
      </c>
      <c r="F641" s="4" t="n">
        <v>1372276</v>
      </c>
    </row>
    <row r="642">
      <c r="A642" s="5" t="inlineStr">
        <is>
          <t>2026-02</t>
        </is>
      </c>
      <c r="B642" s="5" t="inlineStr">
        <is>
          <t>SKU0301</t>
        </is>
      </c>
      <c r="C642" s="5" t="inlineStr">
        <is>
          <t>フィルグラスチムBS注「サンド」</t>
        </is>
      </c>
      <c r="D642" s="5" t="inlineStr">
        <is>
          <t>病院</t>
        </is>
      </c>
      <c r="E642" s="5" t="n">
        <v>856</v>
      </c>
      <c r="F642" s="5" t="n">
        <v>4553071</v>
      </c>
    </row>
    <row r="643">
      <c r="A643" s="4" t="inlineStr">
        <is>
          <t>2026-02</t>
        </is>
      </c>
      <c r="B643" s="4" t="inlineStr">
        <is>
          <t>SKU0301</t>
        </is>
      </c>
      <c r="C643" s="4" t="inlineStr">
        <is>
          <t>フィルグラスチムBS注「サンド」</t>
        </is>
      </c>
      <c r="D643" s="4" t="inlineStr">
        <is>
          <t>クリニック(注射対応)</t>
        </is>
      </c>
      <c r="E643" s="4" t="n">
        <v>155</v>
      </c>
      <c r="F643" s="4" t="n">
        <v>826002</v>
      </c>
    </row>
    <row r="644">
      <c r="A644" s="5" t="inlineStr">
        <is>
          <t>2026-02</t>
        </is>
      </c>
      <c r="B644" s="5" t="inlineStr">
        <is>
          <t>SKU0302</t>
        </is>
      </c>
      <c r="C644" s="5" t="inlineStr">
        <is>
          <t>フィルグラスチムBS注「サンド」</t>
        </is>
      </c>
      <c r="D644" s="5" t="inlineStr">
        <is>
          <t>病院</t>
        </is>
      </c>
      <c r="E644" s="5" t="n">
        <v>688</v>
      </c>
      <c r="F644" s="5" t="n">
        <v>6432877</v>
      </c>
    </row>
    <row r="645">
      <c r="A645" s="4" t="inlineStr">
        <is>
          <t>2026-02</t>
        </is>
      </c>
      <c r="B645" s="4" t="inlineStr">
        <is>
          <t>SKU0302</t>
        </is>
      </c>
      <c r="C645" s="4" t="inlineStr">
        <is>
          <t>フィルグラスチムBS注「サンド」</t>
        </is>
      </c>
      <c r="D645" s="4" t="inlineStr">
        <is>
          <t>クリニック(注射対応)</t>
        </is>
      </c>
      <c r="E645" s="4" t="n">
        <v>137</v>
      </c>
      <c r="F645" s="4" t="n">
        <v>1279354</v>
      </c>
    </row>
    <row r="646">
      <c r="A646" s="5" t="inlineStr">
        <is>
          <t>2026-03</t>
        </is>
      </c>
      <c r="B646" s="5" t="inlineStr">
        <is>
          <t>SKU0301</t>
        </is>
      </c>
      <c r="C646" s="5" t="inlineStr">
        <is>
          <t>フィルグラスチムBS注「サンド」</t>
        </is>
      </c>
      <c r="D646" s="5" t="inlineStr">
        <is>
          <t>病院</t>
        </is>
      </c>
      <c r="E646" s="5" t="n">
        <v>977</v>
      </c>
      <c r="F646" s="5" t="n">
        <v>5195099</v>
      </c>
    </row>
    <row r="647">
      <c r="A647" s="4" t="inlineStr">
        <is>
          <t>2026-03</t>
        </is>
      </c>
      <c r="B647" s="4" t="inlineStr">
        <is>
          <t>SKU0301</t>
        </is>
      </c>
      <c r="C647" s="4" t="inlineStr">
        <is>
          <t>フィルグラスチムBS注「サンド」</t>
        </is>
      </c>
      <c r="D647" s="4" t="inlineStr">
        <is>
          <t>クリニック(注射対応)</t>
        </is>
      </c>
      <c r="E647" s="4" t="n">
        <v>176</v>
      </c>
      <c r="F647" s="4" t="n">
        <v>935896</v>
      </c>
    </row>
    <row r="648">
      <c r="A648" s="5" t="inlineStr">
        <is>
          <t>2026-03</t>
        </is>
      </c>
      <c r="B648" s="5" t="inlineStr">
        <is>
          <t>SKU0302</t>
        </is>
      </c>
      <c r="C648" s="5" t="inlineStr">
        <is>
          <t>フィルグラスチムBS注「サンド」</t>
        </is>
      </c>
      <c r="D648" s="5" t="inlineStr">
        <is>
          <t>病院</t>
        </is>
      </c>
      <c r="E648" s="5" t="n">
        <v>793</v>
      </c>
      <c r="F648" s="5" t="n">
        <v>7414452</v>
      </c>
    </row>
    <row r="649">
      <c r="A649" s="4" t="inlineStr">
        <is>
          <t>2026-03</t>
        </is>
      </c>
      <c r="B649" s="4" t="inlineStr">
        <is>
          <t>SKU0302</t>
        </is>
      </c>
      <c r="C649" s="4" t="inlineStr">
        <is>
          <t>フィルグラスチムBS注「サンド」</t>
        </is>
      </c>
      <c r="D649" s="4" t="inlineStr">
        <is>
          <t>クリニック(注射対応)</t>
        </is>
      </c>
      <c r="E649" s="4" t="n">
        <v>142</v>
      </c>
      <c r="F649" s="4" t="n">
        <v>1324287</v>
      </c>
    </row>
    <row r="650">
      <c r="A650" s="5" t="inlineStr">
        <is>
          <t>2026-04</t>
        </is>
      </c>
      <c r="B650" s="5" t="inlineStr">
        <is>
          <t>SKU0301</t>
        </is>
      </c>
      <c r="C650" s="5" t="inlineStr">
        <is>
          <t>フィルグラスチムBS注「サンド」</t>
        </is>
      </c>
      <c r="D650" s="5" t="inlineStr">
        <is>
          <t>病院</t>
        </is>
      </c>
      <c r="E650" s="5" t="n">
        <v>929</v>
      </c>
      <c r="F650" s="5" t="n">
        <v>4643865</v>
      </c>
    </row>
    <row r="651">
      <c r="A651" s="4" t="inlineStr">
        <is>
          <t>2026-04</t>
        </is>
      </c>
      <c r="B651" s="4" t="inlineStr">
        <is>
          <t>SKU0301</t>
        </is>
      </c>
      <c r="C651" s="4" t="inlineStr">
        <is>
          <t>フィルグラスチムBS注「サンド」</t>
        </is>
      </c>
      <c r="D651" s="4" t="inlineStr">
        <is>
          <t>クリニック(注射対応)</t>
        </is>
      </c>
      <c r="E651" s="4" t="n">
        <v>163</v>
      </c>
      <c r="F651" s="4" t="n">
        <v>815516</v>
      </c>
    </row>
    <row r="652">
      <c r="A652" s="5" t="inlineStr">
        <is>
          <t>2026-04</t>
        </is>
      </c>
      <c r="B652" s="5" t="inlineStr">
        <is>
          <t>SKU0302</t>
        </is>
      </c>
      <c r="C652" s="5" t="inlineStr">
        <is>
          <t>フィルグラスチムBS注「サンド」</t>
        </is>
      </c>
      <c r="D652" s="5" t="inlineStr">
        <is>
          <t>病院</t>
        </is>
      </c>
      <c r="E652" s="5" t="n">
        <v>779</v>
      </c>
      <c r="F652" s="5" t="n">
        <v>6846079</v>
      </c>
    </row>
    <row r="653">
      <c r="A653" s="4" t="inlineStr">
        <is>
          <t>2026-04</t>
        </is>
      </c>
      <c r="B653" s="4" t="inlineStr">
        <is>
          <t>SKU0302</t>
        </is>
      </c>
      <c r="C653" s="4" t="inlineStr">
        <is>
          <t>フィルグラスチムBS注「サンド」</t>
        </is>
      </c>
      <c r="D653" s="4" t="inlineStr">
        <is>
          <t>クリニック(注射対応)</t>
        </is>
      </c>
      <c r="E653" s="4" t="n">
        <v>141</v>
      </c>
      <c r="F653" s="4" t="n">
        <v>1236935</v>
      </c>
    </row>
    <row r="654">
      <c r="A654" s="5" t="inlineStr">
        <is>
          <t>2026-05</t>
        </is>
      </c>
      <c r="B654" s="5" t="inlineStr">
        <is>
          <t>SKU0301</t>
        </is>
      </c>
      <c r="C654" s="5" t="inlineStr">
        <is>
          <t>フィルグラスチムBS注「サンド」</t>
        </is>
      </c>
      <c r="D654" s="5" t="inlineStr">
        <is>
          <t>病院</t>
        </is>
      </c>
      <c r="E654" s="5" t="n">
        <v>997</v>
      </c>
      <c r="F654" s="5" t="n">
        <v>4984677</v>
      </c>
    </row>
    <row r="655">
      <c r="A655" s="4" t="inlineStr">
        <is>
          <t>2026-05</t>
        </is>
      </c>
      <c r="B655" s="4" t="inlineStr">
        <is>
          <t>SKU0301</t>
        </is>
      </c>
      <c r="C655" s="4" t="inlineStr">
        <is>
          <t>フィルグラスチムBS注「サンド」</t>
        </is>
      </c>
      <c r="D655" s="4" t="inlineStr">
        <is>
          <t>クリニック(注射対応)</t>
        </is>
      </c>
      <c r="E655" s="4" t="n">
        <v>191</v>
      </c>
      <c r="F655" s="4" t="n">
        <v>955973</v>
      </c>
    </row>
    <row r="656">
      <c r="A656" s="5" t="inlineStr">
        <is>
          <t>2026-05</t>
        </is>
      </c>
      <c r="B656" s="5" t="inlineStr">
        <is>
          <t>SKU0302</t>
        </is>
      </c>
      <c r="C656" s="5" t="inlineStr">
        <is>
          <t>フィルグラスチムBS注「サンド」</t>
        </is>
      </c>
      <c r="D656" s="5" t="inlineStr">
        <is>
          <t>病院</t>
        </is>
      </c>
      <c r="E656" s="5" t="n">
        <v>862</v>
      </c>
      <c r="F656" s="5" t="n">
        <v>7575251</v>
      </c>
    </row>
    <row r="657">
      <c r="A657" s="4" t="inlineStr">
        <is>
          <t>2026-05</t>
        </is>
      </c>
      <c r="B657" s="4" t="inlineStr">
        <is>
          <t>SKU0302</t>
        </is>
      </c>
      <c r="C657" s="4" t="inlineStr">
        <is>
          <t>フィルグラスチムBS注「サンド」</t>
        </is>
      </c>
      <c r="D657" s="4" t="inlineStr">
        <is>
          <t>クリニック(注射対応)</t>
        </is>
      </c>
      <c r="E657" s="4" t="n">
        <v>151</v>
      </c>
      <c r="F657" s="4" t="n">
        <v>1328306</v>
      </c>
    </row>
    <row r="658">
      <c r="A658" s="5" t="inlineStr">
        <is>
          <t>2023-01</t>
        </is>
      </c>
      <c r="B658" s="5" t="inlineStr">
        <is>
          <t>SKU0401</t>
        </is>
      </c>
      <c r="C658" s="5" t="inlineStr">
        <is>
          <t>インフリキシマブBS点滴静注用「サンド」</t>
        </is>
      </c>
      <c r="D658" s="5" t="inlineStr">
        <is>
          <t>病院</t>
        </is>
      </c>
      <c r="E658" s="5" t="n">
        <v>3</v>
      </c>
      <c r="F658" s="5" t="n">
        <v>124459</v>
      </c>
    </row>
    <row r="659">
      <c r="A659" s="4" t="inlineStr">
        <is>
          <t>2023-01</t>
        </is>
      </c>
      <c r="B659" s="4" t="inlineStr">
        <is>
          <t>SKU0401</t>
        </is>
      </c>
      <c r="C659" s="4" t="inlineStr">
        <is>
          <t>インフリキシマブBS点滴静注用「サンド」</t>
        </is>
      </c>
      <c r="D659" s="4" t="inlineStr">
        <is>
          <t>クリニック(注射対応)</t>
        </is>
      </c>
      <c r="E659" s="4" t="n">
        <v>1</v>
      </c>
      <c r="F659" s="4" t="n">
        <v>23324</v>
      </c>
    </row>
    <row r="660">
      <c r="A660" s="5" t="inlineStr">
        <is>
          <t>2023-02</t>
        </is>
      </c>
      <c r="B660" s="5" t="inlineStr">
        <is>
          <t>SKU0401</t>
        </is>
      </c>
      <c r="C660" s="5" t="inlineStr">
        <is>
          <t>インフリキシマブBS点滴静注用「サンド」</t>
        </is>
      </c>
      <c r="D660" s="5" t="inlineStr">
        <is>
          <t>病院</t>
        </is>
      </c>
      <c r="E660" s="5" t="n">
        <v>11</v>
      </c>
      <c r="F660" s="5" t="n">
        <v>405023</v>
      </c>
    </row>
    <row r="661">
      <c r="A661" s="4" t="inlineStr">
        <is>
          <t>2023-02</t>
        </is>
      </c>
      <c r="B661" s="4" t="inlineStr">
        <is>
          <t>SKU0401</t>
        </is>
      </c>
      <c r="C661" s="4" t="inlineStr">
        <is>
          <t>インフリキシマブBS点滴静注用「サンド」</t>
        </is>
      </c>
      <c r="D661" s="4" t="inlineStr">
        <is>
          <t>クリニック(注射対応)</t>
        </is>
      </c>
      <c r="E661" s="4" t="n">
        <v>2</v>
      </c>
      <c r="F661" s="4" t="n">
        <v>78554</v>
      </c>
    </row>
    <row r="662">
      <c r="A662" s="5" t="inlineStr">
        <is>
          <t>2023-03</t>
        </is>
      </c>
      <c r="B662" s="5" t="inlineStr">
        <is>
          <t>SKU0401</t>
        </is>
      </c>
      <c r="C662" s="5" t="inlineStr">
        <is>
          <t>インフリキシマブBS点滴静注用「サンド」</t>
        </is>
      </c>
      <c r="D662" s="5" t="inlineStr">
        <is>
          <t>病院</t>
        </is>
      </c>
      <c r="E662" s="5" t="n">
        <v>10</v>
      </c>
      <c r="F662" s="5" t="n">
        <v>362351</v>
      </c>
    </row>
    <row r="663">
      <c r="A663" s="4" t="inlineStr">
        <is>
          <t>2023-03</t>
        </is>
      </c>
      <c r="B663" s="4" t="inlineStr">
        <is>
          <t>SKU0401</t>
        </is>
      </c>
      <c r="C663" s="4" t="inlineStr">
        <is>
          <t>インフリキシマブBS点滴静注用「サンド」</t>
        </is>
      </c>
      <c r="D663" s="4" t="inlineStr">
        <is>
          <t>クリニック(注射対応)</t>
        </is>
      </c>
      <c r="E663" s="4" t="n">
        <v>2</v>
      </c>
      <c r="F663" s="4" t="n">
        <v>67048</v>
      </c>
    </row>
    <row r="664">
      <c r="A664" s="5" t="inlineStr">
        <is>
          <t>2023-04</t>
        </is>
      </c>
      <c r="B664" s="5" t="inlineStr">
        <is>
          <t>SKU0401</t>
        </is>
      </c>
      <c r="C664" s="5" t="inlineStr">
        <is>
          <t>インフリキシマブBS点滴静注用「サンド」</t>
        </is>
      </c>
      <c r="D664" s="5" t="inlineStr">
        <is>
          <t>病院</t>
        </is>
      </c>
      <c r="E664" s="5" t="n">
        <v>15</v>
      </c>
      <c r="F664" s="5" t="n">
        <v>523008</v>
      </c>
    </row>
    <row r="665">
      <c r="A665" s="4" t="inlineStr">
        <is>
          <t>2023-04</t>
        </is>
      </c>
      <c r="B665" s="4" t="inlineStr">
        <is>
          <t>SKU0401</t>
        </is>
      </c>
      <c r="C665" s="4" t="inlineStr">
        <is>
          <t>インフリキシマブBS点滴静注用「サンド」</t>
        </is>
      </c>
      <c r="D665" s="4" t="inlineStr">
        <is>
          <t>クリニック(注射対応)</t>
        </is>
      </c>
      <c r="E665" s="4" t="n">
        <v>3</v>
      </c>
      <c r="F665" s="4" t="n">
        <v>95877</v>
      </c>
    </row>
    <row r="666">
      <c r="A666" s="5" t="inlineStr">
        <is>
          <t>2023-05</t>
        </is>
      </c>
      <c r="B666" s="5" t="inlineStr">
        <is>
          <t>SKU0401</t>
        </is>
      </c>
      <c r="C666" s="5" t="inlineStr">
        <is>
          <t>インフリキシマブBS点滴静注用「サンド」</t>
        </is>
      </c>
      <c r="D666" s="5" t="inlineStr">
        <is>
          <t>病院</t>
        </is>
      </c>
      <c r="E666" s="5" t="n">
        <v>18</v>
      </c>
      <c r="F666" s="5" t="n">
        <v>637700</v>
      </c>
    </row>
    <row r="667">
      <c r="A667" s="4" t="inlineStr">
        <is>
          <t>2023-05</t>
        </is>
      </c>
      <c r="B667" s="4" t="inlineStr">
        <is>
          <t>SKU0401</t>
        </is>
      </c>
      <c r="C667" s="4" t="inlineStr">
        <is>
          <t>インフリキシマブBS点滴静注用「サンド」</t>
        </is>
      </c>
      <c r="D667" s="4" t="inlineStr">
        <is>
          <t>クリニック(注射対応)</t>
        </is>
      </c>
      <c r="E667" s="4" t="n">
        <v>3</v>
      </c>
      <c r="F667" s="4" t="n">
        <v>110786</v>
      </c>
    </row>
    <row r="668">
      <c r="A668" s="5" t="inlineStr">
        <is>
          <t>2023-06</t>
        </is>
      </c>
      <c r="B668" s="5" t="inlineStr">
        <is>
          <t>SKU0401</t>
        </is>
      </c>
      <c r="C668" s="5" t="inlineStr">
        <is>
          <t>インフリキシマブBS点滴静注用「サンド」</t>
        </is>
      </c>
      <c r="D668" s="5" t="inlineStr">
        <is>
          <t>病院</t>
        </is>
      </c>
      <c r="E668" s="5" t="n">
        <v>24</v>
      </c>
      <c r="F668" s="5" t="n">
        <v>875012</v>
      </c>
    </row>
    <row r="669">
      <c r="A669" s="4" t="inlineStr">
        <is>
          <t>2023-06</t>
        </is>
      </c>
      <c r="B669" s="4" t="inlineStr">
        <is>
          <t>SKU0401</t>
        </is>
      </c>
      <c r="C669" s="4" t="inlineStr">
        <is>
          <t>インフリキシマブBS点滴静注用「サンド」</t>
        </is>
      </c>
      <c r="D669" s="4" t="inlineStr">
        <is>
          <t>クリニック(注射対応)</t>
        </is>
      </c>
      <c r="E669" s="4" t="n">
        <v>5</v>
      </c>
      <c r="F669" s="4" t="n">
        <v>162784</v>
      </c>
    </row>
    <row r="670">
      <c r="A670" s="5" t="inlineStr">
        <is>
          <t>2023-07</t>
        </is>
      </c>
      <c r="B670" s="5" t="inlineStr">
        <is>
          <t>SKU0401</t>
        </is>
      </c>
      <c r="C670" s="5" t="inlineStr">
        <is>
          <t>インフリキシマブBS点滴静注用「サンド」</t>
        </is>
      </c>
      <c r="D670" s="5" t="inlineStr">
        <is>
          <t>病院</t>
        </is>
      </c>
      <c r="E670" s="5" t="n">
        <v>22</v>
      </c>
      <c r="F670" s="5" t="n">
        <v>777460</v>
      </c>
    </row>
    <row r="671">
      <c r="A671" s="4" t="inlineStr">
        <is>
          <t>2023-07</t>
        </is>
      </c>
      <c r="B671" s="4" t="inlineStr">
        <is>
          <t>SKU0401</t>
        </is>
      </c>
      <c r="C671" s="4" t="inlineStr">
        <is>
          <t>インフリキシマブBS点滴静注用「サンド」</t>
        </is>
      </c>
      <c r="D671" s="4" t="inlineStr">
        <is>
          <t>クリニック(注射対応)</t>
        </is>
      </c>
      <c r="E671" s="4" t="n">
        <v>4</v>
      </c>
      <c r="F671" s="4" t="n">
        <v>133464</v>
      </c>
    </row>
    <row r="672">
      <c r="A672" s="5" t="inlineStr">
        <is>
          <t>2023-08</t>
        </is>
      </c>
      <c r="B672" s="5" t="inlineStr">
        <is>
          <t>SKU0401</t>
        </is>
      </c>
      <c r="C672" s="5" t="inlineStr">
        <is>
          <t>インフリキシマブBS点滴静注用「サンド」</t>
        </is>
      </c>
      <c r="D672" s="5" t="inlineStr">
        <is>
          <t>病院</t>
        </is>
      </c>
      <c r="E672" s="5" t="n">
        <v>28</v>
      </c>
      <c r="F672" s="5" t="n">
        <v>1005550</v>
      </c>
    </row>
    <row r="673">
      <c r="A673" s="4" t="inlineStr">
        <is>
          <t>2023-08</t>
        </is>
      </c>
      <c r="B673" s="4" t="inlineStr">
        <is>
          <t>SKU0401</t>
        </is>
      </c>
      <c r="C673" s="4" t="inlineStr">
        <is>
          <t>インフリキシマブBS点滴静注用「サンド」</t>
        </is>
      </c>
      <c r="D673" s="4" t="inlineStr">
        <is>
          <t>クリニック(注射対応)</t>
        </is>
      </c>
      <c r="E673" s="4" t="n">
        <v>5</v>
      </c>
      <c r="F673" s="4" t="n">
        <v>170315</v>
      </c>
    </row>
    <row r="674">
      <c r="A674" s="5" t="inlineStr">
        <is>
          <t>2023-09</t>
        </is>
      </c>
      <c r="B674" s="5" t="inlineStr">
        <is>
          <t>SKU0401</t>
        </is>
      </c>
      <c r="C674" s="5" t="inlineStr">
        <is>
          <t>インフリキシマブBS点滴静注用「サンド」</t>
        </is>
      </c>
      <c r="D674" s="5" t="inlineStr">
        <is>
          <t>病院</t>
        </is>
      </c>
      <c r="E674" s="5" t="n">
        <v>28</v>
      </c>
      <c r="F674" s="5" t="n">
        <v>1024783</v>
      </c>
    </row>
    <row r="675">
      <c r="A675" s="4" t="inlineStr">
        <is>
          <t>2023-09</t>
        </is>
      </c>
      <c r="B675" s="4" t="inlineStr">
        <is>
          <t>SKU0401</t>
        </is>
      </c>
      <c r="C675" s="4" t="inlineStr">
        <is>
          <t>インフリキシマブBS点滴静注用「サンド」</t>
        </is>
      </c>
      <c r="D675" s="4" t="inlineStr">
        <is>
          <t>クリニック(注射対応)</t>
        </is>
      </c>
      <c r="E675" s="4" t="n">
        <v>5</v>
      </c>
      <c r="F675" s="4" t="n">
        <v>169323</v>
      </c>
    </row>
    <row r="676">
      <c r="A676" s="5" t="inlineStr">
        <is>
          <t>2023-10</t>
        </is>
      </c>
      <c r="B676" s="5" t="inlineStr">
        <is>
          <t>SKU0401</t>
        </is>
      </c>
      <c r="C676" s="5" t="inlineStr">
        <is>
          <t>インフリキシマブBS点滴静注用「サンド」</t>
        </is>
      </c>
      <c r="D676" s="5" t="inlineStr">
        <is>
          <t>病院</t>
        </is>
      </c>
      <c r="E676" s="5" t="n">
        <v>35</v>
      </c>
      <c r="F676" s="5" t="n">
        <v>1254281</v>
      </c>
    </row>
    <row r="677">
      <c r="A677" s="4" t="inlineStr">
        <is>
          <t>2023-10</t>
        </is>
      </c>
      <c r="B677" s="4" t="inlineStr">
        <is>
          <t>SKU0401</t>
        </is>
      </c>
      <c r="C677" s="4" t="inlineStr">
        <is>
          <t>インフリキシマブBS点滴静注用「サンド」</t>
        </is>
      </c>
      <c r="D677" s="4" t="inlineStr">
        <is>
          <t>クリニック(注射対応)</t>
        </is>
      </c>
      <c r="E677" s="4" t="n">
        <v>6</v>
      </c>
      <c r="F677" s="4" t="n">
        <v>217297</v>
      </c>
    </row>
    <row r="678">
      <c r="A678" s="5" t="inlineStr">
        <is>
          <t>2023-11</t>
        </is>
      </c>
      <c r="B678" s="5" t="inlineStr">
        <is>
          <t>SKU0401</t>
        </is>
      </c>
      <c r="C678" s="5" t="inlineStr">
        <is>
          <t>インフリキシマブBS点滴静注用「サンド」</t>
        </is>
      </c>
      <c r="D678" s="5" t="inlineStr">
        <is>
          <t>病院</t>
        </is>
      </c>
      <c r="E678" s="5" t="n">
        <v>44</v>
      </c>
      <c r="F678" s="5" t="n">
        <v>1578840</v>
      </c>
    </row>
    <row r="679">
      <c r="A679" s="4" t="inlineStr">
        <is>
          <t>2023-11</t>
        </is>
      </c>
      <c r="B679" s="4" t="inlineStr">
        <is>
          <t>SKU0401</t>
        </is>
      </c>
      <c r="C679" s="4" t="inlineStr">
        <is>
          <t>インフリキシマブBS点滴静注用「サンド」</t>
        </is>
      </c>
      <c r="D679" s="4" t="inlineStr">
        <is>
          <t>クリニック(注射対応)</t>
        </is>
      </c>
      <c r="E679" s="4" t="n">
        <v>7</v>
      </c>
      <c r="F679" s="4" t="n">
        <v>251419</v>
      </c>
    </row>
    <row r="680">
      <c r="A680" s="5" t="inlineStr">
        <is>
          <t>2023-12</t>
        </is>
      </c>
      <c r="B680" s="5" t="inlineStr">
        <is>
          <t>SKU0401</t>
        </is>
      </c>
      <c r="C680" s="5" t="inlineStr">
        <is>
          <t>インフリキシマブBS点滴静注用「サンド」</t>
        </is>
      </c>
      <c r="D680" s="5" t="inlineStr">
        <is>
          <t>病院</t>
        </is>
      </c>
      <c r="E680" s="5" t="n">
        <v>54</v>
      </c>
      <c r="F680" s="5" t="n">
        <v>1950528</v>
      </c>
    </row>
    <row r="681">
      <c r="A681" s="4" t="inlineStr">
        <is>
          <t>2023-12</t>
        </is>
      </c>
      <c r="B681" s="4" t="inlineStr">
        <is>
          <t>SKU0401</t>
        </is>
      </c>
      <c r="C681" s="4" t="inlineStr">
        <is>
          <t>インフリキシマブBS点滴静注用「サンド」</t>
        </is>
      </c>
      <c r="D681" s="4" t="inlineStr">
        <is>
          <t>クリニック(注射対応)</t>
        </is>
      </c>
      <c r="E681" s="4" t="n">
        <v>10</v>
      </c>
      <c r="F681" s="4" t="n">
        <v>363901</v>
      </c>
    </row>
    <row r="682">
      <c r="A682" s="5" t="inlineStr">
        <is>
          <t>2024-01</t>
        </is>
      </c>
      <c r="B682" s="5" t="inlineStr">
        <is>
          <t>SKU0401</t>
        </is>
      </c>
      <c r="C682" s="5" t="inlineStr">
        <is>
          <t>インフリキシマブBS点滴静注用「サンド」</t>
        </is>
      </c>
      <c r="D682" s="5" t="inlineStr">
        <is>
          <t>病院</t>
        </is>
      </c>
      <c r="E682" s="5" t="n">
        <v>56</v>
      </c>
      <c r="F682" s="5" t="n">
        <v>2021395</v>
      </c>
    </row>
    <row r="683">
      <c r="A683" s="4" t="inlineStr">
        <is>
          <t>2024-01</t>
        </is>
      </c>
      <c r="B683" s="4" t="inlineStr">
        <is>
          <t>SKU0401</t>
        </is>
      </c>
      <c r="C683" s="4" t="inlineStr">
        <is>
          <t>インフリキシマブBS点滴静注用「サンド」</t>
        </is>
      </c>
      <c r="D683" s="4" t="inlineStr">
        <is>
          <t>クリニック(注射対応)</t>
        </is>
      </c>
      <c r="E683" s="4" t="n">
        <v>9</v>
      </c>
      <c r="F683" s="4" t="n">
        <v>337214</v>
      </c>
    </row>
    <row r="684">
      <c r="A684" s="5" t="inlineStr">
        <is>
          <t>2024-02</t>
        </is>
      </c>
      <c r="B684" s="5" t="inlineStr">
        <is>
          <t>SKU0401</t>
        </is>
      </c>
      <c r="C684" s="5" t="inlineStr">
        <is>
          <t>インフリキシマブBS点滴静注用「サンド」</t>
        </is>
      </c>
      <c r="D684" s="5" t="inlineStr">
        <is>
          <t>病院</t>
        </is>
      </c>
      <c r="E684" s="5" t="n">
        <v>67</v>
      </c>
      <c r="F684" s="5" t="n">
        <v>2414613</v>
      </c>
    </row>
    <row r="685">
      <c r="A685" s="4" t="inlineStr">
        <is>
          <t>2024-02</t>
        </is>
      </c>
      <c r="B685" s="4" t="inlineStr">
        <is>
          <t>SKU0401</t>
        </is>
      </c>
      <c r="C685" s="4" t="inlineStr">
        <is>
          <t>インフリキシマブBS点滴静注用「サンド」</t>
        </is>
      </c>
      <c r="D685" s="4" t="inlineStr">
        <is>
          <t>クリニック(注射対応)</t>
        </is>
      </c>
      <c r="E685" s="4" t="n">
        <v>12</v>
      </c>
      <c r="F685" s="4" t="n">
        <v>423290</v>
      </c>
    </row>
    <row r="686">
      <c r="A686" s="5" t="inlineStr">
        <is>
          <t>2024-03</t>
        </is>
      </c>
      <c r="B686" s="5" t="inlineStr">
        <is>
          <t>SKU0401</t>
        </is>
      </c>
      <c r="C686" s="5" t="inlineStr">
        <is>
          <t>インフリキシマブBS点滴静注用「サンド」</t>
        </is>
      </c>
      <c r="D686" s="5" t="inlineStr">
        <is>
          <t>病院</t>
        </is>
      </c>
      <c r="E686" s="5" t="n">
        <v>61</v>
      </c>
      <c r="F686" s="5" t="n">
        <v>2203520</v>
      </c>
    </row>
    <row r="687">
      <c r="A687" s="4" t="inlineStr">
        <is>
          <t>2024-03</t>
        </is>
      </c>
      <c r="B687" s="4" t="inlineStr">
        <is>
          <t>SKU0401</t>
        </is>
      </c>
      <c r="C687" s="4" t="inlineStr">
        <is>
          <t>インフリキシマブBS点滴静注用「サンド」</t>
        </is>
      </c>
      <c r="D687" s="4" t="inlineStr">
        <is>
          <t>クリニック(注射対応)</t>
        </is>
      </c>
      <c r="E687" s="4" t="n">
        <v>10</v>
      </c>
      <c r="F687" s="4" t="n">
        <v>377513</v>
      </c>
    </row>
    <row r="688">
      <c r="A688" s="5" t="inlineStr">
        <is>
          <t>2024-04</t>
        </is>
      </c>
      <c r="B688" s="5" t="inlineStr">
        <is>
          <t>SKU0401</t>
        </is>
      </c>
      <c r="C688" s="5" t="inlineStr">
        <is>
          <t>インフリキシマブBS点滴静注用「サンド」</t>
        </is>
      </c>
      <c r="D688" s="5" t="inlineStr">
        <is>
          <t>病院</t>
        </is>
      </c>
      <c r="E688" s="5" t="n">
        <v>70</v>
      </c>
      <c r="F688" s="5" t="n">
        <v>2376065</v>
      </c>
    </row>
    <row r="689">
      <c r="A689" s="4" t="inlineStr">
        <is>
          <t>2024-04</t>
        </is>
      </c>
      <c r="B689" s="4" t="inlineStr">
        <is>
          <t>SKU0401</t>
        </is>
      </c>
      <c r="C689" s="4" t="inlineStr">
        <is>
          <t>インフリキシマブBS点滴静注用「サンド」</t>
        </is>
      </c>
      <c r="D689" s="4" t="inlineStr">
        <is>
          <t>クリニック(注射対応)</t>
        </is>
      </c>
      <c r="E689" s="4" t="n">
        <v>12</v>
      </c>
      <c r="F689" s="4" t="n">
        <v>400276</v>
      </c>
    </row>
    <row r="690">
      <c r="A690" s="5" t="inlineStr">
        <is>
          <t>2024-05</t>
        </is>
      </c>
      <c r="B690" s="5" t="inlineStr">
        <is>
          <t>SKU0401</t>
        </is>
      </c>
      <c r="C690" s="5" t="inlineStr">
        <is>
          <t>インフリキシマブBS点滴静注用「サンド」</t>
        </is>
      </c>
      <c r="D690" s="5" t="inlineStr">
        <is>
          <t>病院</t>
        </is>
      </c>
      <c r="E690" s="5" t="n">
        <v>89</v>
      </c>
      <c r="F690" s="5" t="n">
        <v>3039538</v>
      </c>
    </row>
    <row r="691">
      <c r="A691" s="4" t="inlineStr">
        <is>
          <t>2024-05</t>
        </is>
      </c>
      <c r="B691" s="4" t="inlineStr">
        <is>
          <t>SKU0401</t>
        </is>
      </c>
      <c r="C691" s="4" t="inlineStr">
        <is>
          <t>インフリキシマブBS点滴静注用「サンド」</t>
        </is>
      </c>
      <c r="D691" s="4" t="inlineStr">
        <is>
          <t>クリニック(注射対応)</t>
        </is>
      </c>
      <c r="E691" s="4" t="n">
        <v>16</v>
      </c>
      <c r="F691" s="4" t="n">
        <v>541436</v>
      </c>
    </row>
    <row r="692">
      <c r="A692" s="5" t="inlineStr">
        <is>
          <t>2024-06</t>
        </is>
      </c>
      <c r="B692" s="5" t="inlineStr">
        <is>
          <t>SKU0401</t>
        </is>
      </c>
      <c r="C692" s="5" t="inlineStr">
        <is>
          <t>インフリキシマブBS点滴静注用「サンド」</t>
        </is>
      </c>
      <c r="D692" s="5" t="inlineStr">
        <is>
          <t>病院</t>
        </is>
      </c>
      <c r="E692" s="5" t="n">
        <v>124</v>
      </c>
      <c r="F692" s="5" t="n">
        <v>4210499</v>
      </c>
    </row>
    <row r="693">
      <c r="A693" s="4" t="inlineStr">
        <is>
          <t>2024-06</t>
        </is>
      </c>
      <c r="B693" s="4" t="inlineStr">
        <is>
          <t>SKU0401</t>
        </is>
      </c>
      <c r="C693" s="4" t="inlineStr">
        <is>
          <t>インフリキシマブBS点滴静注用「サンド」</t>
        </is>
      </c>
      <c r="D693" s="4" t="inlineStr">
        <is>
          <t>クリニック(注射対応)</t>
        </is>
      </c>
      <c r="E693" s="4" t="n">
        <v>21</v>
      </c>
      <c r="F693" s="4" t="n">
        <v>711885</v>
      </c>
    </row>
    <row r="694">
      <c r="A694" s="5" t="inlineStr">
        <is>
          <t>2024-07</t>
        </is>
      </c>
      <c r="B694" s="5" t="inlineStr">
        <is>
          <t>SKU0401</t>
        </is>
      </c>
      <c r="C694" s="5" t="inlineStr">
        <is>
          <t>インフリキシマブBS点滴静注用「サンド」</t>
        </is>
      </c>
      <c r="D694" s="5" t="inlineStr">
        <is>
          <t>病院</t>
        </is>
      </c>
      <c r="E694" s="5" t="n">
        <v>137</v>
      </c>
      <c r="F694" s="5" t="n">
        <v>4655305</v>
      </c>
    </row>
    <row r="695">
      <c r="A695" s="4" t="inlineStr">
        <is>
          <t>2024-07</t>
        </is>
      </c>
      <c r="B695" s="4" t="inlineStr">
        <is>
          <t>SKU0401</t>
        </is>
      </c>
      <c r="C695" s="4" t="inlineStr">
        <is>
          <t>インフリキシマブBS点滴静注用「サンド」</t>
        </is>
      </c>
      <c r="D695" s="4" t="inlineStr">
        <is>
          <t>クリニック(注射対応)</t>
        </is>
      </c>
      <c r="E695" s="4" t="n">
        <v>24</v>
      </c>
      <c r="F695" s="4" t="n">
        <v>806588</v>
      </c>
    </row>
    <row r="696">
      <c r="A696" s="5" t="inlineStr">
        <is>
          <t>2024-08</t>
        </is>
      </c>
      <c r="B696" s="5" t="inlineStr">
        <is>
          <t>SKU0401</t>
        </is>
      </c>
      <c r="C696" s="5" t="inlineStr">
        <is>
          <t>インフリキシマブBS点滴静注用「サンド」</t>
        </is>
      </c>
      <c r="D696" s="5" t="inlineStr">
        <is>
          <t>病院</t>
        </is>
      </c>
      <c r="E696" s="5" t="n">
        <v>141</v>
      </c>
      <c r="F696" s="5" t="n">
        <v>4781244</v>
      </c>
    </row>
    <row r="697">
      <c r="A697" s="4" t="inlineStr">
        <is>
          <t>2024-08</t>
        </is>
      </c>
      <c r="B697" s="4" t="inlineStr">
        <is>
          <t>SKU0401</t>
        </is>
      </c>
      <c r="C697" s="4" t="inlineStr">
        <is>
          <t>インフリキシマブBS点滴静注用「サンド」</t>
        </is>
      </c>
      <c r="D697" s="4" t="inlineStr">
        <is>
          <t>クリニック(注射対応)</t>
        </is>
      </c>
      <c r="E697" s="4" t="n">
        <v>25</v>
      </c>
      <c r="F697" s="4" t="n">
        <v>855275</v>
      </c>
    </row>
    <row r="698">
      <c r="A698" s="5" t="inlineStr">
        <is>
          <t>2024-09</t>
        </is>
      </c>
      <c r="B698" s="5" t="inlineStr">
        <is>
          <t>SKU0401</t>
        </is>
      </c>
      <c r="C698" s="5" t="inlineStr">
        <is>
          <t>インフリキシマブBS点滴静注用「サンド」</t>
        </is>
      </c>
      <c r="D698" s="5" t="inlineStr">
        <is>
          <t>病院</t>
        </is>
      </c>
      <c r="E698" s="5" t="n">
        <v>140</v>
      </c>
      <c r="F698" s="5" t="n">
        <v>4748169</v>
      </c>
    </row>
    <row r="699">
      <c r="A699" s="4" t="inlineStr">
        <is>
          <t>2024-09</t>
        </is>
      </c>
      <c r="B699" s="4" t="inlineStr">
        <is>
          <t>SKU0401</t>
        </is>
      </c>
      <c r="C699" s="4" t="inlineStr">
        <is>
          <t>インフリキシマブBS点滴静注用「サンド」</t>
        </is>
      </c>
      <c r="D699" s="4" t="inlineStr">
        <is>
          <t>クリニック(注射対応)</t>
        </is>
      </c>
      <c r="E699" s="4" t="n">
        <v>25</v>
      </c>
      <c r="F699" s="4" t="n">
        <v>850422</v>
      </c>
    </row>
    <row r="700">
      <c r="A700" s="5" t="inlineStr">
        <is>
          <t>2024-10</t>
        </is>
      </c>
      <c r="B700" s="5" t="inlineStr">
        <is>
          <t>SKU0401</t>
        </is>
      </c>
      <c r="C700" s="5" t="inlineStr">
        <is>
          <t>インフリキシマブBS点滴静注用「サンド」</t>
        </is>
      </c>
      <c r="D700" s="5" t="inlineStr">
        <is>
          <t>病院</t>
        </is>
      </c>
      <c r="E700" s="5" t="n">
        <v>162</v>
      </c>
      <c r="F700" s="5" t="n">
        <v>5496053</v>
      </c>
    </row>
    <row r="701">
      <c r="A701" s="4" t="inlineStr">
        <is>
          <t>2024-10</t>
        </is>
      </c>
      <c r="B701" s="4" t="inlineStr">
        <is>
          <t>SKU0401</t>
        </is>
      </c>
      <c r="C701" s="4" t="inlineStr">
        <is>
          <t>インフリキシマブBS点滴静注用「サンド」</t>
        </is>
      </c>
      <c r="D701" s="4" t="inlineStr">
        <is>
          <t>クリニック(注射対応)</t>
        </is>
      </c>
      <c r="E701" s="4" t="n">
        <v>30</v>
      </c>
      <c r="F701" s="4" t="n">
        <v>1022126</v>
      </c>
    </row>
    <row r="702">
      <c r="A702" s="5" t="inlineStr">
        <is>
          <t>2024-11</t>
        </is>
      </c>
      <c r="B702" s="5" t="inlineStr">
        <is>
          <t>SKU0401</t>
        </is>
      </c>
      <c r="C702" s="5" t="inlineStr">
        <is>
          <t>インフリキシマブBS点滴静注用「サンド」</t>
        </is>
      </c>
      <c r="D702" s="5" t="inlineStr">
        <is>
          <t>病院</t>
        </is>
      </c>
      <c r="E702" s="5" t="n">
        <v>186</v>
      </c>
      <c r="F702" s="5" t="n">
        <v>6314193</v>
      </c>
    </row>
    <row r="703">
      <c r="A703" s="4" t="inlineStr">
        <is>
          <t>2024-11</t>
        </is>
      </c>
      <c r="B703" s="4" t="inlineStr">
        <is>
          <t>SKU0401</t>
        </is>
      </c>
      <c r="C703" s="4" t="inlineStr">
        <is>
          <t>インフリキシマブBS点滴静注用「サンド」</t>
        </is>
      </c>
      <c r="D703" s="4" t="inlineStr">
        <is>
          <t>クリニック(注射対応)</t>
        </is>
      </c>
      <c r="E703" s="4" t="n">
        <v>34</v>
      </c>
      <c r="F703" s="4" t="n">
        <v>1157885</v>
      </c>
    </row>
    <row r="704">
      <c r="A704" s="5" t="inlineStr">
        <is>
          <t>2024-12</t>
        </is>
      </c>
      <c r="B704" s="5" t="inlineStr">
        <is>
          <t>SKU0401</t>
        </is>
      </c>
      <c r="C704" s="5" t="inlineStr">
        <is>
          <t>インフリキシマブBS点滴静注用「サンド」</t>
        </is>
      </c>
      <c r="D704" s="5" t="inlineStr">
        <is>
          <t>病院</t>
        </is>
      </c>
      <c r="E704" s="5" t="n">
        <v>202</v>
      </c>
      <c r="F704" s="5" t="n">
        <v>6882047</v>
      </c>
    </row>
    <row r="705">
      <c r="A705" s="4" t="inlineStr">
        <is>
          <t>2024-12</t>
        </is>
      </c>
      <c r="B705" s="4" t="inlineStr">
        <is>
          <t>SKU0401</t>
        </is>
      </c>
      <c r="C705" s="4" t="inlineStr">
        <is>
          <t>インフリキシマブBS点滴静注用「サンド」</t>
        </is>
      </c>
      <c r="D705" s="4" t="inlineStr">
        <is>
          <t>クリニック(注射対応)</t>
        </is>
      </c>
      <c r="E705" s="4" t="n">
        <v>37</v>
      </c>
      <c r="F705" s="4" t="n">
        <v>1243596</v>
      </c>
    </row>
    <row r="706">
      <c r="A706" s="5" t="inlineStr">
        <is>
          <t>2025-01</t>
        </is>
      </c>
      <c r="B706" s="5" t="inlineStr">
        <is>
          <t>SKU0401</t>
        </is>
      </c>
      <c r="C706" s="5" t="inlineStr">
        <is>
          <t>インフリキシマブBS点滴静注用「サンド」</t>
        </is>
      </c>
      <c r="D706" s="5" t="inlineStr">
        <is>
          <t>病院</t>
        </is>
      </c>
      <c r="E706" s="5" t="n">
        <v>200</v>
      </c>
      <c r="F706" s="5" t="n">
        <v>6820599</v>
      </c>
    </row>
    <row r="707">
      <c r="A707" s="4" t="inlineStr">
        <is>
          <t>2025-01</t>
        </is>
      </c>
      <c r="B707" s="4" t="inlineStr">
        <is>
          <t>SKU0401</t>
        </is>
      </c>
      <c r="C707" s="4" t="inlineStr">
        <is>
          <t>インフリキシマブBS点滴静注用「サンド」</t>
        </is>
      </c>
      <c r="D707" s="4" t="inlineStr">
        <is>
          <t>クリニック(注射対応)</t>
        </is>
      </c>
      <c r="E707" s="4" t="n">
        <v>36</v>
      </c>
      <c r="F707" s="4" t="n">
        <v>1240422</v>
      </c>
    </row>
    <row r="708">
      <c r="A708" s="5" t="inlineStr">
        <is>
          <t>2025-02</t>
        </is>
      </c>
      <c r="B708" s="5" t="inlineStr">
        <is>
          <t>SKU0401</t>
        </is>
      </c>
      <c r="C708" s="5" t="inlineStr">
        <is>
          <t>インフリキシマブBS点滴静注用「サンド」</t>
        </is>
      </c>
      <c r="D708" s="5" t="inlineStr">
        <is>
          <t>病院</t>
        </is>
      </c>
      <c r="E708" s="5" t="n">
        <v>208</v>
      </c>
      <c r="F708" s="5" t="n">
        <v>7083897</v>
      </c>
    </row>
    <row r="709">
      <c r="A709" s="4" t="inlineStr">
        <is>
          <t>2025-02</t>
        </is>
      </c>
      <c r="B709" s="4" t="inlineStr">
        <is>
          <t>SKU0401</t>
        </is>
      </c>
      <c r="C709" s="4" t="inlineStr">
        <is>
          <t>インフリキシマブBS点滴静注用「サンド」</t>
        </is>
      </c>
      <c r="D709" s="4" t="inlineStr">
        <is>
          <t>クリニック(注射対応)</t>
        </is>
      </c>
      <c r="E709" s="4" t="n">
        <v>36</v>
      </c>
      <c r="F709" s="4" t="n">
        <v>1210547</v>
      </c>
    </row>
    <row r="710">
      <c r="A710" s="5" t="inlineStr">
        <is>
          <t>2025-03</t>
        </is>
      </c>
      <c r="B710" s="5" t="inlineStr">
        <is>
          <t>SKU0401</t>
        </is>
      </c>
      <c r="C710" s="5" t="inlineStr">
        <is>
          <t>インフリキシマブBS点滴静注用「サンド」</t>
        </is>
      </c>
      <c r="D710" s="5" t="inlineStr">
        <is>
          <t>病院</t>
        </is>
      </c>
      <c r="E710" s="5" t="n">
        <v>277</v>
      </c>
      <c r="F710" s="5" t="n">
        <v>9436472</v>
      </c>
    </row>
    <row r="711">
      <c r="A711" s="4" t="inlineStr">
        <is>
          <t>2025-03</t>
        </is>
      </c>
      <c r="B711" s="4" t="inlineStr">
        <is>
          <t>SKU0401</t>
        </is>
      </c>
      <c r="C711" s="4" t="inlineStr">
        <is>
          <t>インフリキシマブBS点滴静注用「サンド」</t>
        </is>
      </c>
      <c r="D711" s="4" t="inlineStr">
        <is>
          <t>クリニック(注射対応)</t>
        </is>
      </c>
      <c r="E711" s="4" t="n">
        <v>50</v>
      </c>
      <c r="F711" s="4" t="n">
        <v>1709564</v>
      </c>
    </row>
    <row r="712">
      <c r="A712" s="5" t="inlineStr">
        <is>
          <t>2025-04</t>
        </is>
      </c>
      <c r="B712" s="5" t="inlineStr">
        <is>
          <t>SKU0401</t>
        </is>
      </c>
      <c r="C712" s="5" t="inlineStr">
        <is>
          <t>インフリキシマブBS点滴静注用「サンド」</t>
        </is>
      </c>
      <c r="D712" s="5" t="inlineStr">
        <is>
          <t>病院</t>
        </is>
      </c>
      <c r="E712" s="5" t="n">
        <v>266</v>
      </c>
      <c r="F712" s="5" t="n">
        <v>8771069</v>
      </c>
    </row>
    <row r="713">
      <c r="A713" s="4" t="inlineStr">
        <is>
          <t>2025-04</t>
        </is>
      </c>
      <c r="B713" s="4" t="inlineStr">
        <is>
          <t>SKU0401</t>
        </is>
      </c>
      <c r="C713" s="4" t="inlineStr">
        <is>
          <t>インフリキシマブBS点滴静注用「サンド」</t>
        </is>
      </c>
      <c r="D713" s="4" t="inlineStr">
        <is>
          <t>クリニック(注射対応)</t>
        </is>
      </c>
      <c r="E713" s="4" t="n">
        <v>49</v>
      </c>
      <c r="F713" s="4" t="n">
        <v>1627884</v>
      </c>
    </row>
    <row r="714">
      <c r="A714" s="5" t="inlineStr">
        <is>
          <t>2025-05</t>
        </is>
      </c>
      <c r="B714" s="5" t="inlineStr">
        <is>
          <t>SKU0401</t>
        </is>
      </c>
      <c r="C714" s="5" t="inlineStr">
        <is>
          <t>インフリキシマブBS点滴静注用「サンド」</t>
        </is>
      </c>
      <c r="D714" s="5" t="inlineStr">
        <is>
          <t>病院</t>
        </is>
      </c>
      <c r="E714" s="5" t="n">
        <v>293</v>
      </c>
      <c r="F714" s="5" t="n">
        <v>9659255</v>
      </c>
    </row>
    <row r="715">
      <c r="A715" s="4" t="inlineStr">
        <is>
          <t>2025-05</t>
        </is>
      </c>
      <c r="B715" s="4" t="inlineStr">
        <is>
          <t>SKU0401</t>
        </is>
      </c>
      <c r="C715" s="4" t="inlineStr">
        <is>
          <t>インフリキシマブBS点滴静注用「サンド」</t>
        </is>
      </c>
      <c r="D715" s="4" t="inlineStr">
        <is>
          <t>クリニック(注射対応)</t>
        </is>
      </c>
      <c r="E715" s="4" t="n">
        <v>56</v>
      </c>
      <c r="F715" s="4" t="n">
        <v>1851882</v>
      </c>
    </row>
    <row r="716">
      <c r="A716" s="5" t="inlineStr">
        <is>
          <t>2025-06</t>
        </is>
      </c>
      <c r="B716" s="5" t="inlineStr">
        <is>
          <t>SKU0401</t>
        </is>
      </c>
      <c r="C716" s="5" t="inlineStr">
        <is>
          <t>インフリキシマブBS点滴静注用「サンド」</t>
        </is>
      </c>
      <c r="D716" s="5" t="inlineStr">
        <is>
          <t>病院</t>
        </is>
      </c>
      <c r="E716" s="5" t="n">
        <v>326</v>
      </c>
      <c r="F716" s="5" t="n">
        <v>10765116</v>
      </c>
    </row>
    <row r="717">
      <c r="A717" s="4" t="inlineStr">
        <is>
          <t>2025-06</t>
        </is>
      </c>
      <c r="B717" s="4" t="inlineStr">
        <is>
          <t>SKU0401</t>
        </is>
      </c>
      <c r="C717" s="4" t="inlineStr">
        <is>
          <t>インフリキシマブBS点滴静注用「サンド」</t>
        </is>
      </c>
      <c r="D717" s="4" t="inlineStr">
        <is>
          <t>クリニック(注射対応)</t>
        </is>
      </c>
      <c r="E717" s="4" t="n">
        <v>61</v>
      </c>
      <c r="F717" s="4" t="n">
        <v>2016452</v>
      </c>
    </row>
    <row r="718">
      <c r="A718" s="5" t="inlineStr">
        <is>
          <t>2025-07</t>
        </is>
      </c>
      <c r="B718" s="5" t="inlineStr">
        <is>
          <t>SKU0401</t>
        </is>
      </c>
      <c r="C718" s="5" t="inlineStr">
        <is>
          <t>インフリキシマブBS点滴静注用「サンド」</t>
        </is>
      </c>
      <c r="D718" s="5" t="inlineStr">
        <is>
          <t>病院</t>
        </is>
      </c>
      <c r="E718" s="5" t="n">
        <v>324</v>
      </c>
      <c r="F718" s="5" t="n">
        <v>10705455</v>
      </c>
    </row>
    <row r="719">
      <c r="A719" s="4" t="inlineStr">
        <is>
          <t>2025-07</t>
        </is>
      </c>
      <c r="B719" s="4" t="inlineStr">
        <is>
          <t>SKU0401</t>
        </is>
      </c>
      <c r="C719" s="4" t="inlineStr">
        <is>
          <t>インフリキシマブBS点滴静注用「サンド」</t>
        </is>
      </c>
      <c r="D719" s="4" t="inlineStr">
        <is>
          <t>クリニック(注射対応)</t>
        </is>
      </c>
      <c r="E719" s="4" t="n">
        <v>58</v>
      </c>
      <c r="F719" s="4" t="n">
        <v>1926421</v>
      </c>
    </row>
    <row r="720">
      <c r="A720" s="5" t="inlineStr">
        <is>
          <t>2025-08</t>
        </is>
      </c>
      <c r="B720" s="5" t="inlineStr">
        <is>
          <t>SKU0401</t>
        </is>
      </c>
      <c r="C720" s="5" t="inlineStr">
        <is>
          <t>インフリキシマブBS点滴静注用「サンド」</t>
        </is>
      </c>
      <c r="D720" s="5" t="inlineStr">
        <is>
          <t>病院</t>
        </is>
      </c>
      <c r="E720" s="5" t="n">
        <v>393</v>
      </c>
      <c r="F720" s="5" t="n">
        <v>12966902</v>
      </c>
    </row>
    <row r="721">
      <c r="A721" s="4" t="inlineStr">
        <is>
          <t>2025-08</t>
        </is>
      </c>
      <c r="B721" s="4" t="inlineStr">
        <is>
          <t>SKU0401</t>
        </is>
      </c>
      <c r="C721" s="4" t="inlineStr">
        <is>
          <t>インフリキシマブBS点滴静注用「サンド」</t>
        </is>
      </c>
      <c r="D721" s="4" t="inlineStr">
        <is>
          <t>クリニック(注射対応)</t>
        </is>
      </c>
      <c r="E721" s="4" t="n">
        <v>64</v>
      </c>
      <c r="F721" s="4" t="n">
        <v>2119651</v>
      </c>
    </row>
    <row r="722">
      <c r="A722" s="5" t="inlineStr">
        <is>
          <t>2025-09</t>
        </is>
      </c>
      <c r="B722" s="5" t="inlineStr">
        <is>
          <t>SKU0401</t>
        </is>
      </c>
      <c r="C722" s="5" t="inlineStr">
        <is>
          <t>インフリキシマブBS点滴静注用「サンド」</t>
        </is>
      </c>
      <c r="D722" s="5" t="inlineStr">
        <is>
          <t>病院</t>
        </is>
      </c>
      <c r="E722" s="5" t="n">
        <v>425</v>
      </c>
      <c r="F722" s="5" t="n">
        <v>14032249</v>
      </c>
    </row>
    <row r="723">
      <c r="A723" s="4" t="inlineStr">
        <is>
          <t>2025-09</t>
        </is>
      </c>
      <c r="B723" s="4" t="inlineStr">
        <is>
          <t>SKU0401</t>
        </is>
      </c>
      <c r="C723" s="4" t="inlineStr">
        <is>
          <t>インフリキシマブBS点滴静注用「サンド」</t>
        </is>
      </c>
      <c r="D723" s="4" t="inlineStr">
        <is>
          <t>クリニック(注射対応)</t>
        </is>
      </c>
      <c r="E723" s="4" t="n">
        <v>79</v>
      </c>
      <c r="F723" s="4" t="n">
        <v>2599177</v>
      </c>
    </row>
    <row r="724">
      <c r="A724" s="5" t="inlineStr">
        <is>
          <t>2025-10</t>
        </is>
      </c>
      <c r="B724" s="5" t="inlineStr">
        <is>
          <t>SKU0401</t>
        </is>
      </c>
      <c r="C724" s="5" t="inlineStr">
        <is>
          <t>インフリキシマブBS点滴静注用「サンド」</t>
        </is>
      </c>
      <c r="D724" s="5" t="inlineStr">
        <is>
          <t>病院</t>
        </is>
      </c>
      <c r="E724" s="5" t="n">
        <v>417</v>
      </c>
      <c r="F724" s="5" t="n">
        <v>13755707</v>
      </c>
    </row>
    <row r="725">
      <c r="A725" s="4" t="inlineStr">
        <is>
          <t>2025-10</t>
        </is>
      </c>
      <c r="B725" s="4" t="inlineStr">
        <is>
          <t>SKU0401</t>
        </is>
      </c>
      <c r="C725" s="4" t="inlineStr">
        <is>
          <t>インフリキシマブBS点滴静注用「サンド」</t>
        </is>
      </c>
      <c r="D725" s="4" t="inlineStr">
        <is>
          <t>クリニック(注射対応)</t>
        </is>
      </c>
      <c r="E725" s="4" t="n">
        <v>75</v>
      </c>
      <c r="F725" s="4" t="n">
        <v>2480136</v>
      </c>
    </row>
    <row r="726">
      <c r="A726" s="5" t="inlineStr">
        <is>
          <t>2025-11</t>
        </is>
      </c>
      <c r="B726" s="5" t="inlineStr">
        <is>
          <t>SKU0401</t>
        </is>
      </c>
      <c r="C726" s="5" t="inlineStr">
        <is>
          <t>インフリキシマブBS点滴静注用「サンド」</t>
        </is>
      </c>
      <c r="D726" s="5" t="inlineStr">
        <is>
          <t>病院</t>
        </is>
      </c>
      <c r="E726" s="5" t="n">
        <v>475</v>
      </c>
      <c r="F726" s="5" t="n">
        <v>15684674</v>
      </c>
    </row>
    <row r="727">
      <c r="A727" s="4" t="inlineStr">
        <is>
          <t>2025-11</t>
        </is>
      </c>
      <c r="B727" s="4" t="inlineStr">
        <is>
          <t>SKU0401</t>
        </is>
      </c>
      <c r="C727" s="4" t="inlineStr">
        <is>
          <t>インフリキシマブBS点滴静注用「サンド」</t>
        </is>
      </c>
      <c r="D727" s="4" t="inlineStr">
        <is>
          <t>クリニック(注射対応)</t>
        </is>
      </c>
      <c r="E727" s="4" t="n">
        <v>81</v>
      </c>
      <c r="F727" s="4" t="n">
        <v>2672108</v>
      </c>
    </row>
    <row r="728">
      <c r="A728" s="5" t="inlineStr">
        <is>
          <t>2025-12</t>
        </is>
      </c>
      <c r="B728" s="5" t="inlineStr">
        <is>
          <t>SKU0401</t>
        </is>
      </c>
      <c r="C728" s="5" t="inlineStr">
        <is>
          <t>インフリキシマブBS点滴静注用「サンド」</t>
        </is>
      </c>
      <c r="D728" s="5" t="inlineStr">
        <is>
          <t>病院</t>
        </is>
      </c>
      <c r="E728" s="5" t="n">
        <v>372</v>
      </c>
      <c r="F728" s="5" t="n">
        <v>12259925</v>
      </c>
    </row>
    <row r="729">
      <c r="A729" s="4" t="inlineStr">
        <is>
          <t>2025-12</t>
        </is>
      </c>
      <c r="B729" s="4" t="inlineStr">
        <is>
          <t>SKU0401</t>
        </is>
      </c>
      <c r="C729" s="4" t="inlineStr">
        <is>
          <t>インフリキシマブBS点滴静注用「サンド」</t>
        </is>
      </c>
      <c r="D729" s="4" t="inlineStr">
        <is>
          <t>クリニック(注射対応)</t>
        </is>
      </c>
      <c r="E729" s="4" t="n">
        <v>62</v>
      </c>
      <c r="F729" s="4" t="n">
        <v>2051565</v>
      </c>
    </row>
    <row r="730">
      <c r="A730" s="5" t="inlineStr">
        <is>
          <t>2026-01</t>
        </is>
      </c>
      <c r="B730" s="5" t="inlineStr">
        <is>
          <t>SKU0401</t>
        </is>
      </c>
      <c r="C730" s="5" t="inlineStr">
        <is>
          <t>インフリキシマブBS点滴静注用「サンド」</t>
        </is>
      </c>
      <c r="D730" s="5" t="inlineStr">
        <is>
          <t>病院</t>
        </is>
      </c>
      <c r="E730" s="5" t="n">
        <v>484</v>
      </c>
      <c r="F730" s="5" t="n">
        <v>15955822</v>
      </c>
    </row>
    <row r="731">
      <c r="A731" s="4" t="inlineStr">
        <is>
          <t>2026-01</t>
        </is>
      </c>
      <c r="B731" s="4" t="inlineStr">
        <is>
          <t>SKU0401</t>
        </is>
      </c>
      <c r="C731" s="4" t="inlineStr">
        <is>
          <t>インフリキシマブBS点滴静注用「サンド」</t>
        </is>
      </c>
      <c r="D731" s="4" t="inlineStr">
        <is>
          <t>クリニック(注射対応)</t>
        </is>
      </c>
      <c r="E731" s="4" t="n">
        <v>83</v>
      </c>
      <c r="F731" s="4" t="n">
        <v>2753230</v>
      </c>
    </row>
    <row r="732">
      <c r="A732" s="5" t="inlineStr">
        <is>
          <t>2026-02</t>
        </is>
      </c>
      <c r="B732" s="5" t="inlineStr">
        <is>
          <t>SKU0401</t>
        </is>
      </c>
      <c r="C732" s="5" t="inlineStr">
        <is>
          <t>インフリキシマブBS点滴静注用「サンド」</t>
        </is>
      </c>
      <c r="D732" s="5" t="inlineStr">
        <is>
          <t>病院</t>
        </is>
      </c>
      <c r="E732" s="5" t="n">
        <v>472</v>
      </c>
      <c r="F732" s="5" t="n">
        <v>15577531</v>
      </c>
    </row>
    <row r="733">
      <c r="A733" s="4" t="inlineStr">
        <is>
          <t>2026-02</t>
        </is>
      </c>
      <c r="B733" s="4" t="inlineStr">
        <is>
          <t>SKU0401</t>
        </is>
      </c>
      <c r="C733" s="4" t="inlineStr">
        <is>
          <t>インフリキシマブBS点滴静注用「サンド」</t>
        </is>
      </c>
      <c r="D733" s="4" t="inlineStr">
        <is>
          <t>クリニック(注射対応)</t>
        </is>
      </c>
      <c r="E733" s="4" t="n">
        <v>86</v>
      </c>
      <c r="F733" s="4" t="n">
        <v>2845876</v>
      </c>
    </row>
    <row r="734">
      <c r="A734" s="5" t="inlineStr">
        <is>
          <t>2026-03</t>
        </is>
      </c>
      <c r="B734" s="5" t="inlineStr">
        <is>
          <t>SKU0401</t>
        </is>
      </c>
      <c r="C734" s="5" t="inlineStr">
        <is>
          <t>インフリキシマブBS点滴静注用「サンド」</t>
        </is>
      </c>
      <c r="D734" s="5" t="inlineStr">
        <is>
          <t>病院</t>
        </is>
      </c>
      <c r="E734" s="5" t="n">
        <v>551</v>
      </c>
      <c r="F734" s="5" t="n">
        <v>18167325</v>
      </c>
    </row>
    <row r="735">
      <c r="A735" s="4" t="inlineStr">
        <is>
          <t>2026-03</t>
        </is>
      </c>
      <c r="B735" s="4" t="inlineStr">
        <is>
          <t>SKU0401</t>
        </is>
      </c>
      <c r="C735" s="4" t="inlineStr">
        <is>
          <t>インフリキシマブBS点滴静注用「サンド」</t>
        </is>
      </c>
      <c r="D735" s="4" t="inlineStr">
        <is>
          <t>クリニック(注射対応)</t>
        </is>
      </c>
      <c r="E735" s="4" t="n">
        <v>97</v>
      </c>
      <c r="F735" s="4" t="n">
        <v>3211408</v>
      </c>
    </row>
    <row r="736">
      <c r="A736" s="5" t="inlineStr">
        <is>
          <t>2026-04</t>
        </is>
      </c>
      <c r="B736" s="5" t="inlineStr">
        <is>
          <t>SKU0401</t>
        </is>
      </c>
      <c r="C736" s="5" t="inlineStr">
        <is>
          <t>インフリキシマブBS点滴静注用「サンド」</t>
        </is>
      </c>
      <c r="D736" s="5" t="inlineStr">
        <is>
          <t>病院</t>
        </is>
      </c>
      <c r="E736" s="5" t="n">
        <v>498</v>
      </c>
      <c r="F736" s="5" t="n">
        <v>15432359</v>
      </c>
    </row>
    <row r="737">
      <c r="A737" s="4" t="inlineStr">
        <is>
          <t>2026-04</t>
        </is>
      </c>
      <c r="B737" s="4" t="inlineStr">
        <is>
          <t>SKU0401</t>
        </is>
      </c>
      <c r="C737" s="4" t="inlineStr">
        <is>
          <t>インフリキシマブBS点滴静注用「サンド」</t>
        </is>
      </c>
      <c r="D737" s="4" t="inlineStr">
        <is>
          <t>クリニック(注射対応)</t>
        </is>
      </c>
      <c r="E737" s="4" t="n">
        <v>83</v>
      </c>
      <c r="F737" s="4" t="n">
        <v>2567315</v>
      </c>
    </row>
    <row r="738">
      <c r="A738" s="5" t="inlineStr">
        <is>
          <t>2026-05</t>
        </is>
      </c>
      <c r="B738" s="5" t="inlineStr">
        <is>
          <t>SKU0401</t>
        </is>
      </c>
      <c r="C738" s="5" t="inlineStr">
        <is>
          <t>インフリキシマブBS点滴静注用「サンド」</t>
        </is>
      </c>
      <c r="D738" s="5" t="inlineStr">
        <is>
          <t>病院</t>
        </is>
      </c>
      <c r="E738" s="5" t="n">
        <v>564</v>
      </c>
      <c r="F738" s="5" t="n">
        <v>17485101</v>
      </c>
    </row>
    <row r="739">
      <c r="A739" s="4" t="inlineStr">
        <is>
          <t>2026-05</t>
        </is>
      </c>
      <c r="B739" s="4" t="inlineStr">
        <is>
          <t>SKU0401</t>
        </is>
      </c>
      <c r="C739" s="4" t="inlineStr">
        <is>
          <t>インフリキシマブBS点滴静注用「サンド」</t>
        </is>
      </c>
      <c r="D739" s="4" t="inlineStr">
        <is>
          <t>クリニック(注射対応)</t>
        </is>
      </c>
      <c r="E739" s="4" t="n">
        <v>92</v>
      </c>
      <c r="F739" s="4" t="n">
        <v>2866171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375623"/>
    <outlinePr summaryBelow="1" summaryRight="1"/>
    <pageSetUpPr/>
  </sheetPr>
  <dimension ref="A1:F8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4" customWidth="1" min="3" max="3"/>
    <col width="15" customWidth="1" min="4" max="4"/>
    <col width="24" customWidth="1" min="5" max="5"/>
    <col width="31" customWidth="1" min="6" max="6"/>
  </cols>
  <sheetData>
    <row r="1">
      <c r="A1" s="27" t="inlineStr">
        <is>
          <t>period</t>
        </is>
      </c>
      <c r="B1" s="27" t="inlineStr">
        <is>
          <t>sku_id</t>
        </is>
      </c>
      <c r="C1" s="27" t="inlineStr">
        <is>
          <t>product_name</t>
        </is>
      </c>
      <c r="D1" s="27" t="inlineStr">
        <is>
          <t>distributor</t>
        </is>
      </c>
      <c r="E1" s="27" t="inlineStr">
        <is>
          <t>ending_inventory_qty</t>
        </is>
      </c>
      <c r="F1" s="27" t="inlineStr">
        <is>
          <t>ending_inventory_amount_jpy</t>
        </is>
      </c>
    </row>
    <row r="2">
      <c r="A2" s="5" t="inlineStr">
        <is>
          <t>2023-01</t>
        </is>
      </c>
      <c r="B2" s="5" t="inlineStr">
        <is>
          <t>SKU0101</t>
        </is>
      </c>
      <c r="C2" s="5" t="inlineStr">
        <is>
          <t>メトグルコGE「サンド」</t>
        </is>
      </c>
      <c r="D2" s="5" t="inlineStr">
        <is>
          <t>卸A</t>
        </is>
      </c>
      <c r="E2" s="5" t="n">
        <v>9490</v>
      </c>
      <c r="F2" s="5" t="n">
        <v>91100</v>
      </c>
    </row>
    <row r="3">
      <c r="A3" s="4" t="inlineStr">
        <is>
          <t>2023-01</t>
        </is>
      </c>
      <c r="B3" s="4" t="inlineStr">
        <is>
          <t>SKU0101</t>
        </is>
      </c>
      <c r="C3" s="4" t="inlineStr">
        <is>
          <t>メトグルコGE「サンド」</t>
        </is>
      </c>
      <c r="D3" s="4" t="inlineStr">
        <is>
          <t>卸B</t>
        </is>
      </c>
      <c r="E3" s="4" t="n">
        <v>8302</v>
      </c>
      <c r="F3" s="4" t="n">
        <v>79695</v>
      </c>
    </row>
    <row r="4">
      <c r="A4" s="5" t="inlineStr">
        <is>
          <t>2023-01</t>
        </is>
      </c>
      <c r="B4" s="5" t="inlineStr">
        <is>
          <t>SKU0101</t>
        </is>
      </c>
      <c r="C4" s="5" t="inlineStr">
        <is>
          <t>メトグルコGE「サンド」</t>
        </is>
      </c>
      <c r="D4" s="5" t="inlineStr">
        <is>
          <t>卸C</t>
        </is>
      </c>
      <c r="E4" s="5" t="n">
        <v>4999</v>
      </c>
      <c r="F4" s="5" t="n">
        <v>47992</v>
      </c>
    </row>
    <row r="5">
      <c r="A5" s="4" t="inlineStr">
        <is>
          <t>2023-02</t>
        </is>
      </c>
      <c r="B5" s="4" t="inlineStr">
        <is>
          <t>SKU0101</t>
        </is>
      </c>
      <c r="C5" s="4" t="inlineStr">
        <is>
          <t>メトグルコGE「サンド」</t>
        </is>
      </c>
      <c r="D5" s="4" t="inlineStr">
        <is>
          <t>卸A</t>
        </is>
      </c>
      <c r="E5" s="4" t="n">
        <v>8689</v>
      </c>
      <c r="F5" s="4" t="n">
        <v>83410</v>
      </c>
    </row>
    <row r="6">
      <c r="A6" s="5" t="inlineStr">
        <is>
          <t>2023-02</t>
        </is>
      </c>
      <c r="B6" s="5" t="inlineStr">
        <is>
          <t>SKU0101</t>
        </is>
      </c>
      <c r="C6" s="5" t="inlineStr">
        <is>
          <t>メトグルコGE「サンド」</t>
        </is>
      </c>
      <c r="D6" s="5" t="inlineStr">
        <is>
          <t>卸B</t>
        </is>
      </c>
      <c r="E6" s="5" t="n">
        <v>7646</v>
      </c>
      <c r="F6" s="5" t="n">
        <v>73406</v>
      </c>
    </row>
    <row r="7">
      <c r="A7" s="4" t="inlineStr">
        <is>
          <t>2023-02</t>
        </is>
      </c>
      <c r="B7" s="4" t="inlineStr">
        <is>
          <t>SKU0101</t>
        </is>
      </c>
      <c r="C7" s="4" t="inlineStr">
        <is>
          <t>メトグルコGE「サンド」</t>
        </is>
      </c>
      <c r="D7" s="4" t="inlineStr">
        <is>
          <t>卸C</t>
        </is>
      </c>
      <c r="E7" s="4" t="n">
        <v>4773</v>
      </c>
      <c r="F7" s="4" t="n">
        <v>45819</v>
      </c>
    </row>
    <row r="8">
      <c r="A8" s="5" t="inlineStr">
        <is>
          <t>2023-03</t>
        </is>
      </c>
      <c r="B8" s="5" t="inlineStr">
        <is>
          <t>SKU0101</t>
        </is>
      </c>
      <c r="C8" s="5" t="inlineStr">
        <is>
          <t>メトグルコGE「サンド」</t>
        </is>
      </c>
      <c r="D8" s="5" t="inlineStr">
        <is>
          <t>卸A</t>
        </is>
      </c>
      <c r="E8" s="5" t="n">
        <v>10315</v>
      </c>
      <c r="F8" s="5" t="n">
        <v>99026</v>
      </c>
    </row>
    <row r="9">
      <c r="A9" s="4" t="inlineStr">
        <is>
          <t>2023-03</t>
        </is>
      </c>
      <c r="B9" s="4" t="inlineStr">
        <is>
          <t>SKU0101</t>
        </is>
      </c>
      <c r="C9" s="4" t="inlineStr">
        <is>
          <t>メトグルコGE「サンド」</t>
        </is>
      </c>
      <c r="D9" s="4" t="inlineStr">
        <is>
          <t>卸B</t>
        </is>
      </c>
      <c r="E9" s="4" t="n">
        <v>8383</v>
      </c>
      <c r="F9" s="4" t="n">
        <v>80475</v>
      </c>
    </row>
    <row r="10">
      <c r="A10" s="5" t="inlineStr">
        <is>
          <t>2023-03</t>
        </is>
      </c>
      <c r="B10" s="5" t="inlineStr">
        <is>
          <t>SKU0101</t>
        </is>
      </c>
      <c r="C10" s="5" t="inlineStr">
        <is>
          <t>メトグルコGE「サンド」</t>
        </is>
      </c>
      <c r="D10" s="5" t="inlineStr">
        <is>
          <t>卸C</t>
        </is>
      </c>
      <c r="E10" s="5" t="n">
        <v>5878</v>
      </c>
      <c r="F10" s="5" t="n">
        <v>56426</v>
      </c>
    </row>
    <row r="11">
      <c r="A11" s="4" t="inlineStr">
        <is>
          <t>2023-04</t>
        </is>
      </c>
      <c r="B11" s="4" t="inlineStr">
        <is>
          <t>SKU0101</t>
        </is>
      </c>
      <c r="C11" s="4" t="inlineStr">
        <is>
          <t>メトグルコGE「サンド」</t>
        </is>
      </c>
      <c r="D11" s="4" t="inlineStr">
        <is>
          <t>卸A</t>
        </is>
      </c>
      <c r="E11" s="4" t="n">
        <v>9136</v>
      </c>
      <c r="F11" s="4" t="n">
        <v>87704</v>
      </c>
    </row>
    <row r="12">
      <c r="A12" s="5" t="inlineStr">
        <is>
          <t>2023-04</t>
        </is>
      </c>
      <c r="B12" s="5" t="inlineStr">
        <is>
          <t>SKU0101</t>
        </is>
      </c>
      <c r="C12" s="5" t="inlineStr">
        <is>
          <t>メトグルコGE「サンド」</t>
        </is>
      </c>
      <c r="D12" s="5" t="inlineStr">
        <is>
          <t>卸B</t>
        </is>
      </c>
      <c r="E12" s="5" t="n">
        <v>7323</v>
      </c>
      <c r="F12" s="5" t="n">
        <v>70302</v>
      </c>
    </row>
    <row r="13">
      <c r="A13" s="4" t="inlineStr">
        <is>
          <t>2023-04</t>
        </is>
      </c>
      <c r="B13" s="4" t="inlineStr">
        <is>
          <t>SKU0101</t>
        </is>
      </c>
      <c r="C13" s="4" t="inlineStr">
        <is>
          <t>メトグルコGE「サンド」</t>
        </is>
      </c>
      <c r="D13" s="4" t="inlineStr">
        <is>
          <t>卸C</t>
        </is>
      </c>
      <c r="E13" s="4" t="n">
        <v>5118</v>
      </c>
      <c r="F13" s="4" t="n">
        <v>49133</v>
      </c>
    </row>
    <row r="14">
      <c r="A14" s="5" t="inlineStr">
        <is>
          <t>2023-05</t>
        </is>
      </c>
      <c r="B14" s="5" t="inlineStr">
        <is>
          <t>SKU0101</t>
        </is>
      </c>
      <c r="C14" s="5" t="inlineStr">
        <is>
          <t>メトグルコGE「サンド」</t>
        </is>
      </c>
      <c r="D14" s="5" t="inlineStr">
        <is>
          <t>卸A</t>
        </is>
      </c>
      <c r="E14" s="5" t="n">
        <v>9443</v>
      </c>
      <c r="F14" s="5" t="n">
        <v>90655</v>
      </c>
    </row>
    <row r="15">
      <c r="A15" s="4" t="inlineStr">
        <is>
          <t>2023-05</t>
        </is>
      </c>
      <c r="B15" s="4" t="inlineStr">
        <is>
          <t>SKU0101</t>
        </is>
      </c>
      <c r="C15" s="4" t="inlineStr">
        <is>
          <t>メトグルコGE「サンド」</t>
        </is>
      </c>
      <c r="D15" s="4" t="inlineStr">
        <is>
          <t>卸B</t>
        </is>
      </c>
      <c r="E15" s="4" t="n">
        <v>8663</v>
      </c>
      <c r="F15" s="4" t="n">
        <v>83169</v>
      </c>
    </row>
    <row r="16">
      <c r="A16" s="5" t="inlineStr">
        <is>
          <t>2023-05</t>
        </is>
      </c>
      <c r="B16" s="5" t="inlineStr">
        <is>
          <t>SKU0101</t>
        </is>
      </c>
      <c r="C16" s="5" t="inlineStr">
        <is>
          <t>メトグルコGE「サンド」</t>
        </is>
      </c>
      <c r="D16" s="5" t="inlineStr">
        <is>
          <t>卸C</t>
        </is>
      </c>
      <c r="E16" s="5" t="n">
        <v>5362</v>
      </c>
      <c r="F16" s="5" t="n">
        <v>51476</v>
      </c>
    </row>
    <row r="17">
      <c r="A17" s="4" t="inlineStr">
        <is>
          <t>2023-06</t>
        </is>
      </c>
      <c r="B17" s="4" t="inlineStr">
        <is>
          <t>SKU0101</t>
        </is>
      </c>
      <c r="C17" s="4" t="inlineStr">
        <is>
          <t>メトグルコGE「サンド」</t>
        </is>
      </c>
      <c r="D17" s="4" t="inlineStr">
        <is>
          <t>卸A</t>
        </is>
      </c>
      <c r="E17" s="4" t="n">
        <v>8940</v>
      </c>
      <c r="F17" s="4" t="n">
        <v>85825</v>
      </c>
    </row>
    <row r="18">
      <c r="A18" s="5" t="inlineStr">
        <is>
          <t>2023-06</t>
        </is>
      </c>
      <c r="B18" s="5" t="inlineStr">
        <is>
          <t>SKU0101</t>
        </is>
      </c>
      <c r="C18" s="5" t="inlineStr">
        <is>
          <t>メトグルコGE「サンド」</t>
        </is>
      </c>
      <c r="D18" s="5" t="inlineStr">
        <is>
          <t>卸B</t>
        </is>
      </c>
      <c r="E18" s="5" t="n">
        <v>9043</v>
      </c>
      <c r="F18" s="5" t="n">
        <v>86817</v>
      </c>
    </row>
    <row r="19">
      <c r="A19" s="4" t="inlineStr">
        <is>
          <t>2023-06</t>
        </is>
      </c>
      <c r="B19" s="4" t="inlineStr">
        <is>
          <t>SKU0101</t>
        </is>
      </c>
      <c r="C19" s="4" t="inlineStr">
        <is>
          <t>メトグルコGE「サンド」</t>
        </is>
      </c>
      <c r="D19" s="4" t="inlineStr">
        <is>
          <t>卸C</t>
        </is>
      </c>
      <c r="E19" s="4" t="n">
        <v>6744</v>
      </c>
      <c r="F19" s="4" t="n">
        <v>64738</v>
      </c>
    </row>
    <row r="20">
      <c r="A20" s="5" t="inlineStr">
        <is>
          <t>2023-07</t>
        </is>
      </c>
      <c r="B20" s="5" t="inlineStr">
        <is>
          <t>SKU0101</t>
        </is>
      </c>
      <c r="C20" s="5" t="inlineStr">
        <is>
          <t>メトグルコGE「サンド」</t>
        </is>
      </c>
      <c r="D20" s="5" t="inlineStr">
        <is>
          <t>卸A</t>
        </is>
      </c>
      <c r="E20" s="5" t="n">
        <v>8620</v>
      </c>
      <c r="F20" s="5" t="n">
        <v>82755</v>
      </c>
    </row>
    <row r="21">
      <c r="A21" s="4" t="inlineStr">
        <is>
          <t>2023-07</t>
        </is>
      </c>
      <c r="B21" s="4" t="inlineStr">
        <is>
          <t>SKU0101</t>
        </is>
      </c>
      <c r="C21" s="4" t="inlineStr">
        <is>
          <t>メトグルコGE「サンド」</t>
        </is>
      </c>
      <c r="D21" s="4" t="inlineStr">
        <is>
          <t>卸B</t>
        </is>
      </c>
      <c r="E21" s="4" t="n">
        <v>7294</v>
      </c>
      <c r="F21" s="4" t="n">
        <v>70024</v>
      </c>
    </row>
    <row r="22">
      <c r="A22" s="5" t="inlineStr">
        <is>
          <t>2023-07</t>
        </is>
      </c>
      <c r="B22" s="5" t="inlineStr">
        <is>
          <t>SKU0101</t>
        </is>
      </c>
      <c r="C22" s="5" t="inlineStr">
        <is>
          <t>メトグルコGE「サンド」</t>
        </is>
      </c>
      <c r="D22" s="5" t="inlineStr">
        <is>
          <t>卸C</t>
        </is>
      </c>
      <c r="E22" s="5" t="n">
        <v>4963</v>
      </c>
      <c r="F22" s="5" t="n">
        <v>47647</v>
      </c>
    </row>
    <row r="23">
      <c r="A23" s="4" t="inlineStr">
        <is>
          <t>2023-08</t>
        </is>
      </c>
      <c r="B23" s="4" t="inlineStr">
        <is>
          <t>SKU0101</t>
        </is>
      </c>
      <c r="C23" s="4" t="inlineStr">
        <is>
          <t>メトグルコGE「サンド」</t>
        </is>
      </c>
      <c r="D23" s="4" t="inlineStr">
        <is>
          <t>卸A</t>
        </is>
      </c>
      <c r="E23" s="4" t="n">
        <v>9355</v>
      </c>
      <c r="F23" s="4" t="n">
        <v>89805</v>
      </c>
    </row>
    <row r="24">
      <c r="A24" s="5" t="inlineStr">
        <is>
          <t>2023-08</t>
        </is>
      </c>
      <c r="B24" s="5" t="inlineStr">
        <is>
          <t>SKU0101</t>
        </is>
      </c>
      <c r="C24" s="5" t="inlineStr">
        <is>
          <t>メトグルコGE「サンド」</t>
        </is>
      </c>
      <c r="D24" s="5" t="inlineStr">
        <is>
          <t>卸B</t>
        </is>
      </c>
      <c r="E24" s="5" t="n">
        <v>8668</v>
      </c>
      <c r="F24" s="5" t="n">
        <v>83216</v>
      </c>
    </row>
    <row r="25">
      <c r="A25" s="4" t="inlineStr">
        <is>
          <t>2023-08</t>
        </is>
      </c>
      <c r="B25" s="4" t="inlineStr">
        <is>
          <t>SKU0101</t>
        </is>
      </c>
      <c r="C25" s="4" t="inlineStr">
        <is>
          <t>メトグルコGE「サンド」</t>
        </is>
      </c>
      <c r="D25" s="4" t="inlineStr">
        <is>
          <t>卸C</t>
        </is>
      </c>
      <c r="E25" s="4" t="n">
        <v>6484</v>
      </c>
      <c r="F25" s="4" t="n">
        <v>62246</v>
      </c>
    </row>
    <row r="26">
      <c r="A26" s="5" t="inlineStr">
        <is>
          <t>2023-09</t>
        </is>
      </c>
      <c r="B26" s="5" t="inlineStr">
        <is>
          <t>SKU0101</t>
        </is>
      </c>
      <c r="C26" s="5" t="inlineStr">
        <is>
          <t>メトグルコGE「サンド」</t>
        </is>
      </c>
      <c r="D26" s="5" t="inlineStr">
        <is>
          <t>卸A</t>
        </is>
      </c>
      <c r="E26" s="5" t="n">
        <v>10260</v>
      </c>
      <c r="F26" s="5" t="n">
        <v>98494</v>
      </c>
    </row>
    <row r="27">
      <c r="A27" s="4" t="inlineStr">
        <is>
          <t>2023-09</t>
        </is>
      </c>
      <c r="B27" s="4" t="inlineStr">
        <is>
          <t>SKU0101</t>
        </is>
      </c>
      <c r="C27" s="4" t="inlineStr">
        <is>
          <t>メトグルコGE「サンド」</t>
        </is>
      </c>
      <c r="D27" s="4" t="inlineStr">
        <is>
          <t>卸B</t>
        </is>
      </c>
      <c r="E27" s="4" t="n">
        <v>9523</v>
      </c>
      <c r="F27" s="4" t="n">
        <v>91423</v>
      </c>
    </row>
    <row r="28">
      <c r="A28" s="5" t="inlineStr">
        <is>
          <t>2023-09</t>
        </is>
      </c>
      <c r="B28" s="5" t="inlineStr">
        <is>
          <t>SKU0101</t>
        </is>
      </c>
      <c r="C28" s="5" t="inlineStr">
        <is>
          <t>メトグルコGE「サンド」</t>
        </is>
      </c>
      <c r="D28" s="5" t="inlineStr">
        <is>
          <t>卸C</t>
        </is>
      </c>
      <c r="E28" s="5" t="n">
        <v>6623</v>
      </c>
      <c r="F28" s="5" t="n">
        <v>63583</v>
      </c>
    </row>
    <row r="29">
      <c r="A29" s="4" t="inlineStr">
        <is>
          <t>2023-10</t>
        </is>
      </c>
      <c r="B29" s="4" t="inlineStr">
        <is>
          <t>SKU0101</t>
        </is>
      </c>
      <c r="C29" s="4" t="inlineStr">
        <is>
          <t>メトグルコGE「サンド」</t>
        </is>
      </c>
      <c r="D29" s="4" t="inlineStr">
        <is>
          <t>卸A</t>
        </is>
      </c>
      <c r="E29" s="4" t="n">
        <v>9434</v>
      </c>
      <c r="F29" s="4" t="n">
        <v>90568</v>
      </c>
    </row>
    <row r="30">
      <c r="A30" s="5" t="inlineStr">
        <is>
          <t>2023-10</t>
        </is>
      </c>
      <c r="B30" s="5" t="inlineStr">
        <is>
          <t>SKU0101</t>
        </is>
      </c>
      <c r="C30" s="5" t="inlineStr">
        <is>
          <t>メトグルコGE「サンド」</t>
        </is>
      </c>
      <c r="D30" s="5" t="inlineStr">
        <is>
          <t>卸B</t>
        </is>
      </c>
      <c r="E30" s="5" t="n">
        <v>8990</v>
      </c>
      <c r="F30" s="5" t="n">
        <v>86306</v>
      </c>
    </row>
    <row r="31">
      <c r="A31" s="4" t="inlineStr">
        <is>
          <t>2023-10</t>
        </is>
      </c>
      <c r="B31" s="4" t="inlineStr">
        <is>
          <t>SKU0101</t>
        </is>
      </c>
      <c r="C31" s="4" t="inlineStr">
        <is>
          <t>メトグルコGE「サンド」</t>
        </is>
      </c>
      <c r="D31" s="4" t="inlineStr">
        <is>
          <t>卸C</t>
        </is>
      </c>
      <c r="E31" s="4" t="n">
        <v>6141</v>
      </c>
      <c r="F31" s="4" t="n">
        <v>58956</v>
      </c>
    </row>
    <row r="32">
      <c r="A32" s="5" t="inlineStr">
        <is>
          <t>2023-11</t>
        </is>
      </c>
      <c r="B32" s="5" t="inlineStr">
        <is>
          <t>SKU0101</t>
        </is>
      </c>
      <c r="C32" s="5" t="inlineStr">
        <is>
          <t>メトグルコGE「サンド」</t>
        </is>
      </c>
      <c r="D32" s="5" t="inlineStr">
        <is>
          <t>卸A</t>
        </is>
      </c>
      <c r="E32" s="5" t="n">
        <v>8721</v>
      </c>
      <c r="F32" s="5" t="n">
        <v>83717</v>
      </c>
    </row>
    <row r="33">
      <c r="A33" s="4" t="inlineStr">
        <is>
          <t>2023-11</t>
        </is>
      </c>
      <c r="B33" s="4" t="inlineStr">
        <is>
          <t>SKU0101</t>
        </is>
      </c>
      <c r="C33" s="4" t="inlineStr">
        <is>
          <t>メトグルコGE「サンド」</t>
        </is>
      </c>
      <c r="D33" s="4" t="inlineStr">
        <is>
          <t>卸B</t>
        </is>
      </c>
      <c r="E33" s="4" t="n">
        <v>9844</v>
      </c>
      <c r="F33" s="4" t="n">
        <v>94503</v>
      </c>
    </row>
    <row r="34">
      <c r="A34" s="5" t="inlineStr">
        <is>
          <t>2023-11</t>
        </is>
      </c>
      <c r="B34" s="5" t="inlineStr">
        <is>
          <t>SKU0101</t>
        </is>
      </c>
      <c r="C34" s="5" t="inlineStr">
        <is>
          <t>メトグルコGE「サンド」</t>
        </is>
      </c>
      <c r="D34" s="5" t="inlineStr">
        <is>
          <t>卸C</t>
        </is>
      </c>
      <c r="E34" s="5" t="n">
        <v>5861</v>
      </c>
      <c r="F34" s="5" t="n">
        <v>56263</v>
      </c>
    </row>
    <row r="35">
      <c r="A35" s="4" t="inlineStr">
        <is>
          <t>2023-12</t>
        </is>
      </c>
      <c r="B35" s="4" t="inlineStr">
        <is>
          <t>SKU0101</t>
        </is>
      </c>
      <c r="C35" s="4" t="inlineStr">
        <is>
          <t>メトグルコGE「サンド」</t>
        </is>
      </c>
      <c r="D35" s="4" t="inlineStr">
        <is>
          <t>卸A</t>
        </is>
      </c>
      <c r="E35" s="4" t="n">
        <v>11850</v>
      </c>
      <c r="F35" s="4" t="n">
        <v>113758</v>
      </c>
    </row>
    <row r="36">
      <c r="A36" s="5" t="inlineStr">
        <is>
          <t>2023-12</t>
        </is>
      </c>
      <c r="B36" s="5" t="inlineStr">
        <is>
          <t>SKU0101</t>
        </is>
      </c>
      <c r="C36" s="5" t="inlineStr">
        <is>
          <t>メトグルコGE「サンド」</t>
        </is>
      </c>
      <c r="D36" s="5" t="inlineStr">
        <is>
          <t>卸B</t>
        </is>
      </c>
      <c r="E36" s="5" t="n">
        <v>9244</v>
      </c>
      <c r="F36" s="5" t="n">
        <v>88742</v>
      </c>
    </row>
    <row r="37">
      <c r="A37" s="4" t="inlineStr">
        <is>
          <t>2023-12</t>
        </is>
      </c>
      <c r="B37" s="4" t="inlineStr">
        <is>
          <t>SKU0101</t>
        </is>
      </c>
      <c r="C37" s="4" t="inlineStr">
        <is>
          <t>メトグルコGE「サンド」</t>
        </is>
      </c>
      <c r="D37" s="4" t="inlineStr">
        <is>
          <t>卸C</t>
        </is>
      </c>
      <c r="E37" s="4" t="n">
        <v>6657</v>
      </c>
      <c r="F37" s="4" t="n">
        <v>63909</v>
      </c>
    </row>
    <row r="38">
      <c r="A38" s="5" t="inlineStr">
        <is>
          <t>2024-01</t>
        </is>
      </c>
      <c r="B38" s="5" t="inlineStr">
        <is>
          <t>SKU0101</t>
        </is>
      </c>
      <c r="C38" s="5" t="inlineStr">
        <is>
          <t>メトグルコGE「サンド」</t>
        </is>
      </c>
      <c r="D38" s="5" t="inlineStr">
        <is>
          <t>卸A</t>
        </is>
      </c>
      <c r="E38" s="5" t="n">
        <v>9827</v>
      </c>
      <c r="F38" s="5" t="n">
        <v>94337</v>
      </c>
    </row>
    <row r="39">
      <c r="A39" s="4" t="inlineStr">
        <is>
          <t>2024-01</t>
        </is>
      </c>
      <c r="B39" s="4" t="inlineStr">
        <is>
          <t>SKU0101</t>
        </is>
      </c>
      <c r="C39" s="4" t="inlineStr">
        <is>
          <t>メトグルコGE「サンド」</t>
        </is>
      </c>
      <c r="D39" s="4" t="inlineStr">
        <is>
          <t>卸B</t>
        </is>
      </c>
      <c r="E39" s="4" t="n">
        <v>9394</v>
      </c>
      <c r="F39" s="4" t="n">
        <v>90186</v>
      </c>
    </row>
    <row r="40">
      <c r="A40" s="5" t="inlineStr">
        <is>
          <t>2024-01</t>
        </is>
      </c>
      <c r="B40" s="5" t="inlineStr">
        <is>
          <t>SKU0101</t>
        </is>
      </c>
      <c r="C40" s="5" t="inlineStr">
        <is>
          <t>メトグルコGE「サンド」</t>
        </is>
      </c>
      <c r="D40" s="5" t="inlineStr">
        <is>
          <t>卸C</t>
        </is>
      </c>
      <c r="E40" s="5" t="n">
        <v>6187</v>
      </c>
      <c r="F40" s="5" t="n">
        <v>59397</v>
      </c>
    </row>
    <row r="41">
      <c r="A41" s="4" t="inlineStr">
        <is>
          <t>2024-02</t>
        </is>
      </c>
      <c r="B41" s="4" t="inlineStr">
        <is>
          <t>SKU0101</t>
        </is>
      </c>
      <c r="C41" s="4" t="inlineStr">
        <is>
          <t>メトグルコGE「サンド」</t>
        </is>
      </c>
      <c r="D41" s="4" t="inlineStr">
        <is>
          <t>卸A</t>
        </is>
      </c>
      <c r="E41" s="4" t="n">
        <v>11701</v>
      </c>
      <c r="F41" s="4" t="n">
        <v>112325</v>
      </c>
    </row>
    <row r="42">
      <c r="A42" s="5" t="inlineStr">
        <is>
          <t>2024-02</t>
        </is>
      </c>
      <c r="B42" s="5" t="inlineStr">
        <is>
          <t>SKU0101</t>
        </is>
      </c>
      <c r="C42" s="5" t="inlineStr">
        <is>
          <t>メトグルコGE「サンド」</t>
        </is>
      </c>
      <c r="D42" s="5" t="inlineStr">
        <is>
          <t>卸B</t>
        </is>
      </c>
      <c r="E42" s="5" t="n">
        <v>9861</v>
      </c>
      <c r="F42" s="5" t="n">
        <v>94668</v>
      </c>
    </row>
    <row r="43">
      <c r="A43" s="4" t="inlineStr">
        <is>
          <t>2024-02</t>
        </is>
      </c>
      <c r="B43" s="4" t="inlineStr">
        <is>
          <t>SKU0101</t>
        </is>
      </c>
      <c r="C43" s="4" t="inlineStr">
        <is>
          <t>メトグルコGE「サンド」</t>
        </is>
      </c>
      <c r="D43" s="4" t="inlineStr">
        <is>
          <t>卸C</t>
        </is>
      </c>
      <c r="E43" s="4" t="n">
        <v>6242</v>
      </c>
      <c r="F43" s="4" t="n">
        <v>59919</v>
      </c>
    </row>
    <row r="44">
      <c r="A44" s="5" t="inlineStr">
        <is>
          <t>2024-03</t>
        </is>
      </c>
      <c r="B44" s="5" t="inlineStr">
        <is>
          <t>SKU0101</t>
        </is>
      </c>
      <c r="C44" s="5" t="inlineStr">
        <is>
          <t>メトグルコGE「サンド」</t>
        </is>
      </c>
      <c r="D44" s="5" t="inlineStr">
        <is>
          <t>卸A</t>
        </is>
      </c>
      <c r="E44" s="5" t="n">
        <v>15789</v>
      </c>
      <c r="F44" s="5" t="n">
        <v>151570</v>
      </c>
    </row>
    <row r="45">
      <c r="A45" s="4" t="inlineStr">
        <is>
          <t>2024-03</t>
        </is>
      </c>
      <c r="B45" s="4" t="inlineStr">
        <is>
          <t>SKU0101</t>
        </is>
      </c>
      <c r="C45" s="4" t="inlineStr">
        <is>
          <t>メトグルコGE「サンド」</t>
        </is>
      </c>
      <c r="D45" s="4" t="inlineStr">
        <is>
          <t>卸B</t>
        </is>
      </c>
      <c r="E45" s="4" t="n">
        <v>14456</v>
      </c>
      <c r="F45" s="4" t="n">
        <v>138781</v>
      </c>
    </row>
    <row r="46">
      <c r="A46" s="5" t="inlineStr">
        <is>
          <t>2024-03</t>
        </is>
      </c>
      <c r="B46" s="5" t="inlineStr">
        <is>
          <t>SKU0101</t>
        </is>
      </c>
      <c r="C46" s="5" t="inlineStr">
        <is>
          <t>メトグルコGE「サンド」</t>
        </is>
      </c>
      <c r="D46" s="5" t="inlineStr">
        <is>
          <t>卸C</t>
        </is>
      </c>
      <c r="E46" s="5" t="n">
        <v>7724</v>
      </c>
      <c r="F46" s="5" t="n">
        <v>74151</v>
      </c>
    </row>
    <row r="47">
      <c r="A47" s="4" t="inlineStr">
        <is>
          <t>2024-04</t>
        </is>
      </c>
      <c r="B47" s="4" t="inlineStr">
        <is>
          <t>SKU0101</t>
        </is>
      </c>
      <c r="C47" s="4" t="inlineStr">
        <is>
          <t>メトグルコGE「サンド」</t>
        </is>
      </c>
      <c r="D47" s="4" t="inlineStr">
        <is>
          <t>卸A</t>
        </is>
      </c>
      <c r="E47" s="4" t="n">
        <v>7515</v>
      </c>
      <c r="F47" s="4" t="n">
        <v>68175</v>
      </c>
    </row>
    <row r="48">
      <c r="A48" s="5" t="inlineStr">
        <is>
          <t>2024-04</t>
        </is>
      </c>
      <c r="B48" s="5" t="inlineStr">
        <is>
          <t>SKU0101</t>
        </is>
      </c>
      <c r="C48" s="5" t="inlineStr">
        <is>
          <t>メトグルコGE「サンド」</t>
        </is>
      </c>
      <c r="D48" s="5" t="inlineStr">
        <is>
          <t>卸B</t>
        </is>
      </c>
      <c r="E48" s="5" t="n">
        <v>6501</v>
      </c>
      <c r="F48" s="5" t="n">
        <v>58978</v>
      </c>
    </row>
    <row r="49">
      <c r="A49" s="4" t="inlineStr">
        <is>
          <t>2024-04</t>
        </is>
      </c>
      <c r="B49" s="4" t="inlineStr">
        <is>
          <t>SKU0101</t>
        </is>
      </c>
      <c r="C49" s="4" t="inlineStr">
        <is>
          <t>メトグルコGE「サンド」</t>
        </is>
      </c>
      <c r="D49" s="4" t="inlineStr">
        <is>
          <t>卸C</t>
        </is>
      </c>
      <c r="E49" s="4" t="n">
        <v>4794</v>
      </c>
      <c r="F49" s="4" t="n">
        <v>43489</v>
      </c>
    </row>
    <row r="50">
      <c r="A50" s="5" t="inlineStr">
        <is>
          <t>2024-05</t>
        </is>
      </c>
      <c r="B50" s="5" t="inlineStr">
        <is>
          <t>SKU0101</t>
        </is>
      </c>
      <c r="C50" s="5" t="inlineStr">
        <is>
          <t>メトグルコGE「サンド」</t>
        </is>
      </c>
      <c r="D50" s="5" t="inlineStr">
        <is>
          <t>卸A</t>
        </is>
      </c>
      <c r="E50" s="5" t="n">
        <v>8065</v>
      </c>
      <c r="F50" s="5" t="n">
        <v>73165</v>
      </c>
    </row>
    <row r="51">
      <c r="A51" s="4" t="inlineStr">
        <is>
          <t>2024-05</t>
        </is>
      </c>
      <c r="B51" s="4" t="inlineStr">
        <is>
          <t>SKU0101</t>
        </is>
      </c>
      <c r="C51" s="4" t="inlineStr">
        <is>
          <t>メトグルコGE「サンド」</t>
        </is>
      </c>
      <c r="D51" s="4" t="inlineStr">
        <is>
          <t>卸B</t>
        </is>
      </c>
      <c r="E51" s="4" t="n">
        <v>6776</v>
      </c>
      <c r="F51" s="4" t="n">
        <v>61470</v>
      </c>
    </row>
    <row r="52">
      <c r="A52" s="5" t="inlineStr">
        <is>
          <t>2024-05</t>
        </is>
      </c>
      <c r="B52" s="5" t="inlineStr">
        <is>
          <t>SKU0101</t>
        </is>
      </c>
      <c r="C52" s="5" t="inlineStr">
        <is>
          <t>メトグルコGE「サンド」</t>
        </is>
      </c>
      <c r="D52" s="5" t="inlineStr">
        <is>
          <t>卸C</t>
        </is>
      </c>
      <c r="E52" s="5" t="n">
        <v>5207</v>
      </c>
      <c r="F52" s="5" t="n">
        <v>47242</v>
      </c>
    </row>
    <row r="53">
      <c r="A53" s="4" t="inlineStr">
        <is>
          <t>2024-06</t>
        </is>
      </c>
      <c r="B53" s="4" t="inlineStr">
        <is>
          <t>SKU0101</t>
        </is>
      </c>
      <c r="C53" s="4" t="inlineStr">
        <is>
          <t>メトグルコGE「サンド」</t>
        </is>
      </c>
      <c r="D53" s="4" t="inlineStr">
        <is>
          <t>卸A</t>
        </is>
      </c>
      <c r="E53" s="4" t="n">
        <v>10989</v>
      </c>
      <c r="F53" s="4" t="n">
        <v>99691</v>
      </c>
    </row>
    <row r="54">
      <c r="A54" s="5" t="inlineStr">
        <is>
          <t>2024-06</t>
        </is>
      </c>
      <c r="B54" s="5" t="inlineStr">
        <is>
          <t>SKU0101</t>
        </is>
      </c>
      <c r="C54" s="5" t="inlineStr">
        <is>
          <t>メトグルコGE「サンド」</t>
        </is>
      </c>
      <c r="D54" s="5" t="inlineStr">
        <is>
          <t>卸B</t>
        </is>
      </c>
      <c r="E54" s="5" t="n">
        <v>10921</v>
      </c>
      <c r="F54" s="5" t="n">
        <v>99075</v>
      </c>
    </row>
    <row r="55">
      <c r="A55" s="4" t="inlineStr">
        <is>
          <t>2024-06</t>
        </is>
      </c>
      <c r="B55" s="4" t="inlineStr">
        <is>
          <t>SKU0101</t>
        </is>
      </c>
      <c r="C55" s="4" t="inlineStr">
        <is>
          <t>メトグルコGE「サンド」</t>
        </is>
      </c>
      <c r="D55" s="4" t="inlineStr">
        <is>
          <t>卸C</t>
        </is>
      </c>
      <c r="E55" s="4" t="n">
        <v>6307</v>
      </c>
      <c r="F55" s="4" t="n">
        <v>57218</v>
      </c>
    </row>
    <row r="56">
      <c r="A56" s="5" t="inlineStr">
        <is>
          <t>2024-07</t>
        </is>
      </c>
      <c r="B56" s="5" t="inlineStr">
        <is>
          <t>SKU0101</t>
        </is>
      </c>
      <c r="C56" s="5" t="inlineStr">
        <is>
          <t>メトグルコGE「サンド」</t>
        </is>
      </c>
      <c r="D56" s="5" t="inlineStr">
        <is>
          <t>卸A</t>
        </is>
      </c>
      <c r="E56" s="5" t="n">
        <v>12676</v>
      </c>
      <c r="F56" s="5" t="n">
        <v>115000</v>
      </c>
    </row>
    <row r="57">
      <c r="A57" s="4" t="inlineStr">
        <is>
          <t>2024-07</t>
        </is>
      </c>
      <c r="B57" s="4" t="inlineStr">
        <is>
          <t>SKU0101</t>
        </is>
      </c>
      <c r="C57" s="4" t="inlineStr">
        <is>
          <t>メトグルコGE「サンド」</t>
        </is>
      </c>
      <c r="D57" s="4" t="inlineStr">
        <is>
          <t>卸B</t>
        </is>
      </c>
      <c r="E57" s="4" t="n">
        <v>10638</v>
      </c>
      <c r="F57" s="4" t="n">
        <v>96508</v>
      </c>
    </row>
    <row r="58">
      <c r="A58" s="5" t="inlineStr">
        <is>
          <t>2024-07</t>
        </is>
      </c>
      <c r="B58" s="5" t="inlineStr">
        <is>
          <t>SKU0101</t>
        </is>
      </c>
      <c r="C58" s="5" t="inlineStr">
        <is>
          <t>メトグルコGE「サンド」</t>
        </is>
      </c>
      <c r="D58" s="5" t="inlineStr">
        <is>
          <t>卸C</t>
        </is>
      </c>
      <c r="E58" s="5" t="n">
        <v>7567</v>
      </c>
      <c r="F58" s="5" t="n">
        <v>68652</v>
      </c>
    </row>
    <row r="59">
      <c r="A59" s="4" t="inlineStr">
        <is>
          <t>2024-08</t>
        </is>
      </c>
      <c r="B59" s="4" t="inlineStr">
        <is>
          <t>SKU0101</t>
        </is>
      </c>
      <c r="C59" s="4" t="inlineStr">
        <is>
          <t>メトグルコGE「サンド」</t>
        </is>
      </c>
      <c r="D59" s="4" t="inlineStr">
        <is>
          <t>卸A</t>
        </is>
      </c>
      <c r="E59" s="4" t="n">
        <v>12233</v>
      </c>
      <c r="F59" s="4" t="n">
        <v>110980</v>
      </c>
    </row>
    <row r="60">
      <c r="A60" s="5" t="inlineStr">
        <is>
          <t>2024-08</t>
        </is>
      </c>
      <c r="B60" s="5" t="inlineStr">
        <is>
          <t>SKU0101</t>
        </is>
      </c>
      <c r="C60" s="5" t="inlineStr">
        <is>
          <t>メトグルコGE「サンド」</t>
        </is>
      </c>
      <c r="D60" s="5" t="inlineStr">
        <is>
          <t>卸B</t>
        </is>
      </c>
      <c r="E60" s="5" t="n">
        <v>11045</v>
      </c>
      <c r="F60" s="5" t="n">
        <v>100204</v>
      </c>
    </row>
    <row r="61">
      <c r="A61" s="4" t="inlineStr">
        <is>
          <t>2024-08</t>
        </is>
      </c>
      <c r="B61" s="4" t="inlineStr">
        <is>
          <t>SKU0101</t>
        </is>
      </c>
      <c r="C61" s="4" t="inlineStr">
        <is>
          <t>メトグルコGE「サンド」</t>
        </is>
      </c>
      <c r="D61" s="4" t="inlineStr">
        <is>
          <t>卸C</t>
        </is>
      </c>
      <c r="E61" s="4" t="n">
        <v>7202</v>
      </c>
      <c r="F61" s="4" t="n">
        <v>65338</v>
      </c>
    </row>
    <row r="62">
      <c r="A62" s="5" t="inlineStr">
        <is>
          <t>2024-09</t>
        </is>
      </c>
      <c r="B62" s="5" t="inlineStr">
        <is>
          <t>SKU0101</t>
        </is>
      </c>
      <c r="C62" s="5" t="inlineStr">
        <is>
          <t>メトグルコGE「サンド」</t>
        </is>
      </c>
      <c r="D62" s="5" t="inlineStr">
        <is>
          <t>卸A</t>
        </is>
      </c>
      <c r="E62" s="5" t="n">
        <v>11775</v>
      </c>
      <c r="F62" s="5" t="n">
        <v>106823</v>
      </c>
    </row>
    <row r="63">
      <c r="A63" s="4" t="inlineStr">
        <is>
          <t>2024-09</t>
        </is>
      </c>
      <c r="B63" s="4" t="inlineStr">
        <is>
          <t>SKU0101</t>
        </is>
      </c>
      <c r="C63" s="4" t="inlineStr">
        <is>
          <t>メトグルコGE「サンド」</t>
        </is>
      </c>
      <c r="D63" s="4" t="inlineStr">
        <is>
          <t>卸B</t>
        </is>
      </c>
      <c r="E63" s="4" t="n">
        <v>9301</v>
      </c>
      <c r="F63" s="4" t="n">
        <v>84383</v>
      </c>
    </row>
    <row r="64">
      <c r="A64" s="5" t="inlineStr">
        <is>
          <t>2024-09</t>
        </is>
      </c>
      <c r="B64" s="5" t="inlineStr">
        <is>
          <t>SKU0101</t>
        </is>
      </c>
      <c r="C64" s="5" t="inlineStr">
        <is>
          <t>メトグルコGE「サンド」</t>
        </is>
      </c>
      <c r="D64" s="5" t="inlineStr">
        <is>
          <t>卸C</t>
        </is>
      </c>
      <c r="E64" s="5" t="n">
        <v>6974</v>
      </c>
      <c r="F64" s="5" t="n">
        <v>63268</v>
      </c>
    </row>
    <row r="65">
      <c r="A65" s="4" t="inlineStr">
        <is>
          <t>2024-10</t>
        </is>
      </c>
      <c r="B65" s="4" t="inlineStr">
        <is>
          <t>SKU0101</t>
        </is>
      </c>
      <c r="C65" s="4" t="inlineStr">
        <is>
          <t>メトグルコGE「サンド」</t>
        </is>
      </c>
      <c r="D65" s="4" t="inlineStr">
        <is>
          <t>卸A</t>
        </is>
      </c>
      <c r="E65" s="4" t="n">
        <v>12376</v>
      </c>
      <c r="F65" s="4" t="n">
        <v>112272</v>
      </c>
    </row>
    <row r="66">
      <c r="A66" s="5" t="inlineStr">
        <is>
          <t>2024-10</t>
        </is>
      </c>
      <c r="B66" s="5" t="inlineStr">
        <is>
          <t>SKU0101</t>
        </is>
      </c>
      <c r="C66" s="5" t="inlineStr">
        <is>
          <t>メトグルコGE「サンド」</t>
        </is>
      </c>
      <c r="D66" s="5" t="inlineStr">
        <is>
          <t>卸B</t>
        </is>
      </c>
      <c r="E66" s="5" t="n">
        <v>10659</v>
      </c>
      <c r="F66" s="5" t="n">
        <v>96700</v>
      </c>
    </row>
    <row r="67">
      <c r="A67" s="4" t="inlineStr">
        <is>
          <t>2024-10</t>
        </is>
      </c>
      <c r="B67" s="4" t="inlineStr">
        <is>
          <t>SKU0101</t>
        </is>
      </c>
      <c r="C67" s="4" t="inlineStr">
        <is>
          <t>メトグルコGE「サンド」</t>
        </is>
      </c>
      <c r="D67" s="4" t="inlineStr">
        <is>
          <t>卸C</t>
        </is>
      </c>
      <c r="E67" s="4" t="n">
        <v>7455</v>
      </c>
      <c r="F67" s="4" t="n">
        <v>67631</v>
      </c>
    </row>
    <row r="68">
      <c r="A68" s="5" t="inlineStr">
        <is>
          <t>2024-11</t>
        </is>
      </c>
      <c r="B68" s="5" t="inlineStr">
        <is>
          <t>SKU0101</t>
        </is>
      </c>
      <c r="C68" s="5" t="inlineStr">
        <is>
          <t>メトグルコGE「サンド」</t>
        </is>
      </c>
      <c r="D68" s="5" t="inlineStr">
        <is>
          <t>卸A</t>
        </is>
      </c>
      <c r="E68" s="5" t="n">
        <v>11384</v>
      </c>
      <c r="F68" s="5" t="n">
        <v>103277</v>
      </c>
    </row>
    <row r="69">
      <c r="A69" s="4" t="inlineStr">
        <is>
          <t>2024-11</t>
        </is>
      </c>
      <c r="B69" s="4" t="inlineStr">
        <is>
          <t>SKU0101</t>
        </is>
      </c>
      <c r="C69" s="4" t="inlineStr">
        <is>
          <t>メトグルコGE「サンド」</t>
        </is>
      </c>
      <c r="D69" s="4" t="inlineStr">
        <is>
          <t>卸B</t>
        </is>
      </c>
      <c r="E69" s="4" t="n">
        <v>10750</v>
      </c>
      <c r="F69" s="4" t="n">
        <v>97526</v>
      </c>
    </row>
    <row r="70">
      <c r="A70" s="5" t="inlineStr">
        <is>
          <t>2024-11</t>
        </is>
      </c>
      <c r="B70" s="5" t="inlineStr">
        <is>
          <t>SKU0101</t>
        </is>
      </c>
      <c r="C70" s="5" t="inlineStr">
        <is>
          <t>メトグルコGE「サンド」</t>
        </is>
      </c>
      <c r="D70" s="5" t="inlineStr">
        <is>
          <t>卸C</t>
        </is>
      </c>
      <c r="E70" s="5" t="n">
        <v>6560</v>
      </c>
      <c r="F70" s="5" t="n">
        <v>59512</v>
      </c>
    </row>
    <row r="71">
      <c r="A71" s="4" t="inlineStr">
        <is>
          <t>2024-12</t>
        </is>
      </c>
      <c r="B71" s="4" t="inlineStr">
        <is>
          <t>SKU0101</t>
        </is>
      </c>
      <c r="C71" s="4" t="inlineStr">
        <is>
          <t>メトグルコGE「サンド」</t>
        </is>
      </c>
      <c r="D71" s="4" t="inlineStr">
        <is>
          <t>卸A</t>
        </is>
      </c>
      <c r="E71" s="4" t="n">
        <v>13855</v>
      </c>
      <c r="F71" s="4" t="n">
        <v>125690</v>
      </c>
    </row>
    <row r="72">
      <c r="A72" s="5" t="inlineStr">
        <is>
          <t>2024-12</t>
        </is>
      </c>
      <c r="B72" s="5" t="inlineStr">
        <is>
          <t>SKU0101</t>
        </is>
      </c>
      <c r="C72" s="5" t="inlineStr">
        <is>
          <t>メトグルコGE「サンド」</t>
        </is>
      </c>
      <c r="D72" s="5" t="inlineStr">
        <is>
          <t>卸B</t>
        </is>
      </c>
      <c r="E72" s="5" t="n">
        <v>14092</v>
      </c>
      <c r="F72" s="5" t="n">
        <v>127843</v>
      </c>
    </row>
    <row r="73">
      <c r="A73" s="4" t="inlineStr">
        <is>
          <t>2024-12</t>
        </is>
      </c>
      <c r="B73" s="4" t="inlineStr">
        <is>
          <t>SKU0101</t>
        </is>
      </c>
      <c r="C73" s="4" t="inlineStr">
        <is>
          <t>メトグルコGE「サンド」</t>
        </is>
      </c>
      <c r="D73" s="4" t="inlineStr">
        <is>
          <t>卸C</t>
        </is>
      </c>
      <c r="E73" s="4" t="n">
        <v>8732</v>
      </c>
      <c r="F73" s="4" t="n">
        <v>79219</v>
      </c>
    </row>
    <row r="74">
      <c r="A74" s="5" t="inlineStr">
        <is>
          <t>2025-01</t>
        </is>
      </c>
      <c r="B74" s="5" t="inlineStr">
        <is>
          <t>SKU0101</t>
        </is>
      </c>
      <c r="C74" s="5" t="inlineStr">
        <is>
          <t>メトグルコGE「サンド」</t>
        </is>
      </c>
      <c r="D74" s="5" t="inlineStr">
        <is>
          <t>卸A</t>
        </is>
      </c>
      <c r="E74" s="5" t="n">
        <v>12620</v>
      </c>
      <c r="F74" s="5" t="n">
        <v>114493</v>
      </c>
    </row>
    <row r="75">
      <c r="A75" s="4" t="inlineStr">
        <is>
          <t>2025-01</t>
        </is>
      </c>
      <c r="B75" s="4" t="inlineStr">
        <is>
          <t>SKU0101</t>
        </is>
      </c>
      <c r="C75" s="4" t="inlineStr">
        <is>
          <t>メトグルコGE「サンド」</t>
        </is>
      </c>
      <c r="D75" s="4" t="inlineStr">
        <is>
          <t>卸B</t>
        </is>
      </c>
      <c r="E75" s="4" t="n">
        <v>10906</v>
      </c>
      <c r="F75" s="4" t="n">
        <v>98942</v>
      </c>
    </row>
    <row r="76">
      <c r="A76" s="5" t="inlineStr">
        <is>
          <t>2025-01</t>
        </is>
      </c>
      <c r="B76" s="5" t="inlineStr">
        <is>
          <t>SKU0101</t>
        </is>
      </c>
      <c r="C76" s="5" t="inlineStr">
        <is>
          <t>メトグルコGE「サンド」</t>
        </is>
      </c>
      <c r="D76" s="5" t="inlineStr">
        <is>
          <t>卸C</t>
        </is>
      </c>
      <c r="E76" s="5" t="n">
        <v>7428</v>
      </c>
      <c r="F76" s="5" t="n">
        <v>67391</v>
      </c>
    </row>
    <row r="77">
      <c r="A77" s="4" t="inlineStr">
        <is>
          <t>2025-02</t>
        </is>
      </c>
      <c r="B77" s="4" t="inlineStr">
        <is>
          <t>SKU0101</t>
        </is>
      </c>
      <c r="C77" s="4" t="inlineStr">
        <is>
          <t>メトグルコGE「サンド」</t>
        </is>
      </c>
      <c r="D77" s="4" t="inlineStr">
        <is>
          <t>卸A</t>
        </is>
      </c>
      <c r="E77" s="4" t="n">
        <v>10676</v>
      </c>
      <c r="F77" s="4" t="n">
        <v>96855</v>
      </c>
    </row>
    <row r="78">
      <c r="A78" s="5" t="inlineStr">
        <is>
          <t>2025-02</t>
        </is>
      </c>
      <c r="B78" s="5" t="inlineStr">
        <is>
          <t>SKU0101</t>
        </is>
      </c>
      <c r="C78" s="5" t="inlineStr">
        <is>
          <t>メトグルコGE「サンド」</t>
        </is>
      </c>
      <c r="D78" s="5" t="inlineStr">
        <is>
          <t>卸B</t>
        </is>
      </c>
      <c r="E78" s="5" t="n">
        <v>9001</v>
      </c>
      <c r="F78" s="5" t="n">
        <v>81661</v>
      </c>
    </row>
    <row r="79">
      <c r="A79" s="4" t="inlineStr">
        <is>
          <t>2025-02</t>
        </is>
      </c>
      <c r="B79" s="4" t="inlineStr">
        <is>
          <t>SKU0101</t>
        </is>
      </c>
      <c r="C79" s="4" t="inlineStr">
        <is>
          <t>メトグルコGE「サンド」</t>
        </is>
      </c>
      <c r="D79" s="4" t="inlineStr">
        <is>
          <t>卸C</t>
        </is>
      </c>
      <c r="E79" s="4" t="n">
        <v>7839</v>
      </c>
      <c r="F79" s="4" t="n">
        <v>71114</v>
      </c>
    </row>
    <row r="80">
      <c r="A80" s="5" t="inlineStr">
        <is>
          <t>2025-03</t>
        </is>
      </c>
      <c r="B80" s="5" t="inlineStr">
        <is>
          <t>SKU0101</t>
        </is>
      </c>
      <c r="C80" s="5" t="inlineStr">
        <is>
          <t>メトグルコGE「サンド」</t>
        </is>
      </c>
      <c r="D80" s="5" t="inlineStr">
        <is>
          <t>卸A</t>
        </is>
      </c>
      <c r="E80" s="5" t="n">
        <v>18740</v>
      </c>
      <c r="F80" s="5" t="n">
        <v>170013</v>
      </c>
    </row>
    <row r="81">
      <c r="A81" s="4" t="inlineStr">
        <is>
          <t>2025-03</t>
        </is>
      </c>
      <c r="B81" s="4" t="inlineStr">
        <is>
          <t>SKU0101</t>
        </is>
      </c>
      <c r="C81" s="4" t="inlineStr">
        <is>
          <t>メトグルコGE「サンド」</t>
        </is>
      </c>
      <c r="D81" s="4" t="inlineStr">
        <is>
          <t>卸B</t>
        </is>
      </c>
      <c r="E81" s="4" t="n">
        <v>18907</v>
      </c>
      <c r="F81" s="4" t="n">
        <v>171523</v>
      </c>
    </row>
    <row r="82">
      <c r="A82" s="5" t="inlineStr">
        <is>
          <t>2025-03</t>
        </is>
      </c>
      <c r="B82" s="5" t="inlineStr">
        <is>
          <t>SKU0101</t>
        </is>
      </c>
      <c r="C82" s="5" t="inlineStr">
        <is>
          <t>メトグルコGE「サンド」</t>
        </is>
      </c>
      <c r="D82" s="5" t="inlineStr">
        <is>
          <t>卸C</t>
        </is>
      </c>
      <c r="E82" s="5" t="n">
        <v>11425</v>
      </c>
      <c r="F82" s="5" t="n">
        <v>103650</v>
      </c>
    </row>
    <row r="83">
      <c r="A83" s="4" t="inlineStr">
        <is>
          <t>2025-04</t>
        </is>
      </c>
      <c r="B83" s="4" t="inlineStr">
        <is>
          <t>SKU0101</t>
        </is>
      </c>
      <c r="C83" s="4" t="inlineStr">
        <is>
          <t>メトグルコGE「サンド」</t>
        </is>
      </c>
      <c r="D83" s="4" t="inlineStr">
        <is>
          <t>卸A</t>
        </is>
      </c>
      <c r="E83" s="4" t="n">
        <v>9251</v>
      </c>
      <c r="F83" s="4" t="n">
        <v>81404</v>
      </c>
    </row>
    <row r="84">
      <c r="A84" s="5" t="inlineStr">
        <is>
          <t>2025-04</t>
        </is>
      </c>
      <c r="B84" s="5" t="inlineStr">
        <is>
          <t>SKU0101</t>
        </is>
      </c>
      <c r="C84" s="5" t="inlineStr">
        <is>
          <t>メトグルコGE「サンド」</t>
        </is>
      </c>
      <c r="D84" s="5" t="inlineStr">
        <is>
          <t>卸B</t>
        </is>
      </c>
      <c r="E84" s="5" t="n">
        <v>8532</v>
      </c>
      <c r="F84" s="5" t="n">
        <v>75082</v>
      </c>
    </row>
    <row r="85">
      <c r="A85" s="4" t="inlineStr">
        <is>
          <t>2025-04</t>
        </is>
      </c>
      <c r="B85" s="4" t="inlineStr">
        <is>
          <t>SKU0101</t>
        </is>
      </c>
      <c r="C85" s="4" t="inlineStr">
        <is>
          <t>メトグルコGE「サンド」</t>
        </is>
      </c>
      <c r="D85" s="4" t="inlineStr">
        <is>
          <t>卸C</t>
        </is>
      </c>
      <c r="E85" s="4" t="n">
        <v>5735</v>
      </c>
      <c r="F85" s="4" t="n">
        <v>50470</v>
      </c>
    </row>
    <row r="86">
      <c r="A86" s="5" t="inlineStr">
        <is>
          <t>2025-05</t>
        </is>
      </c>
      <c r="B86" s="5" t="inlineStr">
        <is>
          <t>SKU0101</t>
        </is>
      </c>
      <c r="C86" s="5" t="inlineStr">
        <is>
          <t>メトグルコGE「サンド」</t>
        </is>
      </c>
      <c r="D86" s="5" t="inlineStr">
        <is>
          <t>卸A</t>
        </is>
      </c>
      <c r="E86" s="5" t="n">
        <v>9276</v>
      </c>
      <c r="F86" s="5" t="n">
        <v>81629</v>
      </c>
    </row>
    <row r="87">
      <c r="A87" s="4" t="inlineStr">
        <is>
          <t>2025-05</t>
        </is>
      </c>
      <c r="B87" s="4" t="inlineStr">
        <is>
          <t>SKU0101</t>
        </is>
      </c>
      <c r="C87" s="4" t="inlineStr">
        <is>
          <t>メトグルコGE「サンド」</t>
        </is>
      </c>
      <c r="D87" s="4" t="inlineStr">
        <is>
          <t>卸B</t>
        </is>
      </c>
      <c r="E87" s="4" t="n">
        <v>7021</v>
      </c>
      <c r="F87" s="4" t="n">
        <v>61779</v>
      </c>
    </row>
    <row r="88">
      <c r="A88" s="5" t="inlineStr">
        <is>
          <t>2025-05</t>
        </is>
      </c>
      <c r="B88" s="5" t="inlineStr">
        <is>
          <t>SKU0101</t>
        </is>
      </c>
      <c r="C88" s="5" t="inlineStr">
        <is>
          <t>メトグルコGE「サンド」</t>
        </is>
      </c>
      <c r="D88" s="5" t="inlineStr">
        <is>
          <t>卸C</t>
        </is>
      </c>
      <c r="E88" s="5" t="n">
        <v>5345</v>
      </c>
      <c r="F88" s="5" t="n">
        <v>47036</v>
      </c>
    </row>
    <row r="89">
      <c r="A89" s="4" t="inlineStr">
        <is>
          <t>2025-06</t>
        </is>
      </c>
      <c r="B89" s="4" t="inlineStr">
        <is>
          <t>SKU0101</t>
        </is>
      </c>
      <c r="C89" s="4" t="inlineStr">
        <is>
          <t>メトグルコGE「サンド」</t>
        </is>
      </c>
      <c r="D89" s="4" t="inlineStr">
        <is>
          <t>卸A</t>
        </is>
      </c>
      <c r="E89" s="4" t="n">
        <v>14558</v>
      </c>
      <c r="F89" s="4" t="n">
        <v>128106</v>
      </c>
    </row>
    <row r="90">
      <c r="A90" s="5" t="inlineStr">
        <is>
          <t>2025-06</t>
        </is>
      </c>
      <c r="B90" s="5" t="inlineStr">
        <is>
          <t>SKU0101</t>
        </is>
      </c>
      <c r="C90" s="5" t="inlineStr">
        <is>
          <t>メトグルコGE「サンド」</t>
        </is>
      </c>
      <c r="D90" s="5" t="inlineStr">
        <is>
          <t>卸B</t>
        </is>
      </c>
      <c r="E90" s="5" t="n">
        <v>12535</v>
      </c>
      <c r="F90" s="5" t="n">
        <v>110308</v>
      </c>
    </row>
    <row r="91">
      <c r="A91" s="4" t="inlineStr">
        <is>
          <t>2025-06</t>
        </is>
      </c>
      <c r="B91" s="4" t="inlineStr">
        <is>
          <t>SKU0101</t>
        </is>
      </c>
      <c r="C91" s="4" t="inlineStr">
        <is>
          <t>メトグルコGE「サンド」</t>
        </is>
      </c>
      <c r="D91" s="4" t="inlineStr">
        <is>
          <t>卸C</t>
        </is>
      </c>
      <c r="E91" s="4" t="n">
        <v>9381</v>
      </c>
      <c r="F91" s="4" t="n">
        <v>82552</v>
      </c>
    </row>
    <row r="92">
      <c r="A92" s="5" t="inlineStr">
        <is>
          <t>2025-07</t>
        </is>
      </c>
      <c r="B92" s="5" t="inlineStr">
        <is>
          <t>SKU0101</t>
        </is>
      </c>
      <c r="C92" s="5" t="inlineStr">
        <is>
          <t>メトグルコGE「サンド」</t>
        </is>
      </c>
      <c r="D92" s="5" t="inlineStr">
        <is>
          <t>卸A</t>
        </is>
      </c>
      <c r="E92" s="5" t="n">
        <v>14558</v>
      </c>
      <c r="F92" s="5" t="n">
        <v>128111</v>
      </c>
    </row>
    <row r="93">
      <c r="A93" s="4" t="inlineStr">
        <is>
          <t>2025-07</t>
        </is>
      </c>
      <c r="B93" s="4" t="inlineStr">
        <is>
          <t>SKU0101</t>
        </is>
      </c>
      <c r="C93" s="4" t="inlineStr">
        <is>
          <t>メトグルコGE「サンド」</t>
        </is>
      </c>
      <c r="D93" s="4" t="inlineStr">
        <is>
          <t>卸B</t>
        </is>
      </c>
      <c r="E93" s="4" t="n">
        <v>12277</v>
      </c>
      <c r="F93" s="4" t="n">
        <v>108037</v>
      </c>
    </row>
    <row r="94">
      <c r="A94" s="5" t="inlineStr">
        <is>
          <t>2025-07</t>
        </is>
      </c>
      <c r="B94" s="5" t="inlineStr">
        <is>
          <t>SKU0101</t>
        </is>
      </c>
      <c r="C94" s="5" t="inlineStr">
        <is>
          <t>メトグルコGE「サンド」</t>
        </is>
      </c>
      <c r="D94" s="5" t="inlineStr">
        <is>
          <t>卸C</t>
        </is>
      </c>
      <c r="E94" s="5" t="n">
        <v>8660</v>
      </c>
      <c r="F94" s="5" t="n">
        <v>76203</v>
      </c>
    </row>
    <row r="95">
      <c r="A95" s="4" t="inlineStr">
        <is>
          <t>2025-08</t>
        </is>
      </c>
      <c r="B95" s="4" t="inlineStr">
        <is>
          <t>SKU0101</t>
        </is>
      </c>
      <c r="C95" s="4" t="inlineStr">
        <is>
          <t>メトグルコGE「サンド」</t>
        </is>
      </c>
      <c r="D95" s="4" t="inlineStr">
        <is>
          <t>卸A</t>
        </is>
      </c>
      <c r="E95" s="4" t="n">
        <v>13104</v>
      </c>
      <c r="F95" s="4" t="n">
        <v>115316</v>
      </c>
    </row>
    <row r="96">
      <c r="A96" s="5" t="inlineStr">
        <is>
          <t>2025-08</t>
        </is>
      </c>
      <c r="B96" s="5" t="inlineStr">
        <is>
          <t>SKU0101</t>
        </is>
      </c>
      <c r="C96" s="5" t="inlineStr">
        <is>
          <t>メトグルコGE「サンド」</t>
        </is>
      </c>
      <c r="D96" s="5" t="inlineStr">
        <is>
          <t>卸B</t>
        </is>
      </c>
      <c r="E96" s="5" t="n">
        <v>11543</v>
      </c>
      <c r="F96" s="5" t="n">
        <v>101574</v>
      </c>
    </row>
    <row r="97">
      <c r="A97" s="4" t="inlineStr">
        <is>
          <t>2025-08</t>
        </is>
      </c>
      <c r="B97" s="4" t="inlineStr">
        <is>
          <t>SKU0101</t>
        </is>
      </c>
      <c r="C97" s="4" t="inlineStr">
        <is>
          <t>メトグルコGE「サンド」</t>
        </is>
      </c>
      <c r="D97" s="4" t="inlineStr">
        <is>
          <t>卸C</t>
        </is>
      </c>
      <c r="E97" s="4" t="n">
        <v>6846</v>
      </c>
      <c r="F97" s="4" t="n">
        <v>60248</v>
      </c>
    </row>
    <row r="98">
      <c r="A98" s="5" t="inlineStr">
        <is>
          <t>2025-09</t>
        </is>
      </c>
      <c r="B98" s="5" t="inlineStr">
        <is>
          <t>SKU0101</t>
        </is>
      </c>
      <c r="C98" s="5" t="inlineStr">
        <is>
          <t>メトグルコGE「サンド」</t>
        </is>
      </c>
      <c r="D98" s="5" t="inlineStr">
        <is>
          <t>卸A</t>
        </is>
      </c>
      <c r="E98" s="5" t="n">
        <v>12227</v>
      </c>
      <c r="F98" s="5" t="n">
        <v>107598</v>
      </c>
    </row>
    <row r="99">
      <c r="A99" s="4" t="inlineStr">
        <is>
          <t>2025-09</t>
        </is>
      </c>
      <c r="B99" s="4" t="inlineStr">
        <is>
          <t>SKU0101</t>
        </is>
      </c>
      <c r="C99" s="4" t="inlineStr">
        <is>
          <t>メトグルコGE「サンド」</t>
        </is>
      </c>
      <c r="D99" s="4" t="inlineStr">
        <is>
          <t>卸B</t>
        </is>
      </c>
      <c r="E99" s="4" t="n">
        <v>12550</v>
      </c>
      <c r="F99" s="4" t="n">
        <v>110440</v>
      </c>
    </row>
    <row r="100">
      <c r="A100" s="5" t="inlineStr">
        <is>
          <t>2025-09</t>
        </is>
      </c>
      <c r="B100" s="5" t="inlineStr">
        <is>
          <t>SKU0101</t>
        </is>
      </c>
      <c r="C100" s="5" t="inlineStr">
        <is>
          <t>メトグルコGE「サンド」</t>
        </is>
      </c>
      <c r="D100" s="5" t="inlineStr">
        <is>
          <t>卸C</t>
        </is>
      </c>
      <c r="E100" s="5" t="n">
        <v>7559</v>
      </c>
      <c r="F100" s="5" t="n">
        <v>66518</v>
      </c>
    </row>
    <row r="101">
      <c r="A101" s="4" t="inlineStr">
        <is>
          <t>2025-10</t>
        </is>
      </c>
      <c r="B101" s="4" t="inlineStr">
        <is>
          <t>SKU0101</t>
        </is>
      </c>
      <c r="C101" s="4" t="inlineStr">
        <is>
          <t>メトグルコGE「サンド」</t>
        </is>
      </c>
      <c r="D101" s="4" t="inlineStr">
        <is>
          <t>卸A</t>
        </is>
      </c>
      <c r="E101" s="4" t="n">
        <v>15266</v>
      </c>
      <c r="F101" s="4" t="n">
        <v>134338</v>
      </c>
    </row>
    <row r="102">
      <c r="A102" s="5" t="inlineStr">
        <is>
          <t>2025-10</t>
        </is>
      </c>
      <c r="B102" s="5" t="inlineStr">
        <is>
          <t>SKU0101</t>
        </is>
      </c>
      <c r="C102" s="5" t="inlineStr">
        <is>
          <t>メトグルコGE「サンド」</t>
        </is>
      </c>
      <c r="D102" s="5" t="inlineStr">
        <is>
          <t>卸B</t>
        </is>
      </c>
      <c r="E102" s="5" t="n">
        <v>13164</v>
      </c>
      <c r="F102" s="5" t="n">
        <v>115837</v>
      </c>
    </row>
    <row r="103">
      <c r="A103" s="4" t="inlineStr">
        <is>
          <t>2025-10</t>
        </is>
      </c>
      <c r="B103" s="4" t="inlineStr">
        <is>
          <t>SKU0101</t>
        </is>
      </c>
      <c r="C103" s="4" t="inlineStr">
        <is>
          <t>メトグルコGE「サンド」</t>
        </is>
      </c>
      <c r="D103" s="4" t="inlineStr">
        <is>
          <t>卸C</t>
        </is>
      </c>
      <c r="E103" s="4" t="n">
        <v>8549</v>
      </c>
      <c r="F103" s="4" t="n">
        <v>75228</v>
      </c>
    </row>
    <row r="104">
      <c r="A104" s="5" t="inlineStr">
        <is>
          <t>2025-11</t>
        </is>
      </c>
      <c r="B104" s="5" t="inlineStr">
        <is>
          <t>SKU0101</t>
        </is>
      </c>
      <c r="C104" s="5" t="inlineStr">
        <is>
          <t>メトグルコGE「サンド」</t>
        </is>
      </c>
      <c r="D104" s="5" t="inlineStr">
        <is>
          <t>卸A</t>
        </is>
      </c>
      <c r="E104" s="5" t="n">
        <v>12694</v>
      </c>
      <c r="F104" s="5" t="n">
        <v>111704</v>
      </c>
    </row>
    <row r="105">
      <c r="A105" s="4" t="inlineStr">
        <is>
          <t>2025-11</t>
        </is>
      </c>
      <c r="B105" s="4" t="inlineStr">
        <is>
          <t>SKU0101</t>
        </is>
      </c>
      <c r="C105" s="4" t="inlineStr">
        <is>
          <t>メトグルコGE「サンド」</t>
        </is>
      </c>
      <c r="D105" s="4" t="inlineStr">
        <is>
          <t>卸B</t>
        </is>
      </c>
      <c r="E105" s="4" t="n">
        <v>13055</v>
      </c>
      <c r="F105" s="4" t="n">
        <v>114882</v>
      </c>
    </row>
    <row r="106">
      <c r="A106" s="5" t="inlineStr">
        <is>
          <t>2025-11</t>
        </is>
      </c>
      <c r="B106" s="5" t="inlineStr">
        <is>
          <t>SKU0101</t>
        </is>
      </c>
      <c r="C106" s="5" t="inlineStr">
        <is>
          <t>メトグルコGE「サンド」</t>
        </is>
      </c>
      <c r="D106" s="5" t="inlineStr">
        <is>
          <t>卸C</t>
        </is>
      </c>
      <c r="E106" s="5" t="n">
        <v>7497</v>
      </c>
      <c r="F106" s="5" t="n">
        <v>65970</v>
      </c>
    </row>
    <row r="107">
      <c r="A107" s="4" t="inlineStr">
        <is>
          <t>2025-12</t>
        </is>
      </c>
      <c r="B107" s="4" t="inlineStr">
        <is>
          <t>SKU0101</t>
        </is>
      </c>
      <c r="C107" s="4" t="inlineStr">
        <is>
          <t>メトグルコGE「サンド」</t>
        </is>
      </c>
      <c r="D107" s="4" t="inlineStr">
        <is>
          <t>卸A</t>
        </is>
      </c>
      <c r="E107" s="4" t="n">
        <v>15802</v>
      </c>
      <c r="F107" s="4" t="n">
        <v>139058</v>
      </c>
    </row>
    <row r="108">
      <c r="A108" s="5" t="inlineStr">
        <is>
          <t>2025-12</t>
        </is>
      </c>
      <c r="B108" s="5" t="inlineStr">
        <is>
          <t>SKU0101</t>
        </is>
      </c>
      <c r="C108" s="5" t="inlineStr">
        <is>
          <t>メトグルコGE「サンド」</t>
        </is>
      </c>
      <c r="D108" s="5" t="inlineStr">
        <is>
          <t>卸B</t>
        </is>
      </c>
      <c r="E108" s="5" t="n">
        <v>13964</v>
      </c>
      <c r="F108" s="5" t="n">
        <v>122881</v>
      </c>
    </row>
    <row r="109">
      <c r="A109" s="4" t="inlineStr">
        <is>
          <t>2025-12</t>
        </is>
      </c>
      <c r="B109" s="4" t="inlineStr">
        <is>
          <t>SKU0101</t>
        </is>
      </c>
      <c r="C109" s="4" t="inlineStr">
        <is>
          <t>メトグルコGE「サンド」</t>
        </is>
      </c>
      <c r="D109" s="4" t="inlineStr">
        <is>
          <t>卸C</t>
        </is>
      </c>
      <c r="E109" s="4" t="n">
        <v>8676</v>
      </c>
      <c r="F109" s="4" t="n">
        <v>76352</v>
      </c>
    </row>
    <row r="110">
      <c r="A110" s="5" t="inlineStr">
        <is>
          <t>2026-01</t>
        </is>
      </c>
      <c r="B110" s="5" t="inlineStr">
        <is>
          <t>SKU0101</t>
        </is>
      </c>
      <c r="C110" s="5" t="inlineStr">
        <is>
          <t>メトグルコGE「サンド」</t>
        </is>
      </c>
      <c r="D110" s="5" t="inlineStr">
        <is>
          <t>卸A</t>
        </is>
      </c>
      <c r="E110" s="5" t="n">
        <v>14719</v>
      </c>
      <c r="F110" s="5" t="n">
        <v>129525</v>
      </c>
    </row>
    <row r="111">
      <c r="A111" s="4" t="inlineStr">
        <is>
          <t>2026-01</t>
        </is>
      </c>
      <c r="B111" s="4" t="inlineStr">
        <is>
          <t>SKU0101</t>
        </is>
      </c>
      <c r="C111" s="4" t="inlineStr">
        <is>
          <t>メトグルコGE「サンド」</t>
        </is>
      </c>
      <c r="D111" s="4" t="inlineStr">
        <is>
          <t>卸B</t>
        </is>
      </c>
      <c r="E111" s="4" t="n">
        <v>13358</v>
      </c>
      <c r="F111" s="4" t="n">
        <v>117550</v>
      </c>
    </row>
    <row r="112">
      <c r="A112" s="5" t="inlineStr">
        <is>
          <t>2026-01</t>
        </is>
      </c>
      <c r="B112" s="5" t="inlineStr">
        <is>
          <t>SKU0101</t>
        </is>
      </c>
      <c r="C112" s="5" t="inlineStr">
        <is>
          <t>メトグルコGE「サンド」</t>
        </is>
      </c>
      <c r="D112" s="5" t="inlineStr">
        <is>
          <t>卸C</t>
        </is>
      </c>
      <c r="E112" s="5" t="n">
        <v>8012</v>
      </c>
      <c r="F112" s="5" t="n">
        <v>70501</v>
      </c>
    </row>
    <row r="113">
      <c r="A113" s="4" t="inlineStr">
        <is>
          <t>2026-02</t>
        </is>
      </c>
      <c r="B113" s="4" t="inlineStr">
        <is>
          <t>SKU0101</t>
        </is>
      </c>
      <c r="C113" s="4" t="inlineStr">
        <is>
          <t>メトグルコGE「サンド」</t>
        </is>
      </c>
      <c r="D113" s="4" t="inlineStr">
        <is>
          <t>卸A</t>
        </is>
      </c>
      <c r="E113" s="4" t="n">
        <v>14033</v>
      </c>
      <c r="F113" s="4" t="n">
        <v>123485</v>
      </c>
    </row>
    <row r="114">
      <c r="A114" s="5" t="inlineStr">
        <is>
          <t>2026-02</t>
        </is>
      </c>
      <c r="B114" s="5" t="inlineStr">
        <is>
          <t>SKU0101</t>
        </is>
      </c>
      <c r="C114" s="5" t="inlineStr">
        <is>
          <t>メトグルコGE「サンド」</t>
        </is>
      </c>
      <c r="D114" s="5" t="inlineStr">
        <is>
          <t>卸B</t>
        </is>
      </c>
      <c r="E114" s="5" t="n">
        <v>12888</v>
      </c>
      <c r="F114" s="5" t="n">
        <v>113413</v>
      </c>
    </row>
    <row r="115">
      <c r="A115" s="4" t="inlineStr">
        <is>
          <t>2026-02</t>
        </is>
      </c>
      <c r="B115" s="4" t="inlineStr">
        <is>
          <t>SKU0101</t>
        </is>
      </c>
      <c r="C115" s="4" t="inlineStr">
        <is>
          <t>メトグルコGE「サンド」</t>
        </is>
      </c>
      <c r="D115" s="4" t="inlineStr">
        <is>
          <t>卸C</t>
        </is>
      </c>
      <c r="E115" s="4" t="n">
        <v>9976</v>
      </c>
      <c r="F115" s="4" t="n">
        <v>87790</v>
      </c>
    </row>
    <row r="116">
      <c r="A116" s="5" t="inlineStr">
        <is>
          <t>2026-03</t>
        </is>
      </c>
      <c r="B116" s="5" t="inlineStr">
        <is>
          <t>SKU0101</t>
        </is>
      </c>
      <c r="C116" s="5" t="inlineStr">
        <is>
          <t>メトグルコGE「サンド」</t>
        </is>
      </c>
      <c r="D116" s="5" t="inlineStr">
        <is>
          <t>卸A</t>
        </is>
      </c>
      <c r="E116" s="5" t="n">
        <v>20969</v>
      </c>
      <c r="F116" s="5" t="n">
        <v>184520</v>
      </c>
    </row>
    <row r="117">
      <c r="A117" s="4" t="inlineStr">
        <is>
          <t>2026-03</t>
        </is>
      </c>
      <c r="B117" s="4" t="inlineStr">
        <is>
          <t>SKU0101</t>
        </is>
      </c>
      <c r="C117" s="4" t="inlineStr">
        <is>
          <t>メトグルコGE「サンド」</t>
        </is>
      </c>
      <c r="D117" s="4" t="inlineStr">
        <is>
          <t>卸B</t>
        </is>
      </c>
      <c r="E117" s="4" t="n">
        <v>16508</v>
      </c>
      <c r="F117" s="4" t="n">
        <v>145267</v>
      </c>
    </row>
    <row r="118">
      <c r="A118" s="5" t="inlineStr">
        <is>
          <t>2026-03</t>
        </is>
      </c>
      <c r="B118" s="5" t="inlineStr">
        <is>
          <t>SKU0101</t>
        </is>
      </c>
      <c r="C118" s="5" t="inlineStr">
        <is>
          <t>メトグルコGE「サンド」</t>
        </is>
      </c>
      <c r="D118" s="5" t="inlineStr">
        <is>
          <t>卸C</t>
        </is>
      </c>
      <c r="E118" s="5" t="n">
        <v>11867</v>
      </c>
      <c r="F118" s="5" t="n">
        <v>104426</v>
      </c>
    </row>
    <row r="119">
      <c r="A119" s="4" t="inlineStr">
        <is>
          <t>2026-04</t>
        </is>
      </c>
      <c r="B119" s="4" t="inlineStr">
        <is>
          <t>SKU0101</t>
        </is>
      </c>
      <c r="C119" s="4" t="inlineStr">
        <is>
          <t>メトグルコGE「サンド」</t>
        </is>
      </c>
      <c r="D119" s="4" t="inlineStr">
        <is>
          <t>卸A</t>
        </is>
      </c>
      <c r="E119" s="4" t="n">
        <v>8858</v>
      </c>
      <c r="F119" s="4" t="n">
        <v>73268</v>
      </c>
    </row>
    <row r="120">
      <c r="A120" s="5" t="inlineStr">
        <is>
          <t>2026-04</t>
        </is>
      </c>
      <c r="B120" s="5" t="inlineStr">
        <is>
          <t>SKU0101</t>
        </is>
      </c>
      <c r="C120" s="5" t="inlineStr">
        <is>
          <t>メトグルコGE「サンド」</t>
        </is>
      </c>
      <c r="D120" s="5" t="inlineStr">
        <is>
          <t>卸B</t>
        </is>
      </c>
      <c r="E120" s="5" t="n">
        <v>7757</v>
      </c>
      <c r="F120" s="5" t="n">
        <v>64163</v>
      </c>
    </row>
    <row r="121">
      <c r="A121" s="4" t="inlineStr">
        <is>
          <t>2026-04</t>
        </is>
      </c>
      <c r="B121" s="4" t="inlineStr">
        <is>
          <t>SKU0101</t>
        </is>
      </c>
      <c r="C121" s="4" t="inlineStr">
        <is>
          <t>メトグルコGE「サンド」</t>
        </is>
      </c>
      <c r="D121" s="4" t="inlineStr">
        <is>
          <t>卸C</t>
        </is>
      </c>
      <c r="E121" s="4" t="n">
        <v>5316</v>
      </c>
      <c r="F121" s="4" t="n">
        <v>43976</v>
      </c>
    </row>
    <row r="122">
      <c r="A122" s="5" t="inlineStr">
        <is>
          <t>2026-05</t>
        </is>
      </c>
      <c r="B122" s="5" t="inlineStr">
        <is>
          <t>SKU0101</t>
        </is>
      </c>
      <c r="C122" s="5" t="inlineStr">
        <is>
          <t>メトグルコGE「サンド」</t>
        </is>
      </c>
      <c r="D122" s="5" t="inlineStr">
        <is>
          <t>卸A</t>
        </is>
      </c>
      <c r="E122" s="5" t="n">
        <v>9783</v>
      </c>
      <c r="F122" s="5" t="n">
        <v>80926</v>
      </c>
    </row>
    <row r="123">
      <c r="A123" s="4" t="inlineStr">
        <is>
          <t>2026-05</t>
        </is>
      </c>
      <c r="B123" s="4" t="inlineStr">
        <is>
          <t>SKU0101</t>
        </is>
      </c>
      <c r="C123" s="4" t="inlineStr">
        <is>
          <t>メトグルコGE「サンド」</t>
        </is>
      </c>
      <c r="D123" s="4" t="inlineStr">
        <is>
          <t>卸B</t>
        </is>
      </c>
      <c r="E123" s="4" t="n">
        <v>8845</v>
      </c>
      <c r="F123" s="4" t="n">
        <v>73162</v>
      </c>
    </row>
    <row r="124">
      <c r="A124" s="5" t="inlineStr">
        <is>
          <t>2026-05</t>
        </is>
      </c>
      <c r="B124" s="5" t="inlineStr">
        <is>
          <t>SKU0101</t>
        </is>
      </c>
      <c r="C124" s="5" t="inlineStr">
        <is>
          <t>メトグルコGE「サンド」</t>
        </is>
      </c>
      <c r="D124" s="5" t="inlineStr">
        <is>
          <t>卸C</t>
        </is>
      </c>
      <c r="E124" s="5" t="n">
        <v>6036</v>
      </c>
      <c r="F124" s="5" t="n">
        <v>49926</v>
      </c>
    </row>
    <row r="125">
      <c r="A125" s="4" t="inlineStr">
        <is>
          <t>2023-01</t>
        </is>
      </c>
      <c r="B125" s="4" t="inlineStr">
        <is>
          <t>SKU0102</t>
        </is>
      </c>
      <c r="C125" s="4" t="inlineStr">
        <is>
          <t>メトグルコGE「サンド」</t>
        </is>
      </c>
      <c r="D125" s="4" t="inlineStr">
        <is>
          <t>卸A</t>
        </is>
      </c>
      <c r="E125" s="4" t="n">
        <v>11107</v>
      </c>
      <c r="F125" s="4" t="n">
        <v>106631</v>
      </c>
    </row>
    <row r="126">
      <c r="A126" s="5" t="inlineStr">
        <is>
          <t>2023-01</t>
        </is>
      </c>
      <c r="B126" s="5" t="inlineStr">
        <is>
          <t>SKU0102</t>
        </is>
      </c>
      <c r="C126" s="5" t="inlineStr">
        <is>
          <t>メトグルコGE「サンド」</t>
        </is>
      </c>
      <c r="D126" s="5" t="inlineStr">
        <is>
          <t>卸B</t>
        </is>
      </c>
      <c r="E126" s="5" t="n">
        <v>9424</v>
      </c>
      <c r="F126" s="5" t="n">
        <v>90466</v>
      </c>
    </row>
    <row r="127">
      <c r="A127" s="4" t="inlineStr">
        <is>
          <t>2023-01</t>
        </is>
      </c>
      <c r="B127" s="4" t="inlineStr">
        <is>
          <t>SKU0102</t>
        </is>
      </c>
      <c r="C127" s="4" t="inlineStr">
        <is>
          <t>メトグルコGE「サンド」</t>
        </is>
      </c>
      <c r="D127" s="4" t="inlineStr">
        <is>
          <t>卸C</t>
        </is>
      </c>
      <c r="E127" s="4" t="n">
        <v>7104</v>
      </c>
      <c r="F127" s="4" t="n">
        <v>68201</v>
      </c>
    </row>
    <row r="128">
      <c r="A128" s="5" t="inlineStr">
        <is>
          <t>2023-02</t>
        </is>
      </c>
      <c r="B128" s="5" t="inlineStr">
        <is>
          <t>SKU0102</t>
        </is>
      </c>
      <c r="C128" s="5" t="inlineStr">
        <is>
          <t>メトグルコGE「サンド」</t>
        </is>
      </c>
      <c r="D128" s="5" t="inlineStr">
        <is>
          <t>卸A</t>
        </is>
      </c>
      <c r="E128" s="5" t="n">
        <v>10210</v>
      </c>
      <c r="F128" s="5" t="n">
        <v>98018</v>
      </c>
    </row>
    <row r="129">
      <c r="A129" s="4" t="inlineStr">
        <is>
          <t>2023-02</t>
        </is>
      </c>
      <c r="B129" s="4" t="inlineStr">
        <is>
          <t>SKU0102</t>
        </is>
      </c>
      <c r="C129" s="4" t="inlineStr">
        <is>
          <t>メトグルコGE「サンド」</t>
        </is>
      </c>
      <c r="D129" s="4" t="inlineStr">
        <is>
          <t>卸B</t>
        </is>
      </c>
      <c r="E129" s="4" t="n">
        <v>8628</v>
      </c>
      <c r="F129" s="4" t="n">
        <v>82827</v>
      </c>
    </row>
    <row r="130">
      <c r="A130" s="5" t="inlineStr">
        <is>
          <t>2023-02</t>
        </is>
      </c>
      <c r="B130" s="5" t="inlineStr">
        <is>
          <t>SKU0102</t>
        </is>
      </c>
      <c r="C130" s="5" t="inlineStr">
        <is>
          <t>メトグルコGE「サンド」</t>
        </is>
      </c>
      <c r="D130" s="5" t="inlineStr">
        <is>
          <t>卸C</t>
        </is>
      </c>
      <c r="E130" s="5" t="n">
        <v>6788</v>
      </c>
      <c r="F130" s="5" t="n">
        <v>65163</v>
      </c>
    </row>
    <row r="131">
      <c r="A131" s="4" t="inlineStr">
        <is>
          <t>2023-03</t>
        </is>
      </c>
      <c r="B131" s="4" t="inlineStr">
        <is>
          <t>SKU0102</t>
        </is>
      </c>
      <c r="C131" s="4" t="inlineStr">
        <is>
          <t>メトグルコGE「サンド」</t>
        </is>
      </c>
      <c r="D131" s="4" t="inlineStr">
        <is>
          <t>卸A</t>
        </is>
      </c>
      <c r="E131" s="4" t="n">
        <v>11641</v>
      </c>
      <c r="F131" s="4" t="n">
        <v>111754</v>
      </c>
    </row>
    <row r="132">
      <c r="A132" s="5" t="inlineStr">
        <is>
          <t>2023-03</t>
        </is>
      </c>
      <c r="B132" s="5" t="inlineStr">
        <is>
          <t>SKU0102</t>
        </is>
      </c>
      <c r="C132" s="5" t="inlineStr">
        <is>
          <t>メトグルコGE「サンド」</t>
        </is>
      </c>
      <c r="D132" s="5" t="inlineStr">
        <is>
          <t>卸B</t>
        </is>
      </c>
      <c r="E132" s="5" t="n">
        <v>10453</v>
      </c>
      <c r="F132" s="5" t="n">
        <v>100354</v>
      </c>
    </row>
    <row r="133">
      <c r="A133" s="4" t="inlineStr">
        <is>
          <t>2023-03</t>
        </is>
      </c>
      <c r="B133" s="4" t="inlineStr">
        <is>
          <t>SKU0102</t>
        </is>
      </c>
      <c r="C133" s="4" t="inlineStr">
        <is>
          <t>メトグルコGE「サンド」</t>
        </is>
      </c>
      <c r="D133" s="4" t="inlineStr">
        <is>
          <t>卸C</t>
        </is>
      </c>
      <c r="E133" s="4" t="n">
        <v>6813</v>
      </c>
      <c r="F133" s="4" t="n">
        <v>65402</v>
      </c>
    </row>
    <row r="134">
      <c r="A134" s="5" t="inlineStr">
        <is>
          <t>2023-04</t>
        </is>
      </c>
      <c r="B134" s="5" t="inlineStr">
        <is>
          <t>SKU0102</t>
        </is>
      </c>
      <c r="C134" s="5" t="inlineStr">
        <is>
          <t>メトグルコGE「サンド」</t>
        </is>
      </c>
      <c r="D134" s="5" t="inlineStr">
        <is>
          <t>卸A</t>
        </is>
      </c>
      <c r="E134" s="5" t="n">
        <v>9725</v>
      </c>
      <c r="F134" s="5" t="n">
        <v>93357</v>
      </c>
    </row>
    <row r="135">
      <c r="A135" s="4" t="inlineStr">
        <is>
          <t>2023-04</t>
        </is>
      </c>
      <c r="B135" s="4" t="inlineStr">
        <is>
          <t>SKU0102</t>
        </is>
      </c>
      <c r="C135" s="4" t="inlineStr">
        <is>
          <t>メトグルコGE「サンド」</t>
        </is>
      </c>
      <c r="D135" s="4" t="inlineStr">
        <is>
          <t>卸B</t>
        </is>
      </c>
      <c r="E135" s="4" t="n">
        <v>8044</v>
      </c>
      <c r="F135" s="4" t="n">
        <v>77219</v>
      </c>
    </row>
    <row r="136">
      <c r="A136" s="5" t="inlineStr">
        <is>
          <t>2023-04</t>
        </is>
      </c>
      <c r="B136" s="5" t="inlineStr">
        <is>
          <t>SKU0102</t>
        </is>
      </c>
      <c r="C136" s="5" t="inlineStr">
        <is>
          <t>メトグルコGE「サンド」</t>
        </is>
      </c>
      <c r="D136" s="5" t="inlineStr">
        <is>
          <t>卸C</t>
        </is>
      </c>
      <c r="E136" s="5" t="n">
        <v>6281</v>
      </c>
      <c r="F136" s="5" t="n">
        <v>60294</v>
      </c>
    </row>
    <row r="137">
      <c r="A137" s="4" t="inlineStr">
        <is>
          <t>2023-05</t>
        </is>
      </c>
      <c r="B137" s="4" t="inlineStr">
        <is>
          <t>SKU0102</t>
        </is>
      </c>
      <c r="C137" s="4" t="inlineStr">
        <is>
          <t>メトグルコGE「サンド」</t>
        </is>
      </c>
      <c r="D137" s="4" t="inlineStr">
        <is>
          <t>卸A</t>
        </is>
      </c>
      <c r="E137" s="4" t="n">
        <v>11492</v>
      </c>
      <c r="F137" s="4" t="n">
        <v>110321</v>
      </c>
    </row>
    <row r="138">
      <c r="A138" s="5" t="inlineStr">
        <is>
          <t>2023-05</t>
        </is>
      </c>
      <c r="B138" s="5" t="inlineStr">
        <is>
          <t>SKU0102</t>
        </is>
      </c>
      <c r="C138" s="5" t="inlineStr">
        <is>
          <t>メトグルコGE「サンド」</t>
        </is>
      </c>
      <c r="D138" s="5" t="inlineStr">
        <is>
          <t>卸B</t>
        </is>
      </c>
      <c r="E138" s="5" t="n">
        <v>9879</v>
      </c>
      <c r="F138" s="5" t="n">
        <v>94838</v>
      </c>
    </row>
    <row r="139">
      <c r="A139" s="4" t="inlineStr">
        <is>
          <t>2023-05</t>
        </is>
      </c>
      <c r="B139" s="4" t="inlineStr">
        <is>
          <t>SKU0102</t>
        </is>
      </c>
      <c r="C139" s="4" t="inlineStr">
        <is>
          <t>メトグルコGE「サンド」</t>
        </is>
      </c>
      <c r="D139" s="4" t="inlineStr">
        <is>
          <t>卸C</t>
        </is>
      </c>
      <c r="E139" s="4" t="n">
        <v>6566</v>
      </c>
      <c r="F139" s="4" t="n">
        <v>63036</v>
      </c>
    </row>
    <row r="140">
      <c r="A140" s="5" t="inlineStr">
        <is>
          <t>2023-06</t>
        </is>
      </c>
      <c r="B140" s="5" t="inlineStr">
        <is>
          <t>SKU0102</t>
        </is>
      </c>
      <c r="C140" s="5" t="inlineStr">
        <is>
          <t>メトグルコGE「サンド」</t>
        </is>
      </c>
      <c r="D140" s="5" t="inlineStr">
        <is>
          <t>卸A</t>
        </is>
      </c>
      <c r="E140" s="5" t="n">
        <v>11525</v>
      </c>
      <c r="F140" s="5" t="n">
        <v>110639</v>
      </c>
    </row>
    <row r="141">
      <c r="A141" s="4" t="inlineStr">
        <is>
          <t>2023-06</t>
        </is>
      </c>
      <c r="B141" s="4" t="inlineStr">
        <is>
          <t>SKU0102</t>
        </is>
      </c>
      <c r="C141" s="4" t="inlineStr">
        <is>
          <t>メトグルコGE「サンド」</t>
        </is>
      </c>
      <c r="D141" s="4" t="inlineStr">
        <is>
          <t>卸B</t>
        </is>
      </c>
      <c r="E141" s="4" t="n">
        <v>8945</v>
      </c>
      <c r="F141" s="4" t="n">
        <v>85871</v>
      </c>
    </row>
    <row r="142">
      <c r="A142" s="5" t="inlineStr">
        <is>
          <t>2023-06</t>
        </is>
      </c>
      <c r="B142" s="5" t="inlineStr">
        <is>
          <t>SKU0102</t>
        </is>
      </c>
      <c r="C142" s="5" t="inlineStr">
        <is>
          <t>メトグルコGE「サンド」</t>
        </is>
      </c>
      <c r="D142" s="5" t="inlineStr">
        <is>
          <t>卸C</t>
        </is>
      </c>
      <c r="E142" s="5" t="n">
        <v>6553</v>
      </c>
      <c r="F142" s="5" t="n">
        <v>62906</v>
      </c>
    </row>
    <row r="143">
      <c r="A143" s="4" t="inlineStr">
        <is>
          <t>2023-07</t>
        </is>
      </c>
      <c r="B143" s="4" t="inlineStr">
        <is>
          <t>SKU0102</t>
        </is>
      </c>
      <c r="C143" s="4" t="inlineStr">
        <is>
          <t>メトグルコGE「サンド」</t>
        </is>
      </c>
      <c r="D143" s="4" t="inlineStr">
        <is>
          <t>卸A</t>
        </is>
      </c>
      <c r="E143" s="4" t="n">
        <v>9851</v>
      </c>
      <c r="F143" s="4" t="n">
        <v>94569</v>
      </c>
    </row>
    <row r="144">
      <c r="A144" s="5" t="inlineStr">
        <is>
          <t>2023-07</t>
        </is>
      </c>
      <c r="B144" s="5" t="inlineStr">
        <is>
          <t>SKU0102</t>
        </is>
      </c>
      <c r="C144" s="5" t="inlineStr">
        <is>
          <t>メトグルコGE「サンド」</t>
        </is>
      </c>
      <c r="D144" s="5" t="inlineStr">
        <is>
          <t>卸B</t>
        </is>
      </c>
      <c r="E144" s="5" t="n">
        <v>8265</v>
      </c>
      <c r="F144" s="5" t="n">
        <v>79348</v>
      </c>
    </row>
    <row r="145">
      <c r="A145" s="4" t="inlineStr">
        <is>
          <t>2023-07</t>
        </is>
      </c>
      <c r="B145" s="4" t="inlineStr">
        <is>
          <t>SKU0102</t>
        </is>
      </c>
      <c r="C145" s="4" t="inlineStr">
        <is>
          <t>メトグルコGE「サンド」</t>
        </is>
      </c>
      <c r="D145" s="4" t="inlineStr">
        <is>
          <t>卸C</t>
        </is>
      </c>
      <c r="E145" s="4" t="n">
        <v>6406</v>
      </c>
      <c r="F145" s="4" t="n">
        <v>61497</v>
      </c>
    </row>
    <row r="146">
      <c r="A146" s="5" t="inlineStr">
        <is>
          <t>2023-08</t>
        </is>
      </c>
      <c r="B146" s="5" t="inlineStr">
        <is>
          <t>SKU0102</t>
        </is>
      </c>
      <c r="C146" s="5" t="inlineStr">
        <is>
          <t>メトグルコGE「サンド」</t>
        </is>
      </c>
      <c r="D146" s="5" t="inlineStr">
        <is>
          <t>卸A</t>
        </is>
      </c>
      <c r="E146" s="5" t="n">
        <v>11027</v>
      </c>
      <c r="F146" s="5" t="n">
        <v>105862</v>
      </c>
    </row>
    <row r="147">
      <c r="A147" s="4" t="inlineStr">
        <is>
          <t>2023-08</t>
        </is>
      </c>
      <c r="B147" s="4" t="inlineStr">
        <is>
          <t>SKU0102</t>
        </is>
      </c>
      <c r="C147" s="4" t="inlineStr">
        <is>
          <t>メトグルコGE「サンド」</t>
        </is>
      </c>
      <c r="D147" s="4" t="inlineStr">
        <is>
          <t>卸B</t>
        </is>
      </c>
      <c r="E147" s="4" t="n">
        <v>9727</v>
      </c>
      <c r="F147" s="4" t="n">
        <v>93376</v>
      </c>
    </row>
    <row r="148">
      <c r="A148" s="5" t="inlineStr">
        <is>
          <t>2023-08</t>
        </is>
      </c>
      <c r="B148" s="5" t="inlineStr">
        <is>
          <t>SKU0102</t>
        </is>
      </c>
      <c r="C148" s="5" t="inlineStr">
        <is>
          <t>メトグルコGE「サンド」</t>
        </is>
      </c>
      <c r="D148" s="5" t="inlineStr">
        <is>
          <t>卸C</t>
        </is>
      </c>
      <c r="E148" s="5" t="n">
        <v>6861</v>
      </c>
      <c r="F148" s="5" t="n">
        <v>65870</v>
      </c>
    </row>
    <row r="149">
      <c r="A149" s="4" t="inlineStr">
        <is>
          <t>2023-09</t>
        </is>
      </c>
      <c r="B149" s="4" t="inlineStr">
        <is>
          <t>SKU0102</t>
        </is>
      </c>
      <c r="C149" s="4" t="inlineStr">
        <is>
          <t>メトグルコGE「サンド」</t>
        </is>
      </c>
      <c r="D149" s="4" t="inlineStr">
        <is>
          <t>卸A</t>
        </is>
      </c>
      <c r="E149" s="4" t="n">
        <v>10721</v>
      </c>
      <c r="F149" s="4" t="n">
        <v>102920</v>
      </c>
    </row>
    <row r="150">
      <c r="A150" s="5" t="inlineStr">
        <is>
          <t>2023-09</t>
        </is>
      </c>
      <c r="B150" s="5" t="inlineStr">
        <is>
          <t>SKU0102</t>
        </is>
      </c>
      <c r="C150" s="5" t="inlineStr">
        <is>
          <t>メトグルコGE「サンド」</t>
        </is>
      </c>
      <c r="D150" s="5" t="inlineStr">
        <is>
          <t>卸B</t>
        </is>
      </c>
      <c r="E150" s="5" t="n">
        <v>10336</v>
      </c>
      <c r="F150" s="5" t="n">
        <v>99228</v>
      </c>
    </row>
    <row r="151">
      <c r="A151" s="4" t="inlineStr">
        <is>
          <t>2023-09</t>
        </is>
      </c>
      <c r="B151" s="4" t="inlineStr">
        <is>
          <t>SKU0102</t>
        </is>
      </c>
      <c r="C151" s="4" t="inlineStr">
        <is>
          <t>メトグルコGE「サンド」</t>
        </is>
      </c>
      <c r="D151" s="4" t="inlineStr">
        <is>
          <t>卸C</t>
        </is>
      </c>
      <c r="E151" s="4" t="n">
        <v>6400</v>
      </c>
      <c r="F151" s="4" t="n">
        <v>61443</v>
      </c>
    </row>
    <row r="152">
      <c r="A152" s="5" t="inlineStr">
        <is>
          <t>2023-10</t>
        </is>
      </c>
      <c r="B152" s="5" t="inlineStr">
        <is>
          <t>SKU0102</t>
        </is>
      </c>
      <c r="C152" s="5" t="inlineStr">
        <is>
          <t>メトグルコGE「サンド」</t>
        </is>
      </c>
      <c r="D152" s="5" t="inlineStr">
        <is>
          <t>卸A</t>
        </is>
      </c>
      <c r="E152" s="5" t="n">
        <v>10360</v>
      </c>
      <c r="F152" s="5" t="n">
        <v>99455</v>
      </c>
    </row>
    <row r="153">
      <c r="A153" s="4" t="inlineStr">
        <is>
          <t>2023-10</t>
        </is>
      </c>
      <c r="B153" s="4" t="inlineStr">
        <is>
          <t>SKU0102</t>
        </is>
      </c>
      <c r="C153" s="4" t="inlineStr">
        <is>
          <t>メトグルコGE「サンド」</t>
        </is>
      </c>
      <c r="D153" s="4" t="inlineStr">
        <is>
          <t>卸B</t>
        </is>
      </c>
      <c r="E153" s="4" t="n">
        <v>8062</v>
      </c>
      <c r="F153" s="4" t="n">
        <v>77399</v>
      </c>
    </row>
    <row r="154">
      <c r="A154" s="5" t="inlineStr">
        <is>
          <t>2023-10</t>
        </is>
      </c>
      <c r="B154" s="5" t="inlineStr">
        <is>
          <t>SKU0102</t>
        </is>
      </c>
      <c r="C154" s="5" t="inlineStr">
        <is>
          <t>メトグルコGE「サンド」</t>
        </is>
      </c>
      <c r="D154" s="5" t="inlineStr">
        <is>
          <t>卸C</t>
        </is>
      </c>
      <c r="E154" s="5" t="n">
        <v>5520</v>
      </c>
      <c r="F154" s="5" t="n">
        <v>52994</v>
      </c>
    </row>
    <row r="155">
      <c r="A155" s="4" t="inlineStr">
        <is>
          <t>2023-11</t>
        </is>
      </c>
      <c r="B155" s="4" t="inlineStr">
        <is>
          <t>SKU0102</t>
        </is>
      </c>
      <c r="C155" s="4" t="inlineStr">
        <is>
          <t>メトグルコGE「サンド」</t>
        </is>
      </c>
      <c r="D155" s="4" t="inlineStr">
        <is>
          <t>卸A</t>
        </is>
      </c>
      <c r="E155" s="4" t="n">
        <v>10305</v>
      </c>
      <c r="F155" s="4" t="n">
        <v>98928</v>
      </c>
    </row>
    <row r="156">
      <c r="A156" s="5" t="inlineStr">
        <is>
          <t>2023-11</t>
        </is>
      </c>
      <c r="B156" s="5" t="inlineStr">
        <is>
          <t>SKU0102</t>
        </is>
      </c>
      <c r="C156" s="5" t="inlineStr">
        <is>
          <t>メトグルコGE「サンド」</t>
        </is>
      </c>
      <c r="D156" s="5" t="inlineStr">
        <is>
          <t>卸B</t>
        </is>
      </c>
      <c r="E156" s="5" t="n">
        <v>9553</v>
      </c>
      <c r="F156" s="5" t="n">
        <v>91711</v>
      </c>
    </row>
    <row r="157">
      <c r="A157" s="4" t="inlineStr">
        <is>
          <t>2023-11</t>
        </is>
      </c>
      <c r="B157" s="4" t="inlineStr">
        <is>
          <t>SKU0102</t>
        </is>
      </c>
      <c r="C157" s="4" t="inlineStr">
        <is>
          <t>メトグルコGE「サンド」</t>
        </is>
      </c>
      <c r="D157" s="4" t="inlineStr">
        <is>
          <t>卸C</t>
        </is>
      </c>
      <c r="E157" s="4" t="n">
        <v>6321</v>
      </c>
      <c r="F157" s="4" t="n">
        <v>60677</v>
      </c>
    </row>
    <row r="158">
      <c r="A158" s="5" t="inlineStr">
        <is>
          <t>2023-12</t>
        </is>
      </c>
      <c r="B158" s="5" t="inlineStr">
        <is>
          <t>SKU0102</t>
        </is>
      </c>
      <c r="C158" s="5" t="inlineStr">
        <is>
          <t>メトグルコGE「サンド」</t>
        </is>
      </c>
      <c r="D158" s="5" t="inlineStr">
        <is>
          <t>卸A</t>
        </is>
      </c>
      <c r="E158" s="5" t="n">
        <v>11758</v>
      </c>
      <c r="F158" s="5" t="n">
        <v>112874</v>
      </c>
    </row>
    <row r="159">
      <c r="A159" s="4" t="inlineStr">
        <is>
          <t>2023-12</t>
        </is>
      </c>
      <c r="B159" s="4" t="inlineStr">
        <is>
          <t>SKU0102</t>
        </is>
      </c>
      <c r="C159" s="4" t="inlineStr">
        <is>
          <t>メトグルコGE「サンド」</t>
        </is>
      </c>
      <c r="D159" s="4" t="inlineStr">
        <is>
          <t>卸B</t>
        </is>
      </c>
      <c r="E159" s="4" t="n">
        <v>10339</v>
      </c>
      <c r="F159" s="4" t="n">
        <v>99258</v>
      </c>
    </row>
    <row r="160">
      <c r="A160" s="5" t="inlineStr">
        <is>
          <t>2023-12</t>
        </is>
      </c>
      <c r="B160" s="5" t="inlineStr">
        <is>
          <t>SKU0102</t>
        </is>
      </c>
      <c r="C160" s="5" t="inlineStr">
        <is>
          <t>メトグルコGE「サンド」</t>
        </is>
      </c>
      <c r="D160" s="5" t="inlineStr">
        <is>
          <t>卸C</t>
        </is>
      </c>
      <c r="E160" s="5" t="n">
        <v>6600</v>
      </c>
      <c r="F160" s="5" t="n">
        <v>63357</v>
      </c>
    </row>
    <row r="161">
      <c r="A161" s="4" t="inlineStr">
        <is>
          <t>2024-01</t>
        </is>
      </c>
      <c r="B161" s="4" t="inlineStr">
        <is>
          <t>SKU0102</t>
        </is>
      </c>
      <c r="C161" s="4" t="inlineStr">
        <is>
          <t>メトグルコGE「サンド」</t>
        </is>
      </c>
      <c r="D161" s="4" t="inlineStr">
        <is>
          <t>卸A</t>
        </is>
      </c>
      <c r="E161" s="4" t="n">
        <v>11510</v>
      </c>
      <c r="F161" s="4" t="n">
        <v>110496</v>
      </c>
    </row>
    <row r="162">
      <c r="A162" s="5" t="inlineStr">
        <is>
          <t>2024-01</t>
        </is>
      </c>
      <c r="B162" s="5" t="inlineStr">
        <is>
          <t>SKU0102</t>
        </is>
      </c>
      <c r="C162" s="5" t="inlineStr">
        <is>
          <t>メトグルコGE「サンド」</t>
        </is>
      </c>
      <c r="D162" s="5" t="inlineStr">
        <is>
          <t>卸B</t>
        </is>
      </c>
      <c r="E162" s="5" t="n">
        <v>9891</v>
      </c>
      <c r="F162" s="5" t="n">
        <v>94957</v>
      </c>
    </row>
    <row r="163">
      <c r="A163" s="4" t="inlineStr">
        <is>
          <t>2024-01</t>
        </is>
      </c>
      <c r="B163" s="4" t="inlineStr">
        <is>
          <t>SKU0102</t>
        </is>
      </c>
      <c r="C163" s="4" t="inlineStr">
        <is>
          <t>メトグルコGE「サンド」</t>
        </is>
      </c>
      <c r="D163" s="4" t="inlineStr">
        <is>
          <t>卸C</t>
        </is>
      </c>
      <c r="E163" s="4" t="n">
        <v>5789</v>
      </c>
      <c r="F163" s="4" t="n">
        <v>55573</v>
      </c>
    </row>
    <row r="164">
      <c r="A164" s="5" t="inlineStr">
        <is>
          <t>2024-02</t>
        </is>
      </c>
      <c r="B164" s="5" t="inlineStr">
        <is>
          <t>SKU0102</t>
        </is>
      </c>
      <c r="C164" s="5" t="inlineStr">
        <is>
          <t>メトグルコGE「サンド」</t>
        </is>
      </c>
      <c r="D164" s="5" t="inlineStr">
        <is>
          <t>卸A</t>
        </is>
      </c>
      <c r="E164" s="5" t="n">
        <v>11811</v>
      </c>
      <c r="F164" s="5" t="n">
        <v>113383</v>
      </c>
    </row>
    <row r="165">
      <c r="A165" s="4" t="inlineStr">
        <is>
          <t>2024-02</t>
        </is>
      </c>
      <c r="B165" s="4" t="inlineStr">
        <is>
          <t>SKU0102</t>
        </is>
      </c>
      <c r="C165" s="4" t="inlineStr">
        <is>
          <t>メトグルコGE「サンド」</t>
        </is>
      </c>
      <c r="D165" s="4" t="inlineStr">
        <is>
          <t>卸B</t>
        </is>
      </c>
      <c r="E165" s="4" t="n">
        <v>9458</v>
      </c>
      <c r="F165" s="4" t="n">
        <v>90796</v>
      </c>
    </row>
    <row r="166">
      <c r="A166" s="5" t="inlineStr">
        <is>
          <t>2024-02</t>
        </is>
      </c>
      <c r="B166" s="5" t="inlineStr">
        <is>
          <t>SKU0102</t>
        </is>
      </c>
      <c r="C166" s="5" t="inlineStr">
        <is>
          <t>メトグルコGE「サンド」</t>
        </is>
      </c>
      <c r="D166" s="5" t="inlineStr">
        <is>
          <t>卸C</t>
        </is>
      </c>
      <c r="E166" s="5" t="n">
        <v>6518</v>
      </c>
      <c r="F166" s="5" t="n">
        <v>62571</v>
      </c>
    </row>
    <row r="167">
      <c r="A167" s="4" t="inlineStr">
        <is>
          <t>2024-03</t>
        </is>
      </c>
      <c r="B167" s="4" t="inlineStr">
        <is>
          <t>SKU0102</t>
        </is>
      </c>
      <c r="C167" s="4" t="inlineStr">
        <is>
          <t>メトグルコGE「サンド」</t>
        </is>
      </c>
      <c r="D167" s="4" t="inlineStr">
        <is>
          <t>卸A</t>
        </is>
      </c>
      <c r="E167" s="4" t="n">
        <v>17837</v>
      </c>
      <c r="F167" s="4" t="n">
        <v>171234</v>
      </c>
    </row>
    <row r="168">
      <c r="A168" s="5" t="inlineStr">
        <is>
          <t>2024-03</t>
        </is>
      </c>
      <c r="B168" s="5" t="inlineStr">
        <is>
          <t>SKU0102</t>
        </is>
      </c>
      <c r="C168" s="5" t="inlineStr">
        <is>
          <t>メトグルコGE「サンド」</t>
        </is>
      </c>
      <c r="D168" s="5" t="inlineStr">
        <is>
          <t>卸B</t>
        </is>
      </c>
      <c r="E168" s="5" t="n">
        <v>13845</v>
      </c>
      <c r="F168" s="5" t="n">
        <v>132911</v>
      </c>
    </row>
    <row r="169">
      <c r="A169" s="4" t="inlineStr">
        <is>
          <t>2024-03</t>
        </is>
      </c>
      <c r="B169" s="4" t="inlineStr">
        <is>
          <t>SKU0102</t>
        </is>
      </c>
      <c r="C169" s="4" t="inlineStr">
        <is>
          <t>メトグルコGE「サンド」</t>
        </is>
      </c>
      <c r="D169" s="4" t="inlineStr">
        <is>
          <t>卸C</t>
        </is>
      </c>
      <c r="E169" s="4" t="n">
        <v>7979</v>
      </c>
      <c r="F169" s="4" t="n">
        <v>76597</v>
      </c>
    </row>
    <row r="170">
      <c r="A170" s="5" t="inlineStr">
        <is>
          <t>2024-04</t>
        </is>
      </c>
      <c r="B170" s="5" t="inlineStr">
        <is>
          <t>SKU0102</t>
        </is>
      </c>
      <c r="C170" s="5" t="inlineStr">
        <is>
          <t>メトグルコGE「サンド」</t>
        </is>
      </c>
      <c r="D170" s="5" t="inlineStr">
        <is>
          <t>卸A</t>
        </is>
      </c>
      <c r="E170" s="5" t="n">
        <v>6493</v>
      </c>
      <c r="F170" s="5" t="n">
        <v>58905</v>
      </c>
    </row>
    <row r="171">
      <c r="A171" s="4" t="inlineStr">
        <is>
          <t>2024-04</t>
        </is>
      </c>
      <c r="B171" s="4" t="inlineStr">
        <is>
          <t>SKU0102</t>
        </is>
      </c>
      <c r="C171" s="4" t="inlineStr">
        <is>
          <t>メトグルコGE「サンド」</t>
        </is>
      </c>
      <c r="D171" s="4" t="inlineStr">
        <is>
          <t>卸B</t>
        </is>
      </c>
      <c r="E171" s="4" t="n">
        <v>6402</v>
      </c>
      <c r="F171" s="4" t="n">
        <v>58075</v>
      </c>
    </row>
    <row r="172">
      <c r="A172" s="5" t="inlineStr">
        <is>
          <t>2024-04</t>
        </is>
      </c>
      <c r="B172" s="5" t="inlineStr">
        <is>
          <t>SKU0102</t>
        </is>
      </c>
      <c r="C172" s="5" t="inlineStr">
        <is>
          <t>メトグルコGE「サンド」</t>
        </is>
      </c>
      <c r="D172" s="5" t="inlineStr">
        <is>
          <t>卸C</t>
        </is>
      </c>
      <c r="E172" s="5" t="n">
        <v>4350</v>
      </c>
      <c r="F172" s="5" t="n">
        <v>39463</v>
      </c>
    </row>
    <row r="173">
      <c r="A173" s="4" t="inlineStr">
        <is>
          <t>2024-05</t>
        </is>
      </c>
      <c r="B173" s="4" t="inlineStr">
        <is>
          <t>SKU0102</t>
        </is>
      </c>
      <c r="C173" s="4" t="inlineStr">
        <is>
          <t>メトグルコGE「サンド」</t>
        </is>
      </c>
      <c r="D173" s="4" t="inlineStr">
        <is>
          <t>卸A</t>
        </is>
      </c>
      <c r="E173" s="4" t="n">
        <v>7303</v>
      </c>
      <c r="F173" s="4" t="n">
        <v>66256</v>
      </c>
    </row>
    <row r="174">
      <c r="A174" s="5" t="inlineStr">
        <is>
          <t>2024-05</t>
        </is>
      </c>
      <c r="B174" s="5" t="inlineStr">
        <is>
          <t>SKU0102</t>
        </is>
      </c>
      <c r="C174" s="5" t="inlineStr">
        <is>
          <t>メトグルコGE「サンド」</t>
        </is>
      </c>
      <c r="D174" s="5" t="inlineStr">
        <is>
          <t>卸B</t>
        </is>
      </c>
      <c r="E174" s="5" t="n">
        <v>6875</v>
      </c>
      <c r="F174" s="5" t="n">
        <v>62371</v>
      </c>
    </row>
    <row r="175">
      <c r="A175" s="4" t="inlineStr">
        <is>
          <t>2024-05</t>
        </is>
      </c>
      <c r="B175" s="4" t="inlineStr">
        <is>
          <t>SKU0102</t>
        </is>
      </c>
      <c r="C175" s="4" t="inlineStr">
        <is>
          <t>メトグルコGE「サンド」</t>
        </is>
      </c>
      <c r="D175" s="4" t="inlineStr">
        <is>
          <t>卸C</t>
        </is>
      </c>
      <c r="E175" s="4" t="n">
        <v>4526</v>
      </c>
      <c r="F175" s="4" t="n">
        <v>41057</v>
      </c>
    </row>
    <row r="176">
      <c r="A176" s="5" t="inlineStr">
        <is>
          <t>2024-06</t>
        </is>
      </c>
      <c r="B176" s="5" t="inlineStr">
        <is>
          <t>SKU0102</t>
        </is>
      </c>
      <c r="C176" s="5" t="inlineStr">
        <is>
          <t>メトグルコGE「サンド」</t>
        </is>
      </c>
      <c r="D176" s="5" t="inlineStr">
        <is>
          <t>卸A</t>
        </is>
      </c>
      <c r="E176" s="5" t="n">
        <v>9242</v>
      </c>
      <c r="F176" s="5" t="n">
        <v>83846</v>
      </c>
    </row>
    <row r="177">
      <c r="A177" s="4" t="inlineStr">
        <is>
          <t>2024-06</t>
        </is>
      </c>
      <c r="B177" s="4" t="inlineStr">
        <is>
          <t>SKU0102</t>
        </is>
      </c>
      <c r="C177" s="4" t="inlineStr">
        <is>
          <t>メトグルコGE「サンド」</t>
        </is>
      </c>
      <c r="D177" s="4" t="inlineStr">
        <is>
          <t>卸B</t>
        </is>
      </c>
      <c r="E177" s="4" t="n">
        <v>8143</v>
      </c>
      <c r="F177" s="4" t="n">
        <v>73872</v>
      </c>
    </row>
    <row r="178">
      <c r="A178" s="5" t="inlineStr">
        <is>
          <t>2024-06</t>
        </is>
      </c>
      <c r="B178" s="5" t="inlineStr">
        <is>
          <t>SKU0102</t>
        </is>
      </c>
      <c r="C178" s="5" t="inlineStr">
        <is>
          <t>メトグルコGE「サンド」</t>
        </is>
      </c>
      <c r="D178" s="5" t="inlineStr">
        <is>
          <t>卸C</t>
        </is>
      </c>
      <c r="E178" s="5" t="n">
        <v>5672</v>
      </c>
      <c r="F178" s="5" t="n">
        <v>51453</v>
      </c>
    </row>
    <row r="179">
      <c r="A179" s="4" t="inlineStr">
        <is>
          <t>2024-07</t>
        </is>
      </c>
      <c r="B179" s="4" t="inlineStr">
        <is>
          <t>SKU0102</t>
        </is>
      </c>
      <c r="C179" s="4" t="inlineStr">
        <is>
          <t>メトグルコGE「サンド」</t>
        </is>
      </c>
      <c r="D179" s="4" t="inlineStr">
        <is>
          <t>卸A</t>
        </is>
      </c>
      <c r="E179" s="4" t="n">
        <v>11052</v>
      </c>
      <c r="F179" s="4" t="n">
        <v>100265</v>
      </c>
    </row>
    <row r="180">
      <c r="A180" s="5" t="inlineStr">
        <is>
          <t>2024-07</t>
        </is>
      </c>
      <c r="B180" s="5" t="inlineStr">
        <is>
          <t>SKU0102</t>
        </is>
      </c>
      <c r="C180" s="5" t="inlineStr">
        <is>
          <t>メトグルコGE「サンド」</t>
        </is>
      </c>
      <c r="D180" s="5" t="inlineStr">
        <is>
          <t>卸B</t>
        </is>
      </c>
      <c r="E180" s="5" t="n">
        <v>8555</v>
      </c>
      <c r="F180" s="5" t="n">
        <v>77611</v>
      </c>
    </row>
    <row r="181">
      <c r="A181" s="4" t="inlineStr">
        <is>
          <t>2024-07</t>
        </is>
      </c>
      <c r="B181" s="4" t="inlineStr">
        <is>
          <t>SKU0102</t>
        </is>
      </c>
      <c r="C181" s="4" t="inlineStr">
        <is>
          <t>メトグルコGE「サンド」</t>
        </is>
      </c>
      <c r="D181" s="4" t="inlineStr">
        <is>
          <t>卸C</t>
        </is>
      </c>
      <c r="E181" s="4" t="n">
        <v>6861</v>
      </c>
      <c r="F181" s="4" t="n">
        <v>62241</v>
      </c>
    </row>
    <row r="182">
      <c r="A182" s="5" t="inlineStr">
        <is>
          <t>2024-08</t>
        </is>
      </c>
      <c r="B182" s="5" t="inlineStr">
        <is>
          <t>SKU0102</t>
        </is>
      </c>
      <c r="C182" s="5" t="inlineStr">
        <is>
          <t>メトグルコGE「サンド」</t>
        </is>
      </c>
      <c r="D182" s="5" t="inlineStr">
        <is>
          <t>卸A</t>
        </is>
      </c>
      <c r="E182" s="5" t="n">
        <v>10443</v>
      </c>
      <c r="F182" s="5" t="n">
        <v>94738</v>
      </c>
    </row>
    <row r="183">
      <c r="A183" s="4" t="inlineStr">
        <is>
          <t>2024-08</t>
        </is>
      </c>
      <c r="B183" s="4" t="inlineStr">
        <is>
          <t>SKU0102</t>
        </is>
      </c>
      <c r="C183" s="4" t="inlineStr">
        <is>
          <t>メトグルコGE「サンド」</t>
        </is>
      </c>
      <c r="D183" s="4" t="inlineStr">
        <is>
          <t>卸B</t>
        </is>
      </c>
      <c r="E183" s="4" t="n">
        <v>10440</v>
      </c>
      <c r="F183" s="4" t="n">
        <v>94716</v>
      </c>
    </row>
    <row r="184">
      <c r="A184" s="5" t="inlineStr">
        <is>
          <t>2024-08</t>
        </is>
      </c>
      <c r="B184" s="5" t="inlineStr">
        <is>
          <t>SKU0102</t>
        </is>
      </c>
      <c r="C184" s="5" t="inlineStr">
        <is>
          <t>メトグルコGE「サンド」</t>
        </is>
      </c>
      <c r="D184" s="5" t="inlineStr">
        <is>
          <t>卸C</t>
        </is>
      </c>
      <c r="E184" s="5" t="n">
        <v>6340</v>
      </c>
      <c r="F184" s="5" t="n">
        <v>57521</v>
      </c>
    </row>
    <row r="185">
      <c r="A185" s="4" t="inlineStr">
        <is>
          <t>2024-09</t>
        </is>
      </c>
      <c r="B185" s="4" t="inlineStr">
        <is>
          <t>SKU0102</t>
        </is>
      </c>
      <c r="C185" s="4" t="inlineStr">
        <is>
          <t>メトグルコGE「サンド」</t>
        </is>
      </c>
      <c r="D185" s="4" t="inlineStr">
        <is>
          <t>卸A</t>
        </is>
      </c>
      <c r="E185" s="4" t="n">
        <v>10662</v>
      </c>
      <c r="F185" s="4" t="n">
        <v>96721</v>
      </c>
    </row>
    <row r="186">
      <c r="A186" s="5" t="inlineStr">
        <is>
          <t>2024-09</t>
        </is>
      </c>
      <c r="B186" s="5" t="inlineStr">
        <is>
          <t>SKU0102</t>
        </is>
      </c>
      <c r="C186" s="5" t="inlineStr">
        <is>
          <t>メトグルコGE「サンド」</t>
        </is>
      </c>
      <c r="D186" s="5" t="inlineStr">
        <is>
          <t>卸B</t>
        </is>
      </c>
      <c r="E186" s="5" t="n">
        <v>9875</v>
      </c>
      <c r="F186" s="5" t="n">
        <v>89585</v>
      </c>
    </row>
    <row r="187">
      <c r="A187" s="4" t="inlineStr">
        <is>
          <t>2024-09</t>
        </is>
      </c>
      <c r="B187" s="4" t="inlineStr">
        <is>
          <t>SKU0102</t>
        </is>
      </c>
      <c r="C187" s="4" t="inlineStr">
        <is>
          <t>メトグルコGE「サンド」</t>
        </is>
      </c>
      <c r="D187" s="4" t="inlineStr">
        <is>
          <t>卸C</t>
        </is>
      </c>
      <c r="E187" s="4" t="n">
        <v>6710</v>
      </c>
      <c r="F187" s="4" t="n">
        <v>60872</v>
      </c>
    </row>
    <row r="188">
      <c r="A188" s="5" t="inlineStr">
        <is>
          <t>2024-10</t>
        </is>
      </c>
      <c r="B188" s="5" t="inlineStr">
        <is>
          <t>SKU0102</t>
        </is>
      </c>
      <c r="C188" s="5" t="inlineStr">
        <is>
          <t>メトグルコGE「サンド」</t>
        </is>
      </c>
      <c r="D188" s="5" t="inlineStr">
        <is>
          <t>卸A</t>
        </is>
      </c>
      <c r="E188" s="5" t="n">
        <v>10844</v>
      </c>
      <c r="F188" s="5" t="n">
        <v>98379</v>
      </c>
    </row>
    <row r="189">
      <c r="A189" s="4" t="inlineStr">
        <is>
          <t>2024-10</t>
        </is>
      </c>
      <c r="B189" s="4" t="inlineStr">
        <is>
          <t>SKU0102</t>
        </is>
      </c>
      <c r="C189" s="4" t="inlineStr">
        <is>
          <t>メトグルコGE「サンド」</t>
        </is>
      </c>
      <c r="D189" s="4" t="inlineStr">
        <is>
          <t>卸B</t>
        </is>
      </c>
      <c r="E189" s="4" t="n">
        <v>9178</v>
      </c>
      <c r="F189" s="4" t="n">
        <v>83260</v>
      </c>
    </row>
    <row r="190">
      <c r="A190" s="5" t="inlineStr">
        <is>
          <t>2024-10</t>
        </is>
      </c>
      <c r="B190" s="5" t="inlineStr">
        <is>
          <t>SKU0102</t>
        </is>
      </c>
      <c r="C190" s="5" t="inlineStr">
        <is>
          <t>メトグルコGE「サンド」</t>
        </is>
      </c>
      <c r="D190" s="5" t="inlineStr">
        <is>
          <t>卸C</t>
        </is>
      </c>
      <c r="E190" s="5" t="n">
        <v>6233</v>
      </c>
      <c r="F190" s="5" t="n">
        <v>56543</v>
      </c>
    </row>
    <row r="191">
      <c r="A191" s="4" t="inlineStr">
        <is>
          <t>2024-11</t>
        </is>
      </c>
      <c r="B191" s="4" t="inlineStr">
        <is>
          <t>SKU0102</t>
        </is>
      </c>
      <c r="C191" s="4" t="inlineStr">
        <is>
          <t>メトグルコGE「サンド」</t>
        </is>
      </c>
      <c r="D191" s="4" t="inlineStr">
        <is>
          <t>卸A</t>
        </is>
      </c>
      <c r="E191" s="4" t="n">
        <v>8978</v>
      </c>
      <c r="F191" s="4" t="n">
        <v>81447</v>
      </c>
    </row>
    <row r="192">
      <c r="A192" s="5" t="inlineStr">
        <is>
          <t>2024-11</t>
        </is>
      </c>
      <c r="B192" s="5" t="inlineStr">
        <is>
          <t>SKU0102</t>
        </is>
      </c>
      <c r="C192" s="5" t="inlineStr">
        <is>
          <t>メトグルコGE「サンド」</t>
        </is>
      </c>
      <c r="D192" s="5" t="inlineStr">
        <is>
          <t>卸B</t>
        </is>
      </c>
      <c r="E192" s="5" t="n">
        <v>8717</v>
      </c>
      <c r="F192" s="5" t="n">
        <v>79081</v>
      </c>
    </row>
    <row r="193">
      <c r="A193" s="4" t="inlineStr">
        <is>
          <t>2024-11</t>
        </is>
      </c>
      <c r="B193" s="4" t="inlineStr">
        <is>
          <t>SKU0102</t>
        </is>
      </c>
      <c r="C193" s="4" t="inlineStr">
        <is>
          <t>メトグルコGE「サンド」</t>
        </is>
      </c>
      <c r="D193" s="4" t="inlineStr">
        <is>
          <t>卸C</t>
        </is>
      </c>
      <c r="E193" s="4" t="n">
        <v>5619</v>
      </c>
      <c r="F193" s="4" t="n">
        <v>50976</v>
      </c>
    </row>
    <row r="194">
      <c r="A194" s="5" t="inlineStr">
        <is>
          <t>2024-12</t>
        </is>
      </c>
      <c r="B194" s="5" t="inlineStr">
        <is>
          <t>SKU0102</t>
        </is>
      </c>
      <c r="C194" s="5" t="inlineStr">
        <is>
          <t>メトグルコGE「サンド」</t>
        </is>
      </c>
      <c r="D194" s="5" t="inlineStr">
        <is>
          <t>卸A</t>
        </is>
      </c>
      <c r="E194" s="5" t="n">
        <v>11795</v>
      </c>
      <c r="F194" s="5" t="n">
        <v>107001</v>
      </c>
    </row>
    <row r="195">
      <c r="A195" s="4" t="inlineStr">
        <is>
          <t>2024-12</t>
        </is>
      </c>
      <c r="B195" s="4" t="inlineStr">
        <is>
          <t>SKU0102</t>
        </is>
      </c>
      <c r="C195" s="4" t="inlineStr">
        <is>
          <t>メトグルコGE「サンド」</t>
        </is>
      </c>
      <c r="D195" s="4" t="inlineStr">
        <is>
          <t>卸B</t>
        </is>
      </c>
      <c r="E195" s="4" t="n">
        <v>10249</v>
      </c>
      <c r="F195" s="4" t="n">
        <v>92980</v>
      </c>
    </row>
    <row r="196">
      <c r="A196" s="5" t="inlineStr">
        <is>
          <t>2024-12</t>
        </is>
      </c>
      <c r="B196" s="5" t="inlineStr">
        <is>
          <t>SKU0102</t>
        </is>
      </c>
      <c r="C196" s="5" t="inlineStr">
        <is>
          <t>メトグルコGE「サンド」</t>
        </is>
      </c>
      <c r="D196" s="5" t="inlineStr">
        <is>
          <t>卸C</t>
        </is>
      </c>
      <c r="E196" s="5" t="n">
        <v>7360</v>
      </c>
      <c r="F196" s="5" t="n">
        <v>66772</v>
      </c>
    </row>
    <row r="197">
      <c r="A197" s="4" t="inlineStr">
        <is>
          <t>2025-01</t>
        </is>
      </c>
      <c r="B197" s="4" t="inlineStr">
        <is>
          <t>SKU0102</t>
        </is>
      </c>
      <c r="C197" s="4" t="inlineStr">
        <is>
          <t>メトグルコGE「サンド」</t>
        </is>
      </c>
      <c r="D197" s="4" t="inlineStr">
        <is>
          <t>卸A</t>
        </is>
      </c>
      <c r="E197" s="4" t="n">
        <v>10457</v>
      </c>
      <c r="F197" s="4" t="n">
        <v>94867</v>
      </c>
    </row>
    <row r="198">
      <c r="A198" s="5" t="inlineStr">
        <is>
          <t>2025-01</t>
        </is>
      </c>
      <c r="B198" s="5" t="inlineStr">
        <is>
          <t>SKU0102</t>
        </is>
      </c>
      <c r="C198" s="5" t="inlineStr">
        <is>
          <t>メトグルコGE「サンド」</t>
        </is>
      </c>
      <c r="D198" s="5" t="inlineStr">
        <is>
          <t>卸B</t>
        </is>
      </c>
      <c r="E198" s="5" t="n">
        <v>8937</v>
      </c>
      <c r="F198" s="5" t="n">
        <v>81073</v>
      </c>
    </row>
    <row r="199">
      <c r="A199" s="4" t="inlineStr">
        <is>
          <t>2025-01</t>
        </is>
      </c>
      <c r="B199" s="4" t="inlineStr">
        <is>
          <t>SKU0102</t>
        </is>
      </c>
      <c r="C199" s="4" t="inlineStr">
        <is>
          <t>メトグルコGE「サンド」</t>
        </is>
      </c>
      <c r="D199" s="4" t="inlineStr">
        <is>
          <t>卸C</t>
        </is>
      </c>
      <c r="E199" s="4" t="n">
        <v>6041</v>
      </c>
      <c r="F199" s="4" t="n">
        <v>54808</v>
      </c>
    </row>
    <row r="200">
      <c r="A200" s="5" t="inlineStr">
        <is>
          <t>2025-02</t>
        </is>
      </c>
      <c r="B200" s="5" t="inlineStr">
        <is>
          <t>SKU0102</t>
        </is>
      </c>
      <c r="C200" s="5" t="inlineStr">
        <is>
          <t>メトグルコGE「サンド」</t>
        </is>
      </c>
      <c r="D200" s="5" t="inlineStr">
        <is>
          <t>卸A</t>
        </is>
      </c>
      <c r="E200" s="5" t="n">
        <v>9729</v>
      </c>
      <c r="F200" s="5" t="n">
        <v>88257</v>
      </c>
    </row>
    <row r="201">
      <c r="A201" s="4" t="inlineStr">
        <is>
          <t>2025-02</t>
        </is>
      </c>
      <c r="B201" s="4" t="inlineStr">
        <is>
          <t>SKU0102</t>
        </is>
      </c>
      <c r="C201" s="4" t="inlineStr">
        <is>
          <t>メトグルコGE「サンド」</t>
        </is>
      </c>
      <c r="D201" s="4" t="inlineStr">
        <is>
          <t>卸B</t>
        </is>
      </c>
      <c r="E201" s="4" t="n">
        <v>8457</v>
      </c>
      <c r="F201" s="4" t="n">
        <v>76721</v>
      </c>
    </row>
    <row r="202">
      <c r="A202" s="5" t="inlineStr">
        <is>
          <t>2025-02</t>
        </is>
      </c>
      <c r="B202" s="5" t="inlineStr">
        <is>
          <t>SKU0102</t>
        </is>
      </c>
      <c r="C202" s="5" t="inlineStr">
        <is>
          <t>メトグルコGE「サンド」</t>
        </is>
      </c>
      <c r="D202" s="5" t="inlineStr">
        <is>
          <t>卸C</t>
        </is>
      </c>
      <c r="E202" s="5" t="n">
        <v>5410</v>
      </c>
      <c r="F202" s="5" t="n">
        <v>49080</v>
      </c>
    </row>
    <row r="203">
      <c r="A203" s="4" t="inlineStr">
        <is>
          <t>2025-03</t>
        </is>
      </c>
      <c r="B203" s="4" t="inlineStr">
        <is>
          <t>SKU0102</t>
        </is>
      </c>
      <c r="C203" s="4" t="inlineStr">
        <is>
          <t>メトグルコGE「サンド」</t>
        </is>
      </c>
      <c r="D203" s="4" t="inlineStr">
        <is>
          <t>卸A</t>
        </is>
      </c>
      <c r="E203" s="4" t="n">
        <v>15261</v>
      </c>
      <c r="F203" s="4" t="n">
        <v>138452</v>
      </c>
    </row>
    <row r="204">
      <c r="A204" s="5" t="inlineStr">
        <is>
          <t>2025-03</t>
        </is>
      </c>
      <c r="B204" s="5" t="inlineStr">
        <is>
          <t>SKU0102</t>
        </is>
      </c>
      <c r="C204" s="5" t="inlineStr">
        <is>
          <t>メトグルコGE「サンド」</t>
        </is>
      </c>
      <c r="D204" s="5" t="inlineStr">
        <is>
          <t>卸B</t>
        </is>
      </c>
      <c r="E204" s="5" t="n">
        <v>14255</v>
      </c>
      <c r="F204" s="5" t="n">
        <v>129321</v>
      </c>
    </row>
    <row r="205">
      <c r="A205" s="4" t="inlineStr">
        <is>
          <t>2025-03</t>
        </is>
      </c>
      <c r="B205" s="4" t="inlineStr">
        <is>
          <t>SKU0102</t>
        </is>
      </c>
      <c r="C205" s="4" t="inlineStr">
        <is>
          <t>メトグルコGE「サンド」</t>
        </is>
      </c>
      <c r="D205" s="4" t="inlineStr">
        <is>
          <t>卸C</t>
        </is>
      </c>
      <c r="E205" s="4" t="n">
        <v>9726</v>
      </c>
      <c r="F205" s="4" t="n">
        <v>88235</v>
      </c>
    </row>
    <row r="206">
      <c r="A206" s="5" t="inlineStr">
        <is>
          <t>2025-04</t>
        </is>
      </c>
      <c r="B206" s="5" t="inlineStr">
        <is>
          <t>SKU0102</t>
        </is>
      </c>
      <c r="C206" s="5" t="inlineStr">
        <is>
          <t>メトグルコGE「サンド」</t>
        </is>
      </c>
      <c r="D206" s="5" t="inlineStr">
        <is>
          <t>卸A</t>
        </is>
      </c>
      <c r="E206" s="5" t="n">
        <v>8578</v>
      </c>
      <c r="F206" s="5" t="n">
        <v>75482</v>
      </c>
    </row>
    <row r="207">
      <c r="A207" s="4" t="inlineStr">
        <is>
          <t>2025-04</t>
        </is>
      </c>
      <c r="B207" s="4" t="inlineStr">
        <is>
          <t>SKU0102</t>
        </is>
      </c>
      <c r="C207" s="4" t="inlineStr">
        <is>
          <t>メトグルコGE「サンド」</t>
        </is>
      </c>
      <c r="D207" s="4" t="inlineStr">
        <is>
          <t>卸B</t>
        </is>
      </c>
      <c r="E207" s="4" t="n">
        <v>6806</v>
      </c>
      <c r="F207" s="4" t="n">
        <v>59889</v>
      </c>
    </row>
    <row r="208">
      <c r="A208" s="5" t="inlineStr">
        <is>
          <t>2025-04</t>
        </is>
      </c>
      <c r="B208" s="5" t="inlineStr">
        <is>
          <t>SKU0102</t>
        </is>
      </c>
      <c r="C208" s="5" t="inlineStr">
        <is>
          <t>メトグルコGE「サンド」</t>
        </is>
      </c>
      <c r="D208" s="5" t="inlineStr">
        <is>
          <t>卸C</t>
        </is>
      </c>
      <c r="E208" s="5" t="n">
        <v>4365</v>
      </c>
      <c r="F208" s="5" t="n">
        <v>38413</v>
      </c>
    </row>
    <row r="209">
      <c r="A209" s="4" t="inlineStr">
        <is>
          <t>2025-05</t>
        </is>
      </c>
      <c r="B209" s="4" t="inlineStr">
        <is>
          <t>SKU0102</t>
        </is>
      </c>
      <c r="C209" s="4" t="inlineStr">
        <is>
          <t>メトグルコGE「サンド」</t>
        </is>
      </c>
      <c r="D209" s="4" t="inlineStr">
        <is>
          <t>卸A</t>
        </is>
      </c>
      <c r="E209" s="4" t="n">
        <v>7395</v>
      </c>
      <c r="F209" s="4" t="n">
        <v>65075</v>
      </c>
    </row>
    <row r="210">
      <c r="A210" s="5" t="inlineStr">
        <is>
          <t>2025-05</t>
        </is>
      </c>
      <c r="B210" s="5" t="inlineStr">
        <is>
          <t>SKU0102</t>
        </is>
      </c>
      <c r="C210" s="5" t="inlineStr">
        <is>
          <t>メトグルコGE「サンド」</t>
        </is>
      </c>
      <c r="D210" s="5" t="inlineStr">
        <is>
          <t>卸B</t>
        </is>
      </c>
      <c r="E210" s="5" t="n">
        <v>6722</v>
      </c>
      <c r="F210" s="5" t="n">
        <v>59154</v>
      </c>
    </row>
    <row r="211">
      <c r="A211" s="4" t="inlineStr">
        <is>
          <t>2025-05</t>
        </is>
      </c>
      <c r="B211" s="4" t="inlineStr">
        <is>
          <t>SKU0102</t>
        </is>
      </c>
      <c r="C211" s="4" t="inlineStr">
        <is>
          <t>メトグルコGE「サンド」</t>
        </is>
      </c>
      <c r="D211" s="4" t="inlineStr">
        <is>
          <t>卸C</t>
        </is>
      </c>
      <c r="E211" s="4" t="n">
        <v>4129</v>
      </c>
      <c r="F211" s="4" t="n">
        <v>36336</v>
      </c>
    </row>
    <row r="212">
      <c r="A212" s="5" t="inlineStr">
        <is>
          <t>2025-06</t>
        </is>
      </c>
      <c r="B212" s="5" t="inlineStr">
        <is>
          <t>SKU0102</t>
        </is>
      </c>
      <c r="C212" s="5" t="inlineStr">
        <is>
          <t>メトグルコGE「サンド」</t>
        </is>
      </c>
      <c r="D212" s="5" t="inlineStr">
        <is>
          <t>卸A</t>
        </is>
      </c>
      <c r="E212" s="5" t="n">
        <v>12767</v>
      </c>
      <c r="F212" s="5" t="n">
        <v>112348</v>
      </c>
    </row>
    <row r="213">
      <c r="A213" s="4" t="inlineStr">
        <is>
          <t>2025-06</t>
        </is>
      </c>
      <c r="B213" s="4" t="inlineStr">
        <is>
          <t>SKU0102</t>
        </is>
      </c>
      <c r="C213" s="4" t="inlineStr">
        <is>
          <t>メトグルコGE「サンド」</t>
        </is>
      </c>
      <c r="D213" s="4" t="inlineStr">
        <is>
          <t>卸B</t>
        </is>
      </c>
      <c r="E213" s="4" t="n">
        <v>9415</v>
      </c>
      <c r="F213" s="4" t="n">
        <v>82853</v>
      </c>
    </row>
    <row r="214">
      <c r="A214" s="5" t="inlineStr">
        <is>
          <t>2025-06</t>
        </is>
      </c>
      <c r="B214" s="5" t="inlineStr">
        <is>
          <t>SKU0102</t>
        </is>
      </c>
      <c r="C214" s="5" t="inlineStr">
        <is>
          <t>メトグルコGE「サンド」</t>
        </is>
      </c>
      <c r="D214" s="5" t="inlineStr">
        <is>
          <t>卸C</t>
        </is>
      </c>
      <c r="E214" s="5" t="n">
        <v>6829</v>
      </c>
      <c r="F214" s="5" t="n">
        <v>60092</v>
      </c>
    </row>
    <row r="215">
      <c r="A215" s="4" t="inlineStr">
        <is>
          <t>2025-07</t>
        </is>
      </c>
      <c r="B215" s="4" t="inlineStr">
        <is>
          <t>SKU0102</t>
        </is>
      </c>
      <c r="C215" s="4" t="inlineStr">
        <is>
          <t>メトグルコGE「サンド」</t>
        </is>
      </c>
      <c r="D215" s="4" t="inlineStr">
        <is>
          <t>卸A</t>
        </is>
      </c>
      <c r="E215" s="4" t="n">
        <v>10381</v>
      </c>
      <c r="F215" s="4" t="n">
        <v>91353</v>
      </c>
    </row>
    <row r="216">
      <c r="A216" s="5" t="inlineStr">
        <is>
          <t>2025-07</t>
        </is>
      </c>
      <c r="B216" s="5" t="inlineStr">
        <is>
          <t>SKU0102</t>
        </is>
      </c>
      <c r="C216" s="5" t="inlineStr">
        <is>
          <t>メトグルコGE「サンド」</t>
        </is>
      </c>
      <c r="D216" s="5" t="inlineStr">
        <is>
          <t>卸B</t>
        </is>
      </c>
      <c r="E216" s="5" t="n">
        <v>9621</v>
      </c>
      <c r="F216" s="5" t="n">
        <v>84662</v>
      </c>
    </row>
    <row r="217">
      <c r="A217" s="4" t="inlineStr">
        <is>
          <t>2025-07</t>
        </is>
      </c>
      <c r="B217" s="4" t="inlineStr">
        <is>
          <t>SKU0102</t>
        </is>
      </c>
      <c r="C217" s="4" t="inlineStr">
        <is>
          <t>メトグルコGE「サンド」</t>
        </is>
      </c>
      <c r="D217" s="4" t="inlineStr">
        <is>
          <t>卸C</t>
        </is>
      </c>
      <c r="E217" s="4" t="n">
        <v>5742</v>
      </c>
      <c r="F217" s="4" t="n">
        <v>50527</v>
      </c>
    </row>
    <row r="218">
      <c r="A218" s="5" t="inlineStr">
        <is>
          <t>2025-08</t>
        </is>
      </c>
      <c r="B218" s="5" t="inlineStr">
        <is>
          <t>SKU0102</t>
        </is>
      </c>
      <c r="C218" s="5" t="inlineStr">
        <is>
          <t>メトグルコGE「サンド」</t>
        </is>
      </c>
      <c r="D218" s="5" t="inlineStr">
        <is>
          <t>卸A</t>
        </is>
      </c>
      <c r="E218" s="5" t="n">
        <v>9766</v>
      </c>
      <c r="F218" s="5" t="n">
        <v>85943</v>
      </c>
    </row>
    <row r="219">
      <c r="A219" s="4" t="inlineStr">
        <is>
          <t>2025-08</t>
        </is>
      </c>
      <c r="B219" s="4" t="inlineStr">
        <is>
          <t>SKU0102</t>
        </is>
      </c>
      <c r="C219" s="4" t="inlineStr">
        <is>
          <t>メトグルコGE「サンド」</t>
        </is>
      </c>
      <c r="D219" s="4" t="inlineStr">
        <is>
          <t>卸B</t>
        </is>
      </c>
      <c r="E219" s="4" t="n">
        <v>8122</v>
      </c>
      <c r="F219" s="4" t="n">
        <v>71469</v>
      </c>
    </row>
    <row r="220">
      <c r="A220" s="5" t="inlineStr">
        <is>
          <t>2025-08</t>
        </is>
      </c>
      <c r="B220" s="5" t="inlineStr">
        <is>
          <t>SKU0102</t>
        </is>
      </c>
      <c r="C220" s="5" t="inlineStr">
        <is>
          <t>メトグルコGE「サンド」</t>
        </is>
      </c>
      <c r="D220" s="5" t="inlineStr">
        <is>
          <t>卸C</t>
        </is>
      </c>
      <c r="E220" s="5" t="n">
        <v>5576</v>
      </c>
      <c r="F220" s="5" t="n">
        <v>49066</v>
      </c>
    </row>
    <row r="221">
      <c r="A221" s="4" t="inlineStr">
        <is>
          <t>2025-09</t>
        </is>
      </c>
      <c r="B221" s="4" t="inlineStr">
        <is>
          <t>SKU0102</t>
        </is>
      </c>
      <c r="C221" s="4" t="inlineStr">
        <is>
          <t>メトグルコGE「サンド」</t>
        </is>
      </c>
      <c r="D221" s="4" t="inlineStr">
        <is>
          <t>卸A</t>
        </is>
      </c>
      <c r="E221" s="4" t="n">
        <v>9076</v>
      </c>
      <c r="F221" s="4" t="n">
        <v>79864</v>
      </c>
    </row>
    <row r="222">
      <c r="A222" s="5" t="inlineStr">
        <is>
          <t>2025-09</t>
        </is>
      </c>
      <c r="B222" s="5" t="inlineStr">
        <is>
          <t>SKU0102</t>
        </is>
      </c>
      <c r="C222" s="5" t="inlineStr">
        <is>
          <t>メトグルコGE「サンド」</t>
        </is>
      </c>
      <c r="D222" s="5" t="inlineStr">
        <is>
          <t>卸B</t>
        </is>
      </c>
      <c r="E222" s="5" t="n">
        <v>9385</v>
      </c>
      <c r="F222" s="5" t="n">
        <v>82590</v>
      </c>
    </row>
    <row r="223">
      <c r="A223" s="4" t="inlineStr">
        <is>
          <t>2025-09</t>
        </is>
      </c>
      <c r="B223" s="4" t="inlineStr">
        <is>
          <t>SKU0102</t>
        </is>
      </c>
      <c r="C223" s="4" t="inlineStr">
        <is>
          <t>メトグルコGE「サンド」</t>
        </is>
      </c>
      <c r="D223" s="4" t="inlineStr">
        <is>
          <t>卸C</t>
        </is>
      </c>
      <c r="E223" s="4" t="n">
        <v>6351</v>
      </c>
      <c r="F223" s="4" t="n">
        <v>55887</v>
      </c>
    </row>
    <row r="224">
      <c r="A224" s="5" t="inlineStr">
        <is>
          <t>2025-10</t>
        </is>
      </c>
      <c r="B224" s="5" t="inlineStr">
        <is>
          <t>SKU0102</t>
        </is>
      </c>
      <c r="C224" s="5" t="inlineStr">
        <is>
          <t>メトグルコGE「サンド」</t>
        </is>
      </c>
      <c r="D224" s="5" t="inlineStr">
        <is>
          <t>卸A</t>
        </is>
      </c>
      <c r="E224" s="5" t="n">
        <v>10725</v>
      </c>
      <c r="F224" s="5" t="n">
        <v>94378</v>
      </c>
    </row>
    <row r="225">
      <c r="A225" s="4" t="inlineStr">
        <is>
          <t>2025-10</t>
        </is>
      </c>
      <c r="B225" s="4" t="inlineStr">
        <is>
          <t>SKU0102</t>
        </is>
      </c>
      <c r="C225" s="4" t="inlineStr">
        <is>
          <t>メトグルコGE「サンド」</t>
        </is>
      </c>
      <c r="D225" s="4" t="inlineStr">
        <is>
          <t>卸B</t>
        </is>
      </c>
      <c r="E225" s="4" t="n">
        <v>8813</v>
      </c>
      <c r="F225" s="4" t="n">
        <v>77554</v>
      </c>
    </row>
    <row r="226">
      <c r="A226" s="5" t="inlineStr">
        <is>
          <t>2025-10</t>
        </is>
      </c>
      <c r="B226" s="5" t="inlineStr">
        <is>
          <t>SKU0102</t>
        </is>
      </c>
      <c r="C226" s="5" t="inlineStr">
        <is>
          <t>メトグルコGE「サンド」</t>
        </is>
      </c>
      <c r="D226" s="5" t="inlineStr">
        <is>
          <t>卸C</t>
        </is>
      </c>
      <c r="E226" s="5" t="n">
        <v>5780</v>
      </c>
      <c r="F226" s="5" t="n">
        <v>50866</v>
      </c>
    </row>
    <row r="227">
      <c r="A227" s="4" t="inlineStr">
        <is>
          <t>2025-11</t>
        </is>
      </c>
      <c r="B227" s="4" t="inlineStr">
        <is>
          <t>SKU0102</t>
        </is>
      </c>
      <c r="C227" s="4" t="inlineStr">
        <is>
          <t>メトグルコGE「サンド」</t>
        </is>
      </c>
      <c r="D227" s="4" t="inlineStr">
        <is>
          <t>卸A</t>
        </is>
      </c>
      <c r="E227" s="4" t="n">
        <v>8667</v>
      </c>
      <c r="F227" s="4" t="n">
        <v>76267</v>
      </c>
    </row>
    <row r="228">
      <c r="A228" s="5" t="inlineStr">
        <is>
          <t>2025-11</t>
        </is>
      </c>
      <c r="B228" s="5" t="inlineStr">
        <is>
          <t>SKU0102</t>
        </is>
      </c>
      <c r="C228" s="5" t="inlineStr">
        <is>
          <t>メトグルコGE「サンド」</t>
        </is>
      </c>
      <c r="D228" s="5" t="inlineStr">
        <is>
          <t>卸B</t>
        </is>
      </c>
      <c r="E228" s="5" t="n">
        <v>8435</v>
      </c>
      <c r="F228" s="5" t="n">
        <v>74230</v>
      </c>
    </row>
    <row r="229">
      <c r="A229" s="4" t="inlineStr">
        <is>
          <t>2025-11</t>
        </is>
      </c>
      <c r="B229" s="4" t="inlineStr">
        <is>
          <t>SKU0102</t>
        </is>
      </c>
      <c r="C229" s="4" t="inlineStr">
        <is>
          <t>メトグルコGE「サンド」</t>
        </is>
      </c>
      <c r="D229" s="4" t="inlineStr">
        <is>
          <t>卸C</t>
        </is>
      </c>
      <c r="E229" s="4" t="n">
        <v>5857</v>
      </c>
      <c r="F229" s="4" t="n">
        <v>51540</v>
      </c>
    </row>
    <row r="230">
      <c r="A230" s="5" t="inlineStr">
        <is>
          <t>2025-12</t>
        </is>
      </c>
      <c r="B230" s="5" t="inlineStr">
        <is>
          <t>SKU0102</t>
        </is>
      </c>
      <c r="C230" s="5" t="inlineStr">
        <is>
          <t>メトグルコGE「サンド」</t>
        </is>
      </c>
      <c r="D230" s="5" t="inlineStr">
        <is>
          <t>卸A</t>
        </is>
      </c>
      <c r="E230" s="5" t="n">
        <v>10354</v>
      </c>
      <c r="F230" s="5" t="n">
        <v>91112</v>
      </c>
    </row>
    <row r="231">
      <c r="A231" s="4" t="inlineStr">
        <is>
          <t>2025-12</t>
        </is>
      </c>
      <c r="B231" s="4" t="inlineStr">
        <is>
          <t>SKU0102</t>
        </is>
      </c>
      <c r="C231" s="4" t="inlineStr">
        <is>
          <t>メトグルコGE「サンド」</t>
        </is>
      </c>
      <c r="D231" s="4" t="inlineStr">
        <is>
          <t>卸B</t>
        </is>
      </c>
      <c r="E231" s="4" t="n">
        <v>10051</v>
      </c>
      <c r="F231" s="4" t="n">
        <v>88447</v>
      </c>
    </row>
    <row r="232">
      <c r="A232" s="5" t="inlineStr">
        <is>
          <t>2025-12</t>
        </is>
      </c>
      <c r="B232" s="5" t="inlineStr">
        <is>
          <t>SKU0102</t>
        </is>
      </c>
      <c r="C232" s="5" t="inlineStr">
        <is>
          <t>メトグルコGE「サンド」</t>
        </is>
      </c>
      <c r="D232" s="5" t="inlineStr">
        <is>
          <t>卸C</t>
        </is>
      </c>
      <c r="E232" s="5" t="n">
        <v>5434</v>
      </c>
      <c r="F232" s="5" t="n">
        <v>47820</v>
      </c>
    </row>
    <row r="233">
      <c r="A233" s="4" t="inlineStr">
        <is>
          <t>2026-01</t>
        </is>
      </c>
      <c r="B233" s="4" t="inlineStr">
        <is>
          <t>SKU0102</t>
        </is>
      </c>
      <c r="C233" s="4" t="inlineStr">
        <is>
          <t>メトグルコGE「サンド」</t>
        </is>
      </c>
      <c r="D233" s="4" t="inlineStr">
        <is>
          <t>卸A</t>
        </is>
      </c>
      <c r="E233" s="4" t="n">
        <v>9662</v>
      </c>
      <c r="F233" s="4" t="n">
        <v>85027</v>
      </c>
    </row>
    <row r="234">
      <c r="A234" s="5" t="inlineStr">
        <is>
          <t>2026-01</t>
        </is>
      </c>
      <c r="B234" s="5" t="inlineStr">
        <is>
          <t>SKU0102</t>
        </is>
      </c>
      <c r="C234" s="5" t="inlineStr">
        <is>
          <t>メトグルコGE「サンド」</t>
        </is>
      </c>
      <c r="D234" s="5" t="inlineStr">
        <is>
          <t>卸B</t>
        </is>
      </c>
      <c r="E234" s="5" t="n">
        <v>8964</v>
      </c>
      <c r="F234" s="5" t="n">
        <v>78877</v>
      </c>
    </row>
    <row r="235">
      <c r="A235" s="4" t="inlineStr">
        <is>
          <t>2026-01</t>
        </is>
      </c>
      <c r="B235" s="4" t="inlineStr">
        <is>
          <t>SKU0102</t>
        </is>
      </c>
      <c r="C235" s="4" t="inlineStr">
        <is>
          <t>メトグルコGE「サンド」</t>
        </is>
      </c>
      <c r="D235" s="4" t="inlineStr">
        <is>
          <t>卸C</t>
        </is>
      </c>
      <c r="E235" s="4" t="n">
        <v>6911</v>
      </c>
      <c r="F235" s="4" t="n">
        <v>60818</v>
      </c>
    </row>
    <row r="236">
      <c r="A236" s="5" t="inlineStr">
        <is>
          <t>2026-02</t>
        </is>
      </c>
      <c r="B236" s="5" t="inlineStr">
        <is>
          <t>SKU0102</t>
        </is>
      </c>
      <c r="C236" s="5" t="inlineStr">
        <is>
          <t>メトグルコGE「サンド」</t>
        </is>
      </c>
      <c r="D236" s="5" t="inlineStr">
        <is>
          <t>卸A</t>
        </is>
      </c>
      <c r="E236" s="5" t="n">
        <v>9938</v>
      </c>
      <c r="F236" s="5" t="n">
        <v>87451</v>
      </c>
    </row>
    <row r="237">
      <c r="A237" s="4" t="inlineStr">
        <is>
          <t>2026-02</t>
        </is>
      </c>
      <c r="B237" s="4" t="inlineStr">
        <is>
          <t>SKU0102</t>
        </is>
      </c>
      <c r="C237" s="4" t="inlineStr">
        <is>
          <t>メトグルコGE「サンド」</t>
        </is>
      </c>
      <c r="D237" s="4" t="inlineStr">
        <is>
          <t>卸B</t>
        </is>
      </c>
      <c r="E237" s="4" t="n">
        <v>8660</v>
      </c>
      <c r="F237" s="4" t="n">
        <v>76202</v>
      </c>
    </row>
    <row r="238">
      <c r="A238" s="5" t="inlineStr">
        <is>
          <t>2026-02</t>
        </is>
      </c>
      <c r="B238" s="5" t="inlineStr">
        <is>
          <t>SKU0102</t>
        </is>
      </c>
      <c r="C238" s="5" t="inlineStr">
        <is>
          <t>メトグルコGE「サンド」</t>
        </is>
      </c>
      <c r="D238" s="5" t="inlineStr">
        <is>
          <t>卸C</t>
        </is>
      </c>
      <c r="E238" s="5" t="n">
        <v>5551</v>
      </c>
      <c r="F238" s="5" t="n">
        <v>48852</v>
      </c>
    </row>
    <row r="239">
      <c r="A239" s="4" t="inlineStr">
        <is>
          <t>2026-03</t>
        </is>
      </c>
      <c r="B239" s="4" t="inlineStr">
        <is>
          <t>SKU0102</t>
        </is>
      </c>
      <c r="C239" s="4" t="inlineStr">
        <is>
          <t>メトグルコGE「サンド」</t>
        </is>
      </c>
      <c r="D239" s="4" t="inlineStr">
        <is>
          <t>卸A</t>
        </is>
      </c>
      <c r="E239" s="4" t="n">
        <v>13045</v>
      </c>
      <c r="F239" s="4" t="n">
        <v>114796</v>
      </c>
    </row>
    <row r="240">
      <c r="A240" s="5" t="inlineStr">
        <is>
          <t>2026-03</t>
        </is>
      </c>
      <c r="B240" s="5" t="inlineStr">
        <is>
          <t>SKU0102</t>
        </is>
      </c>
      <c r="C240" s="5" t="inlineStr">
        <is>
          <t>メトグルコGE「サンド」</t>
        </is>
      </c>
      <c r="D240" s="5" t="inlineStr">
        <is>
          <t>卸B</t>
        </is>
      </c>
      <c r="E240" s="5" t="n">
        <v>11101</v>
      </c>
      <c r="F240" s="5" t="n">
        <v>97684</v>
      </c>
    </row>
    <row r="241">
      <c r="A241" s="4" t="inlineStr">
        <is>
          <t>2026-03</t>
        </is>
      </c>
      <c r="B241" s="4" t="inlineStr">
        <is>
          <t>SKU0102</t>
        </is>
      </c>
      <c r="C241" s="4" t="inlineStr">
        <is>
          <t>メトグルコGE「サンド」</t>
        </is>
      </c>
      <c r="D241" s="4" t="inlineStr">
        <is>
          <t>卸C</t>
        </is>
      </c>
      <c r="E241" s="4" t="n">
        <v>7640</v>
      </c>
      <c r="F241" s="4" t="n">
        <v>67233</v>
      </c>
    </row>
    <row r="242">
      <c r="A242" s="5" t="inlineStr">
        <is>
          <t>2026-04</t>
        </is>
      </c>
      <c r="B242" s="5" t="inlineStr">
        <is>
          <t>SKU0102</t>
        </is>
      </c>
      <c r="C242" s="5" t="inlineStr">
        <is>
          <t>メトグルコGE「サンド」</t>
        </is>
      </c>
      <c r="D242" s="5" t="inlineStr">
        <is>
          <t>卸A</t>
        </is>
      </c>
      <c r="E242" s="5" t="n">
        <v>5868</v>
      </c>
      <c r="F242" s="5" t="n">
        <v>48537</v>
      </c>
    </row>
    <row r="243">
      <c r="A243" s="4" t="inlineStr">
        <is>
          <t>2026-04</t>
        </is>
      </c>
      <c r="B243" s="4" t="inlineStr">
        <is>
          <t>SKU0102</t>
        </is>
      </c>
      <c r="C243" s="4" t="inlineStr">
        <is>
          <t>メトグルコGE「サンド」</t>
        </is>
      </c>
      <c r="D243" s="4" t="inlineStr">
        <is>
          <t>卸B</t>
        </is>
      </c>
      <c r="E243" s="4" t="n">
        <v>5185</v>
      </c>
      <c r="F243" s="4" t="n">
        <v>42890</v>
      </c>
    </row>
    <row r="244">
      <c r="A244" s="5" t="inlineStr">
        <is>
          <t>2026-04</t>
        </is>
      </c>
      <c r="B244" s="5" t="inlineStr">
        <is>
          <t>SKU0102</t>
        </is>
      </c>
      <c r="C244" s="5" t="inlineStr">
        <is>
          <t>メトグルコGE「サンド」</t>
        </is>
      </c>
      <c r="D244" s="5" t="inlineStr">
        <is>
          <t>卸C</t>
        </is>
      </c>
      <c r="E244" s="5" t="n">
        <v>3416</v>
      </c>
      <c r="F244" s="5" t="n">
        <v>28257</v>
      </c>
    </row>
    <row r="245">
      <c r="A245" s="4" t="inlineStr">
        <is>
          <t>2026-05</t>
        </is>
      </c>
      <c r="B245" s="4" t="inlineStr">
        <is>
          <t>SKU0102</t>
        </is>
      </c>
      <c r="C245" s="4" t="inlineStr">
        <is>
          <t>メトグルコGE「サンド」</t>
        </is>
      </c>
      <c r="D245" s="4" t="inlineStr">
        <is>
          <t>卸A</t>
        </is>
      </c>
      <c r="E245" s="4" t="n">
        <v>6148</v>
      </c>
      <c r="F245" s="4" t="n">
        <v>50854</v>
      </c>
    </row>
    <row r="246">
      <c r="A246" s="5" t="inlineStr">
        <is>
          <t>2026-05</t>
        </is>
      </c>
      <c r="B246" s="5" t="inlineStr">
        <is>
          <t>SKU0102</t>
        </is>
      </c>
      <c r="C246" s="5" t="inlineStr">
        <is>
          <t>メトグルコGE「サンド」</t>
        </is>
      </c>
      <c r="D246" s="5" t="inlineStr">
        <is>
          <t>卸B</t>
        </is>
      </c>
      <c r="E246" s="5" t="n">
        <v>5901</v>
      </c>
      <c r="F246" s="5" t="n">
        <v>48810</v>
      </c>
    </row>
    <row r="247">
      <c r="A247" s="4" t="inlineStr">
        <is>
          <t>2026-05</t>
        </is>
      </c>
      <c r="B247" s="4" t="inlineStr">
        <is>
          <t>SKU0102</t>
        </is>
      </c>
      <c r="C247" s="4" t="inlineStr">
        <is>
          <t>メトグルコGE「サンド」</t>
        </is>
      </c>
      <c r="D247" s="4" t="inlineStr">
        <is>
          <t>卸C</t>
        </is>
      </c>
      <c r="E247" s="4" t="n">
        <v>4215</v>
      </c>
      <c r="F247" s="4" t="n">
        <v>34866</v>
      </c>
    </row>
    <row r="248">
      <c r="A248" s="5" t="inlineStr">
        <is>
          <t>2023-01</t>
        </is>
      </c>
      <c r="B248" s="5" t="inlineStr">
        <is>
          <t>SKU0201</t>
        </is>
      </c>
      <c r="C248" s="5" t="inlineStr">
        <is>
          <t>アトルバスタチンOD錠「サンド」</t>
        </is>
      </c>
      <c r="D248" s="5" t="inlineStr">
        <is>
          <t>卸A</t>
        </is>
      </c>
      <c r="E248" s="5" t="n">
        <v>7987</v>
      </c>
      <c r="F248" s="5" t="n">
        <v>113419</v>
      </c>
    </row>
    <row r="249">
      <c r="A249" s="4" t="inlineStr">
        <is>
          <t>2023-01</t>
        </is>
      </c>
      <c r="B249" s="4" t="inlineStr">
        <is>
          <t>SKU0201</t>
        </is>
      </c>
      <c r="C249" s="4" t="inlineStr">
        <is>
          <t>アトルバスタチンOD錠「サンド」</t>
        </is>
      </c>
      <c r="D249" s="4" t="inlineStr">
        <is>
          <t>卸B</t>
        </is>
      </c>
      <c r="E249" s="4" t="n">
        <v>7317</v>
      </c>
      <c r="F249" s="4" t="n">
        <v>103899</v>
      </c>
    </row>
    <row r="250">
      <c r="A250" s="5" t="inlineStr">
        <is>
          <t>2023-01</t>
        </is>
      </c>
      <c r="B250" s="5" t="inlineStr">
        <is>
          <t>SKU0201</t>
        </is>
      </c>
      <c r="C250" s="5" t="inlineStr">
        <is>
          <t>アトルバスタチンOD錠「サンド」</t>
        </is>
      </c>
      <c r="D250" s="5" t="inlineStr">
        <is>
          <t>卸C</t>
        </is>
      </c>
      <c r="E250" s="5" t="n">
        <v>4473</v>
      </c>
      <c r="F250" s="5" t="n">
        <v>63520</v>
      </c>
    </row>
    <row r="251">
      <c r="A251" s="4" t="inlineStr">
        <is>
          <t>2023-02</t>
        </is>
      </c>
      <c r="B251" s="4" t="inlineStr">
        <is>
          <t>SKU0201</t>
        </is>
      </c>
      <c r="C251" s="4" t="inlineStr">
        <is>
          <t>アトルバスタチンOD錠「サンド」</t>
        </is>
      </c>
      <c r="D251" s="4" t="inlineStr">
        <is>
          <t>卸A</t>
        </is>
      </c>
      <c r="E251" s="4" t="n">
        <v>6758</v>
      </c>
      <c r="F251" s="4" t="n">
        <v>95961</v>
      </c>
    </row>
    <row r="252">
      <c r="A252" s="5" t="inlineStr">
        <is>
          <t>2023-02</t>
        </is>
      </c>
      <c r="B252" s="5" t="inlineStr">
        <is>
          <t>SKU0201</t>
        </is>
      </c>
      <c r="C252" s="5" t="inlineStr">
        <is>
          <t>アトルバスタチンOD錠「サンド」</t>
        </is>
      </c>
      <c r="D252" s="5" t="inlineStr">
        <is>
          <t>卸B</t>
        </is>
      </c>
      <c r="E252" s="5" t="n">
        <v>5997</v>
      </c>
      <c r="F252" s="5" t="n">
        <v>85162</v>
      </c>
    </row>
    <row r="253">
      <c r="A253" s="4" t="inlineStr">
        <is>
          <t>2023-02</t>
        </is>
      </c>
      <c r="B253" s="4" t="inlineStr">
        <is>
          <t>SKU0201</t>
        </is>
      </c>
      <c r="C253" s="4" t="inlineStr">
        <is>
          <t>アトルバスタチンOD錠「サンド」</t>
        </is>
      </c>
      <c r="D253" s="4" t="inlineStr">
        <is>
          <t>卸C</t>
        </is>
      </c>
      <c r="E253" s="4" t="n">
        <v>4063</v>
      </c>
      <c r="F253" s="4" t="n">
        <v>57700</v>
      </c>
    </row>
    <row r="254">
      <c r="A254" s="5" t="inlineStr">
        <is>
          <t>2023-03</t>
        </is>
      </c>
      <c r="B254" s="5" t="inlineStr">
        <is>
          <t>SKU0201</t>
        </is>
      </c>
      <c r="C254" s="5" t="inlineStr">
        <is>
          <t>アトルバスタチンOD錠「サンド」</t>
        </is>
      </c>
      <c r="D254" s="5" t="inlineStr">
        <is>
          <t>卸A</t>
        </is>
      </c>
      <c r="E254" s="5" t="n">
        <v>7574</v>
      </c>
      <c r="F254" s="5" t="n">
        <v>107549</v>
      </c>
    </row>
    <row r="255">
      <c r="A255" s="4" t="inlineStr">
        <is>
          <t>2023-03</t>
        </is>
      </c>
      <c r="B255" s="4" t="inlineStr">
        <is>
          <t>SKU0201</t>
        </is>
      </c>
      <c r="C255" s="4" t="inlineStr">
        <is>
          <t>アトルバスタチンOD錠「サンド」</t>
        </is>
      </c>
      <c r="D255" s="4" t="inlineStr">
        <is>
          <t>卸B</t>
        </is>
      </c>
      <c r="E255" s="4" t="n">
        <v>7170</v>
      </c>
      <c r="F255" s="4" t="n">
        <v>101818</v>
      </c>
    </row>
    <row r="256">
      <c r="A256" s="5" t="inlineStr">
        <is>
          <t>2023-03</t>
        </is>
      </c>
      <c r="B256" s="5" t="inlineStr">
        <is>
          <t>SKU0201</t>
        </is>
      </c>
      <c r="C256" s="5" t="inlineStr">
        <is>
          <t>アトルバスタチンOD錠「サンド」</t>
        </is>
      </c>
      <c r="D256" s="5" t="inlineStr">
        <is>
          <t>卸C</t>
        </is>
      </c>
      <c r="E256" s="5" t="n">
        <v>4234</v>
      </c>
      <c r="F256" s="5" t="n">
        <v>60123</v>
      </c>
    </row>
    <row r="257">
      <c r="A257" s="4" t="inlineStr">
        <is>
          <t>2023-04</t>
        </is>
      </c>
      <c r="B257" s="4" t="inlineStr">
        <is>
          <t>SKU0201</t>
        </is>
      </c>
      <c r="C257" s="4" t="inlineStr">
        <is>
          <t>アトルバスタチンOD錠「サンド」</t>
        </is>
      </c>
      <c r="D257" s="4" t="inlineStr">
        <is>
          <t>卸A</t>
        </is>
      </c>
      <c r="E257" s="4" t="n">
        <v>7118</v>
      </c>
      <c r="F257" s="4" t="n">
        <v>101073</v>
      </c>
    </row>
    <row r="258">
      <c r="A258" s="5" t="inlineStr">
        <is>
          <t>2023-04</t>
        </is>
      </c>
      <c r="B258" s="5" t="inlineStr">
        <is>
          <t>SKU0201</t>
        </is>
      </c>
      <c r="C258" s="5" t="inlineStr">
        <is>
          <t>アトルバスタチンOD錠「サンド」</t>
        </is>
      </c>
      <c r="D258" s="5" t="inlineStr">
        <is>
          <t>卸B</t>
        </is>
      </c>
      <c r="E258" s="5" t="n">
        <v>5642</v>
      </c>
      <c r="F258" s="5" t="n">
        <v>80118</v>
      </c>
    </row>
    <row r="259">
      <c r="A259" s="4" t="inlineStr">
        <is>
          <t>2023-04</t>
        </is>
      </c>
      <c r="B259" s="4" t="inlineStr">
        <is>
          <t>SKU0201</t>
        </is>
      </c>
      <c r="C259" s="4" t="inlineStr">
        <is>
          <t>アトルバスタチンOD錠「サンド」</t>
        </is>
      </c>
      <c r="D259" s="4" t="inlineStr">
        <is>
          <t>卸C</t>
        </is>
      </c>
      <c r="E259" s="4" t="n">
        <v>4147</v>
      </c>
      <c r="F259" s="4" t="n">
        <v>58887</v>
      </c>
    </row>
    <row r="260">
      <c r="A260" s="5" t="inlineStr">
        <is>
          <t>2023-05</t>
        </is>
      </c>
      <c r="B260" s="5" t="inlineStr">
        <is>
          <t>SKU0201</t>
        </is>
      </c>
      <c r="C260" s="5" t="inlineStr">
        <is>
          <t>アトルバスタチンOD錠「サンド」</t>
        </is>
      </c>
      <c r="D260" s="5" t="inlineStr">
        <is>
          <t>卸A</t>
        </is>
      </c>
      <c r="E260" s="5" t="n">
        <v>6654</v>
      </c>
      <c r="F260" s="5" t="n">
        <v>94481</v>
      </c>
    </row>
    <row r="261">
      <c r="A261" s="4" t="inlineStr">
        <is>
          <t>2023-05</t>
        </is>
      </c>
      <c r="B261" s="4" t="inlineStr">
        <is>
          <t>SKU0201</t>
        </is>
      </c>
      <c r="C261" s="4" t="inlineStr">
        <is>
          <t>アトルバスタチンOD錠「サンド」</t>
        </is>
      </c>
      <c r="D261" s="4" t="inlineStr">
        <is>
          <t>卸B</t>
        </is>
      </c>
      <c r="E261" s="4" t="n">
        <v>6274</v>
      </c>
      <c r="F261" s="4" t="n">
        <v>89087</v>
      </c>
    </row>
    <row r="262">
      <c r="A262" s="5" t="inlineStr">
        <is>
          <t>2023-05</t>
        </is>
      </c>
      <c r="B262" s="5" t="inlineStr">
        <is>
          <t>SKU0201</t>
        </is>
      </c>
      <c r="C262" s="5" t="inlineStr">
        <is>
          <t>アトルバスタチンOD錠「サンド」</t>
        </is>
      </c>
      <c r="D262" s="5" t="inlineStr">
        <is>
          <t>卸C</t>
        </is>
      </c>
      <c r="E262" s="5" t="n">
        <v>4158</v>
      </c>
      <c r="F262" s="5" t="n">
        <v>59051</v>
      </c>
    </row>
    <row r="263">
      <c r="A263" s="4" t="inlineStr">
        <is>
          <t>2023-06</t>
        </is>
      </c>
      <c r="B263" s="4" t="inlineStr">
        <is>
          <t>SKU0201</t>
        </is>
      </c>
      <c r="C263" s="4" t="inlineStr">
        <is>
          <t>アトルバスタチンOD錠「サンド」</t>
        </is>
      </c>
      <c r="D263" s="4" t="inlineStr">
        <is>
          <t>卸A</t>
        </is>
      </c>
      <c r="E263" s="4" t="n">
        <v>7411</v>
      </c>
      <c r="F263" s="4" t="n">
        <v>105232</v>
      </c>
    </row>
    <row r="264">
      <c r="A264" s="5" t="inlineStr">
        <is>
          <t>2023-06</t>
        </is>
      </c>
      <c r="B264" s="5" t="inlineStr">
        <is>
          <t>SKU0201</t>
        </is>
      </c>
      <c r="C264" s="5" t="inlineStr">
        <is>
          <t>アトルバスタチンOD錠「サンド」</t>
        </is>
      </c>
      <c r="D264" s="5" t="inlineStr">
        <is>
          <t>卸B</t>
        </is>
      </c>
      <c r="E264" s="5" t="n">
        <v>6012</v>
      </c>
      <c r="F264" s="5" t="n">
        <v>85377</v>
      </c>
    </row>
    <row r="265">
      <c r="A265" s="4" t="inlineStr">
        <is>
          <t>2023-06</t>
        </is>
      </c>
      <c r="B265" s="4" t="inlineStr">
        <is>
          <t>SKU0201</t>
        </is>
      </c>
      <c r="C265" s="4" t="inlineStr">
        <is>
          <t>アトルバスタチンOD錠「サンド」</t>
        </is>
      </c>
      <c r="D265" s="4" t="inlineStr">
        <is>
          <t>卸C</t>
        </is>
      </c>
      <c r="E265" s="4" t="n">
        <v>4752</v>
      </c>
      <c r="F265" s="4" t="n">
        <v>67479</v>
      </c>
    </row>
    <row r="266">
      <c r="A266" s="5" t="inlineStr">
        <is>
          <t>2023-07</t>
        </is>
      </c>
      <c r="B266" s="5" t="inlineStr">
        <is>
          <t>SKU0201</t>
        </is>
      </c>
      <c r="C266" s="5" t="inlineStr">
        <is>
          <t>アトルバスタチンOD錠「サンド」</t>
        </is>
      </c>
      <c r="D266" s="5" t="inlineStr">
        <is>
          <t>卸A</t>
        </is>
      </c>
      <c r="E266" s="5" t="n">
        <v>6533</v>
      </c>
      <c r="F266" s="5" t="n">
        <v>92773</v>
      </c>
    </row>
    <row r="267">
      <c r="A267" s="4" t="inlineStr">
        <is>
          <t>2023-07</t>
        </is>
      </c>
      <c r="B267" s="4" t="inlineStr">
        <is>
          <t>SKU0201</t>
        </is>
      </c>
      <c r="C267" s="4" t="inlineStr">
        <is>
          <t>アトルバスタチンOD錠「サンド」</t>
        </is>
      </c>
      <c r="D267" s="4" t="inlineStr">
        <is>
          <t>卸B</t>
        </is>
      </c>
      <c r="E267" s="4" t="n">
        <v>5505</v>
      </c>
      <c r="F267" s="4" t="n">
        <v>78166</v>
      </c>
    </row>
    <row r="268">
      <c r="A268" s="5" t="inlineStr">
        <is>
          <t>2023-07</t>
        </is>
      </c>
      <c r="B268" s="5" t="inlineStr">
        <is>
          <t>SKU0201</t>
        </is>
      </c>
      <c r="C268" s="5" t="inlineStr">
        <is>
          <t>アトルバスタチンOD錠「サンド」</t>
        </is>
      </c>
      <c r="D268" s="5" t="inlineStr">
        <is>
          <t>卸C</t>
        </is>
      </c>
      <c r="E268" s="5" t="n">
        <v>4024</v>
      </c>
      <c r="F268" s="5" t="n">
        <v>57139</v>
      </c>
    </row>
    <row r="269">
      <c r="A269" s="4" t="inlineStr">
        <is>
          <t>2023-08</t>
        </is>
      </c>
      <c r="B269" s="4" t="inlineStr">
        <is>
          <t>SKU0201</t>
        </is>
      </c>
      <c r="C269" s="4" t="inlineStr">
        <is>
          <t>アトルバスタチンOD錠「サンド」</t>
        </is>
      </c>
      <c r="D269" s="4" t="inlineStr">
        <is>
          <t>卸A</t>
        </is>
      </c>
      <c r="E269" s="4" t="n">
        <v>7246</v>
      </c>
      <c r="F269" s="4" t="n">
        <v>102897</v>
      </c>
    </row>
    <row r="270">
      <c r="A270" s="5" t="inlineStr">
        <is>
          <t>2023-08</t>
        </is>
      </c>
      <c r="B270" s="5" t="inlineStr">
        <is>
          <t>SKU0201</t>
        </is>
      </c>
      <c r="C270" s="5" t="inlineStr">
        <is>
          <t>アトルバスタチンOD錠「サンド」</t>
        </is>
      </c>
      <c r="D270" s="5" t="inlineStr">
        <is>
          <t>卸B</t>
        </is>
      </c>
      <c r="E270" s="5" t="n">
        <v>6732</v>
      </c>
      <c r="F270" s="5" t="n">
        <v>95596</v>
      </c>
    </row>
    <row r="271">
      <c r="A271" s="4" t="inlineStr">
        <is>
          <t>2023-08</t>
        </is>
      </c>
      <c r="B271" s="4" t="inlineStr">
        <is>
          <t>SKU0201</t>
        </is>
      </c>
      <c r="C271" s="4" t="inlineStr">
        <is>
          <t>アトルバスタチンOD錠「サンド」</t>
        </is>
      </c>
      <c r="D271" s="4" t="inlineStr">
        <is>
          <t>卸C</t>
        </is>
      </c>
      <c r="E271" s="4" t="n">
        <v>3685</v>
      </c>
      <c r="F271" s="4" t="n">
        <v>52326</v>
      </c>
    </row>
    <row r="272">
      <c r="A272" s="5" t="inlineStr">
        <is>
          <t>2023-09</t>
        </is>
      </c>
      <c r="B272" s="5" t="inlineStr">
        <is>
          <t>SKU0201</t>
        </is>
      </c>
      <c r="C272" s="5" t="inlineStr">
        <is>
          <t>アトルバスタチンOD錠「サンド」</t>
        </is>
      </c>
      <c r="D272" s="5" t="inlineStr">
        <is>
          <t>卸A</t>
        </is>
      </c>
      <c r="E272" s="5" t="n">
        <v>7349</v>
      </c>
      <c r="F272" s="5" t="n">
        <v>104356</v>
      </c>
    </row>
    <row r="273">
      <c r="A273" s="4" t="inlineStr">
        <is>
          <t>2023-09</t>
        </is>
      </c>
      <c r="B273" s="4" t="inlineStr">
        <is>
          <t>SKU0201</t>
        </is>
      </c>
      <c r="C273" s="4" t="inlineStr">
        <is>
          <t>アトルバスタチンOD錠「サンド」</t>
        </is>
      </c>
      <c r="D273" s="4" t="inlineStr">
        <is>
          <t>卸B</t>
        </is>
      </c>
      <c r="E273" s="4" t="n">
        <v>6950</v>
      </c>
      <c r="F273" s="4" t="n">
        <v>98686</v>
      </c>
    </row>
    <row r="274">
      <c r="A274" s="5" t="inlineStr">
        <is>
          <t>2023-09</t>
        </is>
      </c>
      <c r="B274" s="5" t="inlineStr">
        <is>
          <t>SKU0201</t>
        </is>
      </c>
      <c r="C274" s="5" t="inlineStr">
        <is>
          <t>アトルバスタチンOD錠「サンド」</t>
        </is>
      </c>
      <c r="D274" s="5" t="inlineStr">
        <is>
          <t>卸C</t>
        </is>
      </c>
      <c r="E274" s="5" t="n">
        <v>4488</v>
      </c>
      <c r="F274" s="5" t="n">
        <v>63723</v>
      </c>
    </row>
    <row r="275">
      <c r="A275" s="4" t="inlineStr">
        <is>
          <t>2023-10</t>
        </is>
      </c>
      <c r="B275" s="4" t="inlineStr">
        <is>
          <t>SKU0201</t>
        </is>
      </c>
      <c r="C275" s="4" t="inlineStr">
        <is>
          <t>アトルバスタチンOD錠「サンド」</t>
        </is>
      </c>
      <c r="D275" s="4" t="inlineStr">
        <is>
          <t>卸A</t>
        </is>
      </c>
      <c r="E275" s="4" t="n">
        <v>7058</v>
      </c>
      <c r="F275" s="4" t="n">
        <v>100224</v>
      </c>
    </row>
    <row r="276">
      <c r="A276" s="5" t="inlineStr">
        <is>
          <t>2023-10</t>
        </is>
      </c>
      <c r="B276" s="5" t="inlineStr">
        <is>
          <t>SKU0201</t>
        </is>
      </c>
      <c r="C276" s="5" t="inlineStr">
        <is>
          <t>アトルバスタチンOD錠「サンド」</t>
        </is>
      </c>
      <c r="D276" s="5" t="inlineStr">
        <is>
          <t>卸B</t>
        </is>
      </c>
      <c r="E276" s="5" t="n">
        <v>6663</v>
      </c>
      <c r="F276" s="5" t="n">
        <v>94617</v>
      </c>
    </row>
    <row r="277">
      <c r="A277" s="4" t="inlineStr">
        <is>
          <t>2023-10</t>
        </is>
      </c>
      <c r="B277" s="4" t="inlineStr">
        <is>
          <t>SKU0201</t>
        </is>
      </c>
      <c r="C277" s="4" t="inlineStr">
        <is>
          <t>アトルバスタチンOD錠「サンド」</t>
        </is>
      </c>
      <c r="D277" s="4" t="inlineStr">
        <is>
          <t>卸C</t>
        </is>
      </c>
      <c r="E277" s="4" t="n">
        <v>5015</v>
      </c>
      <c r="F277" s="4" t="n">
        <v>71215</v>
      </c>
    </row>
    <row r="278">
      <c r="A278" s="5" t="inlineStr">
        <is>
          <t>2023-11</t>
        </is>
      </c>
      <c r="B278" s="5" t="inlineStr">
        <is>
          <t>SKU0201</t>
        </is>
      </c>
      <c r="C278" s="5" t="inlineStr">
        <is>
          <t>アトルバスタチンOD錠「サンド」</t>
        </is>
      </c>
      <c r="D278" s="5" t="inlineStr">
        <is>
          <t>卸A</t>
        </is>
      </c>
      <c r="E278" s="5" t="n">
        <v>6507</v>
      </c>
      <c r="F278" s="5" t="n">
        <v>92404</v>
      </c>
    </row>
    <row r="279">
      <c r="A279" s="4" t="inlineStr">
        <is>
          <t>2023-11</t>
        </is>
      </c>
      <c r="B279" s="4" t="inlineStr">
        <is>
          <t>SKU0201</t>
        </is>
      </c>
      <c r="C279" s="4" t="inlineStr">
        <is>
          <t>アトルバスタチンOD錠「サンド」</t>
        </is>
      </c>
      <c r="D279" s="4" t="inlineStr">
        <is>
          <t>卸B</t>
        </is>
      </c>
      <c r="E279" s="4" t="n">
        <v>7057</v>
      </c>
      <c r="F279" s="4" t="n">
        <v>100208</v>
      </c>
    </row>
    <row r="280">
      <c r="A280" s="5" t="inlineStr">
        <is>
          <t>2023-11</t>
        </is>
      </c>
      <c r="B280" s="5" t="inlineStr">
        <is>
          <t>SKU0201</t>
        </is>
      </c>
      <c r="C280" s="5" t="inlineStr">
        <is>
          <t>アトルバスタチンOD錠「サンド」</t>
        </is>
      </c>
      <c r="D280" s="5" t="inlineStr">
        <is>
          <t>卸C</t>
        </is>
      </c>
      <c r="E280" s="5" t="n">
        <v>4042</v>
      </c>
      <c r="F280" s="5" t="n">
        <v>57396</v>
      </c>
    </row>
    <row r="281">
      <c r="A281" s="4" t="inlineStr">
        <is>
          <t>2023-12</t>
        </is>
      </c>
      <c r="B281" s="4" t="inlineStr">
        <is>
          <t>SKU0201</t>
        </is>
      </c>
      <c r="C281" s="4" t="inlineStr">
        <is>
          <t>アトルバスタチンOD錠「サンド」</t>
        </is>
      </c>
      <c r="D281" s="4" t="inlineStr">
        <is>
          <t>卸A</t>
        </is>
      </c>
      <c r="E281" s="4" t="n">
        <v>8416</v>
      </c>
      <c r="F281" s="4" t="n">
        <v>119502</v>
      </c>
    </row>
    <row r="282">
      <c r="A282" s="5" t="inlineStr">
        <is>
          <t>2023-12</t>
        </is>
      </c>
      <c r="B282" s="5" t="inlineStr">
        <is>
          <t>SKU0201</t>
        </is>
      </c>
      <c r="C282" s="5" t="inlineStr">
        <is>
          <t>アトルバスタチンOD錠「サンド」</t>
        </is>
      </c>
      <c r="D282" s="5" t="inlineStr">
        <is>
          <t>卸B</t>
        </is>
      </c>
      <c r="E282" s="5" t="n">
        <v>7541</v>
      </c>
      <c r="F282" s="5" t="n">
        <v>107089</v>
      </c>
    </row>
    <row r="283">
      <c r="A283" s="4" t="inlineStr">
        <is>
          <t>2023-12</t>
        </is>
      </c>
      <c r="B283" s="4" t="inlineStr">
        <is>
          <t>SKU0201</t>
        </is>
      </c>
      <c r="C283" s="4" t="inlineStr">
        <is>
          <t>アトルバスタチンOD錠「サンド」</t>
        </is>
      </c>
      <c r="D283" s="4" t="inlineStr">
        <is>
          <t>卸C</t>
        </is>
      </c>
      <c r="E283" s="4" t="n">
        <v>4986</v>
      </c>
      <c r="F283" s="4" t="n">
        <v>70794</v>
      </c>
    </row>
    <row r="284">
      <c r="A284" s="5" t="inlineStr">
        <is>
          <t>2024-01</t>
        </is>
      </c>
      <c r="B284" s="5" t="inlineStr">
        <is>
          <t>SKU0201</t>
        </is>
      </c>
      <c r="C284" s="5" t="inlineStr">
        <is>
          <t>アトルバスタチンOD錠「サンド」</t>
        </is>
      </c>
      <c r="D284" s="5" t="inlineStr">
        <is>
          <t>卸A</t>
        </is>
      </c>
      <c r="E284" s="5" t="n">
        <v>8846</v>
      </c>
      <c r="F284" s="5" t="n">
        <v>125611</v>
      </c>
    </row>
    <row r="285">
      <c r="A285" s="4" t="inlineStr">
        <is>
          <t>2024-01</t>
        </is>
      </c>
      <c r="B285" s="4" t="inlineStr">
        <is>
          <t>SKU0201</t>
        </is>
      </c>
      <c r="C285" s="4" t="inlineStr">
        <is>
          <t>アトルバスタチンOD錠「サンド」</t>
        </is>
      </c>
      <c r="D285" s="4" t="inlineStr">
        <is>
          <t>卸B</t>
        </is>
      </c>
      <c r="E285" s="4" t="n">
        <v>6571</v>
      </c>
      <c r="F285" s="4" t="n">
        <v>93302</v>
      </c>
    </row>
    <row r="286">
      <c r="A286" s="5" t="inlineStr">
        <is>
          <t>2024-01</t>
        </is>
      </c>
      <c r="B286" s="5" t="inlineStr">
        <is>
          <t>SKU0201</t>
        </is>
      </c>
      <c r="C286" s="5" t="inlineStr">
        <is>
          <t>アトルバスタチンOD錠「サンド」</t>
        </is>
      </c>
      <c r="D286" s="5" t="inlineStr">
        <is>
          <t>卸C</t>
        </is>
      </c>
      <c r="E286" s="5" t="n">
        <v>4988</v>
      </c>
      <c r="F286" s="5" t="n">
        <v>70825</v>
      </c>
    </row>
    <row r="287">
      <c r="A287" s="4" t="inlineStr">
        <is>
          <t>2024-02</t>
        </is>
      </c>
      <c r="B287" s="4" t="inlineStr">
        <is>
          <t>SKU0201</t>
        </is>
      </c>
      <c r="C287" s="4" t="inlineStr">
        <is>
          <t>アトルバスタチンOD錠「サンド」</t>
        </is>
      </c>
      <c r="D287" s="4" t="inlineStr">
        <is>
          <t>卸A</t>
        </is>
      </c>
      <c r="E287" s="4" t="n">
        <v>7073</v>
      </c>
      <c r="F287" s="4" t="n">
        <v>100443</v>
      </c>
    </row>
    <row r="288">
      <c r="A288" s="5" t="inlineStr">
        <is>
          <t>2024-02</t>
        </is>
      </c>
      <c r="B288" s="5" t="inlineStr">
        <is>
          <t>SKU0201</t>
        </is>
      </c>
      <c r="C288" s="5" t="inlineStr">
        <is>
          <t>アトルバスタチンOD錠「サンド」</t>
        </is>
      </c>
      <c r="D288" s="5" t="inlineStr">
        <is>
          <t>卸B</t>
        </is>
      </c>
      <c r="E288" s="5" t="n">
        <v>6713</v>
      </c>
      <c r="F288" s="5" t="n">
        <v>95322</v>
      </c>
    </row>
    <row r="289">
      <c r="A289" s="4" t="inlineStr">
        <is>
          <t>2024-02</t>
        </is>
      </c>
      <c r="B289" s="4" t="inlineStr">
        <is>
          <t>SKU0201</t>
        </is>
      </c>
      <c r="C289" s="4" t="inlineStr">
        <is>
          <t>アトルバスタチンOD錠「サンド」</t>
        </is>
      </c>
      <c r="D289" s="4" t="inlineStr">
        <is>
          <t>卸C</t>
        </is>
      </c>
      <c r="E289" s="4" t="n">
        <v>4392</v>
      </c>
      <c r="F289" s="4" t="n">
        <v>62368</v>
      </c>
    </row>
    <row r="290">
      <c r="A290" s="5" t="inlineStr">
        <is>
          <t>2024-03</t>
        </is>
      </c>
      <c r="B290" s="5" t="inlineStr">
        <is>
          <t>SKU0201</t>
        </is>
      </c>
      <c r="C290" s="5" t="inlineStr">
        <is>
          <t>アトルバスタチンOD錠「サンド」</t>
        </is>
      </c>
      <c r="D290" s="5" t="inlineStr">
        <is>
          <t>卸A</t>
        </is>
      </c>
      <c r="E290" s="5" t="n">
        <v>10235</v>
      </c>
      <c r="F290" s="5" t="n">
        <v>145333</v>
      </c>
    </row>
    <row r="291">
      <c r="A291" s="4" t="inlineStr">
        <is>
          <t>2024-03</t>
        </is>
      </c>
      <c r="B291" s="4" t="inlineStr">
        <is>
          <t>SKU0201</t>
        </is>
      </c>
      <c r="C291" s="4" t="inlineStr">
        <is>
          <t>アトルバスタチンOD錠「サンド」</t>
        </is>
      </c>
      <c r="D291" s="4" t="inlineStr">
        <is>
          <t>卸B</t>
        </is>
      </c>
      <c r="E291" s="4" t="n">
        <v>8834</v>
      </c>
      <c r="F291" s="4" t="n">
        <v>125443</v>
      </c>
    </row>
    <row r="292">
      <c r="A292" s="5" t="inlineStr">
        <is>
          <t>2024-03</t>
        </is>
      </c>
      <c r="B292" s="5" t="inlineStr">
        <is>
          <t>SKU0201</t>
        </is>
      </c>
      <c r="C292" s="5" t="inlineStr">
        <is>
          <t>アトルバスタチンOD錠「サンド」</t>
        </is>
      </c>
      <c r="D292" s="5" t="inlineStr">
        <is>
          <t>卸C</t>
        </is>
      </c>
      <c r="E292" s="5" t="n">
        <v>5539</v>
      </c>
      <c r="F292" s="5" t="n">
        <v>78654</v>
      </c>
    </row>
    <row r="293">
      <c r="A293" s="4" t="inlineStr">
        <is>
          <t>2024-04</t>
        </is>
      </c>
      <c r="B293" s="4" t="inlineStr">
        <is>
          <t>SKU0201</t>
        </is>
      </c>
      <c r="C293" s="4" t="inlineStr">
        <is>
          <t>アトルバスタチンOD錠「サンド」</t>
        </is>
      </c>
      <c r="D293" s="4" t="inlineStr">
        <is>
          <t>卸A</t>
        </is>
      </c>
      <c r="E293" s="4" t="n">
        <v>5132</v>
      </c>
      <c r="F293" s="4" t="n">
        <v>68873</v>
      </c>
    </row>
    <row r="294">
      <c r="A294" s="5" t="inlineStr">
        <is>
          <t>2024-04</t>
        </is>
      </c>
      <c r="B294" s="5" t="inlineStr">
        <is>
          <t>SKU0201</t>
        </is>
      </c>
      <c r="C294" s="5" t="inlineStr">
        <is>
          <t>アトルバスタチンOD錠「サンド」</t>
        </is>
      </c>
      <c r="D294" s="5" t="inlineStr">
        <is>
          <t>卸B</t>
        </is>
      </c>
      <c r="E294" s="5" t="n">
        <v>4970</v>
      </c>
      <c r="F294" s="5" t="n">
        <v>66687</v>
      </c>
    </row>
    <row r="295">
      <c r="A295" s="4" t="inlineStr">
        <is>
          <t>2024-04</t>
        </is>
      </c>
      <c r="B295" s="4" t="inlineStr">
        <is>
          <t>SKU0201</t>
        </is>
      </c>
      <c r="C295" s="4" t="inlineStr">
        <is>
          <t>アトルバスタチンOD錠「サンド」</t>
        </is>
      </c>
      <c r="D295" s="4" t="inlineStr">
        <is>
          <t>卸C</t>
        </is>
      </c>
      <c r="E295" s="4" t="n">
        <v>3315</v>
      </c>
      <c r="F295" s="4" t="n">
        <v>44482</v>
      </c>
    </row>
    <row r="296">
      <c r="A296" s="5" t="inlineStr">
        <is>
          <t>2024-05</t>
        </is>
      </c>
      <c r="B296" s="5" t="inlineStr">
        <is>
          <t>SKU0201</t>
        </is>
      </c>
      <c r="C296" s="5" t="inlineStr">
        <is>
          <t>アトルバスタチンOD錠「サンド」</t>
        </is>
      </c>
      <c r="D296" s="5" t="inlineStr">
        <is>
          <t>卸A</t>
        </is>
      </c>
      <c r="E296" s="5" t="n">
        <v>5967</v>
      </c>
      <c r="F296" s="5" t="n">
        <v>80071</v>
      </c>
    </row>
    <row r="297">
      <c r="A297" s="4" t="inlineStr">
        <is>
          <t>2024-05</t>
        </is>
      </c>
      <c r="B297" s="4" t="inlineStr">
        <is>
          <t>SKU0201</t>
        </is>
      </c>
      <c r="C297" s="4" t="inlineStr">
        <is>
          <t>アトルバスタチンOD錠「サンド」</t>
        </is>
      </c>
      <c r="D297" s="4" t="inlineStr">
        <is>
          <t>卸B</t>
        </is>
      </c>
      <c r="E297" s="4" t="n">
        <v>5356</v>
      </c>
      <c r="F297" s="4" t="n">
        <v>71869</v>
      </c>
    </row>
    <row r="298">
      <c r="A298" s="5" t="inlineStr">
        <is>
          <t>2024-05</t>
        </is>
      </c>
      <c r="B298" s="5" t="inlineStr">
        <is>
          <t>SKU0201</t>
        </is>
      </c>
      <c r="C298" s="5" t="inlineStr">
        <is>
          <t>アトルバスタチンOD錠「サンド」</t>
        </is>
      </c>
      <c r="D298" s="5" t="inlineStr">
        <is>
          <t>卸C</t>
        </is>
      </c>
      <c r="E298" s="5" t="n">
        <v>3550</v>
      </c>
      <c r="F298" s="5" t="n">
        <v>47632</v>
      </c>
    </row>
    <row r="299">
      <c r="A299" s="4" t="inlineStr">
        <is>
          <t>2024-06</t>
        </is>
      </c>
      <c r="B299" s="4" t="inlineStr">
        <is>
          <t>SKU0201</t>
        </is>
      </c>
      <c r="C299" s="4" t="inlineStr">
        <is>
          <t>アトルバスタチンOD錠「サンド」</t>
        </is>
      </c>
      <c r="D299" s="4" t="inlineStr">
        <is>
          <t>卸A</t>
        </is>
      </c>
      <c r="E299" s="4" t="n">
        <v>7459</v>
      </c>
      <c r="F299" s="4" t="n">
        <v>100099</v>
      </c>
    </row>
    <row r="300">
      <c r="A300" s="5" t="inlineStr">
        <is>
          <t>2024-06</t>
        </is>
      </c>
      <c r="B300" s="5" t="inlineStr">
        <is>
          <t>SKU0201</t>
        </is>
      </c>
      <c r="C300" s="5" t="inlineStr">
        <is>
          <t>アトルバスタチンOD錠「サンド」</t>
        </is>
      </c>
      <c r="D300" s="5" t="inlineStr">
        <is>
          <t>卸B</t>
        </is>
      </c>
      <c r="E300" s="5" t="n">
        <v>7066</v>
      </c>
      <c r="F300" s="5" t="n">
        <v>94814</v>
      </c>
    </row>
    <row r="301">
      <c r="A301" s="4" t="inlineStr">
        <is>
          <t>2024-06</t>
        </is>
      </c>
      <c r="B301" s="4" t="inlineStr">
        <is>
          <t>SKU0201</t>
        </is>
      </c>
      <c r="C301" s="4" t="inlineStr">
        <is>
          <t>アトルバスタチンOD錠「サンド」</t>
        </is>
      </c>
      <c r="D301" s="4" t="inlineStr">
        <is>
          <t>卸C</t>
        </is>
      </c>
      <c r="E301" s="4" t="n">
        <v>4796</v>
      </c>
      <c r="F301" s="4" t="n">
        <v>64361</v>
      </c>
    </row>
    <row r="302">
      <c r="A302" s="5" t="inlineStr">
        <is>
          <t>2024-07</t>
        </is>
      </c>
      <c r="B302" s="5" t="inlineStr">
        <is>
          <t>SKU0201</t>
        </is>
      </c>
      <c r="C302" s="5" t="inlineStr">
        <is>
          <t>アトルバスタチンOD錠「サンド」</t>
        </is>
      </c>
      <c r="D302" s="5" t="inlineStr">
        <is>
          <t>卸A</t>
        </is>
      </c>
      <c r="E302" s="5" t="n">
        <v>7966</v>
      </c>
      <c r="F302" s="5" t="n">
        <v>106902</v>
      </c>
    </row>
    <row r="303">
      <c r="A303" s="4" t="inlineStr">
        <is>
          <t>2024-07</t>
        </is>
      </c>
      <c r="B303" s="4" t="inlineStr">
        <is>
          <t>SKU0201</t>
        </is>
      </c>
      <c r="C303" s="4" t="inlineStr">
        <is>
          <t>アトルバスタチンOD錠「サンド」</t>
        </is>
      </c>
      <c r="D303" s="4" t="inlineStr">
        <is>
          <t>卸B</t>
        </is>
      </c>
      <c r="E303" s="4" t="n">
        <v>6281</v>
      </c>
      <c r="F303" s="4" t="n">
        <v>84289</v>
      </c>
    </row>
    <row r="304">
      <c r="A304" s="5" t="inlineStr">
        <is>
          <t>2024-07</t>
        </is>
      </c>
      <c r="B304" s="5" t="inlineStr">
        <is>
          <t>SKU0201</t>
        </is>
      </c>
      <c r="C304" s="5" t="inlineStr">
        <is>
          <t>アトルバスタチンOD錠「サンド」</t>
        </is>
      </c>
      <c r="D304" s="5" t="inlineStr">
        <is>
          <t>卸C</t>
        </is>
      </c>
      <c r="E304" s="5" t="n">
        <v>4469</v>
      </c>
      <c r="F304" s="5" t="n">
        <v>59970</v>
      </c>
    </row>
    <row r="305">
      <c r="A305" s="4" t="inlineStr">
        <is>
          <t>2024-08</t>
        </is>
      </c>
      <c r="B305" s="4" t="inlineStr">
        <is>
          <t>SKU0201</t>
        </is>
      </c>
      <c r="C305" s="4" t="inlineStr">
        <is>
          <t>アトルバスタチンOD錠「サンド」</t>
        </is>
      </c>
      <c r="D305" s="4" t="inlineStr">
        <is>
          <t>卸A</t>
        </is>
      </c>
      <c r="E305" s="4" t="n">
        <v>8235</v>
      </c>
      <c r="F305" s="4" t="n">
        <v>110503</v>
      </c>
    </row>
    <row r="306">
      <c r="A306" s="5" t="inlineStr">
        <is>
          <t>2024-08</t>
        </is>
      </c>
      <c r="B306" s="5" t="inlineStr">
        <is>
          <t>SKU0201</t>
        </is>
      </c>
      <c r="C306" s="5" t="inlineStr">
        <is>
          <t>アトルバスタチンOD錠「サンド」</t>
        </is>
      </c>
      <c r="D306" s="5" t="inlineStr">
        <is>
          <t>卸B</t>
        </is>
      </c>
      <c r="E306" s="5" t="n">
        <v>6156</v>
      </c>
      <c r="F306" s="5" t="n">
        <v>82614</v>
      </c>
    </row>
    <row r="307">
      <c r="A307" s="4" t="inlineStr">
        <is>
          <t>2024-08</t>
        </is>
      </c>
      <c r="B307" s="4" t="inlineStr">
        <is>
          <t>SKU0201</t>
        </is>
      </c>
      <c r="C307" s="4" t="inlineStr">
        <is>
          <t>アトルバスタチンOD錠「サンド」</t>
        </is>
      </c>
      <c r="D307" s="4" t="inlineStr">
        <is>
          <t>卸C</t>
        </is>
      </c>
      <c r="E307" s="4" t="n">
        <v>4715</v>
      </c>
      <c r="F307" s="4" t="n">
        <v>63268</v>
      </c>
    </row>
    <row r="308">
      <c r="A308" s="5" t="inlineStr">
        <is>
          <t>2024-09</t>
        </is>
      </c>
      <c r="B308" s="5" t="inlineStr">
        <is>
          <t>SKU0201</t>
        </is>
      </c>
      <c r="C308" s="5" t="inlineStr">
        <is>
          <t>アトルバスタチンOD錠「サンド」</t>
        </is>
      </c>
      <c r="D308" s="5" t="inlineStr">
        <is>
          <t>卸A</t>
        </is>
      </c>
      <c r="E308" s="5" t="n">
        <v>7106</v>
      </c>
      <c r="F308" s="5" t="n">
        <v>95355</v>
      </c>
    </row>
    <row r="309">
      <c r="A309" s="4" t="inlineStr">
        <is>
          <t>2024-09</t>
        </is>
      </c>
      <c r="B309" s="4" t="inlineStr">
        <is>
          <t>SKU0201</t>
        </is>
      </c>
      <c r="C309" s="4" t="inlineStr">
        <is>
          <t>アトルバスタチンOD錠「サンド」</t>
        </is>
      </c>
      <c r="D309" s="4" t="inlineStr">
        <is>
          <t>卸B</t>
        </is>
      </c>
      <c r="E309" s="4" t="n">
        <v>7424</v>
      </c>
      <c r="F309" s="4" t="n">
        <v>99616</v>
      </c>
    </row>
    <row r="310">
      <c r="A310" s="5" t="inlineStr">
        <is>
          <t>2024-09</t>
        </is>
      </c>
      <c r="B310" s="5" t="inlineStr">
        <is>
          <t>SKU0201</t>
        </is>
      </c>
      <c r="C310" s="5" t="inlineStr">
        <is>
          <t>アトルバスタチンOD錠「サンド」</t>
        </is>
      </c>
      <c r="D310" s="5" t="inlineStr">
        <is>
          <t>卸C</t>
        </is>
      </c>
      <c r="E310" s="5" t="n">
        <v>4703</v>
      </c>
      <c r="F310" s="5" t="n">
        <v>63109</v>
      </c>
    </row>
    <row r="311">
      <c r="A311" s="4" t="inlineStr">
        <is>
          <t>2024-10</t>
        </is>
      </c>
      <c r="B311" s="4" t="inlineStr">
        <is>
          <t>SKU0201</t>
        </is>
      </c>
      <c r="C311" s="4" t="inlineStr">
        <is>
          <t>アトルバスタチンOD錠「サンド」</t>
        </is>
      </c>
      <c r="D311" s="4" t="inlineStr">
        <is>
          <t>卸A</t>
        </is>
      </c>
      <c r="E311" s="4" t="n">
        <v>8140</v>
      </c>
      <c r="F311" s="4" t="n">
        <v>109227</v>
      </c>
    </row>
    <row r="312">
      <c r="A312" s="5" t="inlineStr">
        <is>
          <t>2024-10</t>
        </is>
      </c>
      <c r="B312" s="5" t="inlineStr">
        <is>
          <t>SKU0201</t>
        </is>
      </c>
      <c r="C312" s="5" t="inlineStr">
        <is>
          <t>アトルバスタチンOD錠「サンド」</t>
        </is>
      </c>
      <c r="D312" s="5" t="inlineStr">
        <is>
          <t>卸B</t>
        </is>
      </c>
      <c r="E312" s="5" t="n">
        <v>6270</v>
      </c>
      <c r="F312" s="5" t="n">
        <v>84138</v>
      </c>
    </row>
    <row r="313">
      <c r="A313" s="4" t="inlineStr">
        <is>
          <t>2024-10</t>
        </is>
      </c>
      <c r="B313" s="4" t="inlineStr">
        <is>
          <t>SKU0201</t>
        </is>
      </c>
      <c r="C313" s="4" t="inlineStr">
        <is>
          <t>アトルバスタチンOD錠「サンド」</t>
        </is>
      </c>
      <c r="D313" s="4" t="inlineStr">
        <is>
          <t>卸C</t>
        </is>
      </c>
      <c r="E313" s="4" t="n">
        <v>4573</v>
      </c>
      <c r="F313" s="4" t="n">
        <v>61369</v>
      </c>
    </row>
    <row r="314">
      <c r="A314" s="5" t="inlineStr">
        <is>
          <t>2024-11</t>
        </is>
      </c>
      <c r="B314" s="5" t="inlineStr">
        <is>
          <t>SKU0201</t>
        </is>
      </c>
      <c r="C314" s="5" t="inlineStr">
        <is>
          <t>アトルバスタチンOD錠「サンド」</t>
        </is>
      </c>
      <c r="D314" s="5" t="inlineStr">
        <is>
          <t>卸A</t>
        </is>
      </c>
      <c r="E314" s="5" t="n">
        <v>7216</v>
      </c>
      <c r="F314" s="5" t="n">
        <v>96827</v>
      </c>
    </row>
    <row r="315">
      <c r="A315" s="4" t="inlineStr">
        <is>
          <t>2024-11</t>
        </is>
      </c>
      <c r="B315" s="4" t="inlineStr">
        <is>
          <t>SKU0201</t>
        </is>
      </c>
      <c r="C315" s="4" t="inlineStr">
        <is>
          <t>アトルバスタチンOD錠「サンド」</t>
        </is>
      </c>
      <c r="D315" s="4" t="inlineStr">
        <is>
          <t>卸B</t>
        </is>
      </c>
      <c r="E315" s="4" t="n">
        <v>7359</v>
      </c>
      <c r="F315" s="4" t="n">
        <v>98747</v>
      </c>
    </row>
    <row r="316">
      <c r="A316" s="5" t="inlineStr">
        <is>
          <t>2024-11</t>
        </is>
      </c>
      <c r="B316" s="5" t="inlineStr">
        <is>
          <t>SKU0201</t>
        </is>
      </c>
      <c r="C316" s="5" t="inlineStr">
        <is>
          <t>アトルバスタチンOD錠「サンド」</t>
        </is>
      </c>
      <c r="D316" s="5" t="inlineStr">
        <is>
          <t>卸C</t>
        </is>
      </c>
      <c r="E316" s="5" t="n">
        <v>4778</v>
      </c>
      <c r="F316" s="5" t="n">
        <v>64118</v>
      </c>
    </row>
    <row r="317">
      <c r="A317" s="4" t="inlineStr">
        <is>
          <t>2024-12</t>
        </is>
      </c>
      <c r="B317" s="4" t="inlineStr">
        <is>
          <t>SKU0201</t>
        </is>
      </c>
      <c r="C317" s="4" t="inlineStr">
        <is>
          <t>アトルバスタチンOD錠「サンド」</t>
        </is>
      </c>
      <c r="D317" s="4" t="inlineStr">
        <is>
          <t>卸A</t>
        </is>
      </c>
      <c r="E317" s="4" t="n">
        <v>7220</v>
      </c>
      <c r="F317" s="4" t="n">
        <v>96885</v>
      </c>
    </row>
    <row r="318">
      <c r="A318" s="5" t="inlineStr">
        <is>
          <t>2024-12</t>
        </is>
      </c>
      <c r="B318" s="5" t="inlineStr">
        <is>
          <t>SKU0201</t>
        </is>
      </c>
      <c r="C318" s="5" t="inlineStr">
        <is>
          <t>アトルバスタチンOD錠「サンド」</t>
        </is>
      </c>
      <c r="D318" s="5" t="inlineStr">
        <is>
          <t>卸B</t>
        </is>
      </c>
      <c r="E318" s="5" t="n">
        <v>5400</v>
      </c>
      <c r="F318" s="5" t="n">
        <v>72462</v>
      </c>
    </row>
    <row r="319">
      <c r="A319" s="4" t="inlineStr">
        <is>
          <t>2024-12</t>
        </is>
      </c>
      <c r="B319" s="4" t="inlineStr">
        <is>
          <t>SKU0201</t>
        </is>
      </c>
      <c r="C319" s="4" t="inlineStr">
        <is>
          <t>アトルバスタチンOD錠「サンド」</t>
        </is>
      </c>
      <c r="D319" s="4" t="inlineStr">
        <is>
          <t>卸C</t>
        </is>
      </c>
      <c r="E319" s="4" t="n">
        <v>4392</v>
      </c>
      <c r="F319" s="4" t="n">
        <v>58934</v>
      </c>
    </row>
    <row r="320">
      <c r="A320" s="5" t="inlineStr">
        <is>
          <t>2025-01</t>
        </is>
      </c>
      <c r="B320" s="5" t="inlineStr">
        <is>
          <t>SKU0201</t>
        </is>
      </c>
      <c r="C320" s="5" t="inlineStr">
        <is>
          <t>アトルバスタチンOD錠「サンド」</t>
        </is>
      </c>
      <c r="D320" s="5" t="inlineStr">
        <is>
          <t>卸A</t>
        </is>
      </c>
      <c r="E320" s="5" t="n">
        <v>7603</v>
      </c>
      <c r="F320" s="5" t="n">
        <v>102020</v>
      </c>
    </row>
    <row r="321">
      <c r="A321" s="4" t="inlineStr">
        <is>
          <t>2025-01</t>
        </is>
      </c>
      <c r="B321" s="4" t="inlineStr">
        <is>
          <t>SKU0201</t>
        </is>
      </c>
      <c r="C321" s="4" t="inlineStr">
        <is>
          <t>アトルバスタチンOD錠「サンド」</t>
        </is>
      </c>
      <c r="D321" s="4" t="inlineStr">
        <is>
          <t>卸B</t>
        </is>
      </c>
      <c r="E321" s="4" t="n">
        <v>6035</v>
      </c>
      <c r="F321" s="4" t="n">
        <v>80983</v>
      </c>
    </row>
    <row r="322">
      <c r="A322" s="5" t="inlineStr">
        <is>
          <t>2025-01</t>
        </is>
      </c>
      <c r="B322" s="5" t="inlineStr">
        <is>
          <t>SKU0201</t>
        </is>
      </c>
      <c r="C322" s="5" t="inlineStr">
        <is>
          <t>アトルバスタチンOD錠「サンド」</t>
        </is>
      </c>
      <c r="D322" s="5" t="inlineStr">
        <is>
          <t>卸C</t>
        </is>
      </c>
      <c r="E322" s="5" t="n">
        <v>4073</v>
      </c>
      <c r="F322" s="5" t="n">
        <v>54654</v>
      </c>
    </row>
    <row r="323">
      <c r="A323" s="4" t="inlineStr">
        <is>
          <t>2025-02</t>
        </is>
      </c>
      <c r="B323" s="4" t="inlineStr">
        <is>
          <t>SKU0201</t>
        </is>
      </c>
      <c r="C323" s="4" t="inlineStr">
        <is>
          <t>アトルバスタチンOD錠「サンド」</t>
        </is>
      </c>
      <c r="D323" s="4" t="inlineStr">
        <is>
          <t>卸A</t>
        </is>
      </c>
      <c r="E323" s="4" t="n">
        <v>9001</v>
      </c>
      <c r="F323" s="4" t="n">
        <v>120786</v>
      </c>
    </row>
    <row r="324">
      <c r="A324" s="5" t="inlineStr">
        <is>
          <t>2025-02</t>
        </is>
      </c>
      <c r="B324" s="5" t="inlineStr">
        <is>
          <t>SKU0201</t>
        </is>
      </c>
      <c r="C324" s="5" t="inlineStr">
        <is>
          <t>アトルバスタチンOD錠「サンド」</t>
        </is>
      </c>
      <c r="D324" s="5" t="inlineStr">
        <is>
          <t>卸B</t>
        </is>
      </c>
      <c r="E324" s="5" t="n">
        <v>6930</v>
      </c>
      <c r="F324" s="5" t="n">
        <v>93000</v>
      </c>
    </row>
    <row r="325">
      <c r="A325" s="4" t="inlineStr">
        <is>
          <t>2025-02</t>
        </is>
      </c>
      <c r="B325" s="4" t="inlineStr">
        <is>
          <t>SKU0201</t>
        </is>
      </c>
      <c r="C325" s="4" t="inlineStr">
        <is>
          <t>アトルバスタチンOD錠「サンド」</t>
        </is>
      </c>
      <c r="D325" s="4" t="inlineStr">
        <is>
          <t>卸C</t>
        </is>
      </c>
      <c r="E325" s="4" t="n">
        <v>4579</v>
      </c>
      <c r="F325" s="4" t="n">
        <v>61439</v>
      </c>
    </row>
    <row r="326">
      <c r="A326" s="5" t="inlineStr">
        <is>
          <t>2025-03</t>
        </is>
      </c>
      <c r="B326" s="5" t="inlineStr">
        <is>
          <t>SKU0201</t>
        </is>
      </c>
      <c r="C326" s="5" t="inlineStr">
        <is>
          <t>アトルバスタチンOD錠「サンド」</t>
        </is>
      </c>
      <c r="D326" s="5" t="inlineStr">
        <is>
          <t>卸A</t>
        </is>
      </c>
      <c r="E326" s="5" t="n">
        <v>10381</v>
      </c>
      <c r="F326" s="5" t="n">
        <v>139308</v>
      </c>
    </row>
    <row r="327">
      <c r="A327" s="4" t="inlineStr">
        <is>
          <t>2025-03</t>
        </is>
      </c>
      <c r="B327" s="4" t="inlineStr">
        <is>
          <t>SKU0201</t>
        </is>
      </c>
      <c r="C327" s="4" t="inlineStr">
        <is>
          <t>アトルバスタチンOD錠「サンド」</t>
        </is>
      </c>
      <c r="D327" s="4" t="inlineStr">
        <is>
          <t>卸B</t>
        </is>
      </c>
      <c r="E327" s="4" t="n">
        <v>10499</v>
      </c>
      <c r="F327" s="4" t="n">
        <v>140887</v>
      </c>
    </row>
    <row r="328">
      <c r="A328" s="5" t="inlineStr">
        <is>
          <t>2025-03</t>
        </is>
      </c>
      <c r="B328" s="5" t="inlineStr">
        <is>
          <t>SKU0201</t>
        </is>
      </c>
      <c r="C328" s="5" t="inlineStr">
        <is>
          <t>アトルバスタチンOD錠「サンド」</t>
        </is>
      </c>
      <c r="D328" s="5" t="inlineStr">
        <is>
          <t>卸C</t>
        </is>
      </c>
      <c r="E328" s="5" t="n">
        <v>5708</v>
      </c>
      <c r="F328" s="5" t="n">
        <v>76595</v>
      </c>
    </row>
    <row r="329">
      <c r="A329" s="4" t="inlineStr">
        <is>
          <t>2025-04</t>
        </is>
      </c>
      <c r="B329" s="4" t="inlineStr">
        <is>
          <t>SKU0201</t>
        </is>
      </c>
      <c r="C329" s="4" t="inlineStr">
        <is>
          <t>アトルバスタチンOD錠「サンド」</t>
        </is>
      </c>
      <c r="D329" s="4" t="inlineStr">
        <is>
          <t>卸A</t>
        </is>
      </c>
      <c r="E329" s="4" t="n">
        <v>4052</v>
      </c>
      <c r="F329" s="4" t="n">
        <v>52743</v>
      </c>
    </row>
    <row r="330">
      <c r="A330" s="5" t="inlineStr">
        <is>
          <t>2025-04</t>
        </is>
      </c>
      <c r="B330" s="5" t="inlineStr">
        <is>
          <t>SKU0201</t>
        </is>
      </c>
      <c r="C330" s="5" t="inlineStr">
        <is>
          <t>アトルバスタチンOD錠「サンド」</t>
        </is>
      </c>
      <c r="D330" s="5" t="inlineStr">
        <is>
          <t>卸B</t>
        </is>
      </c>
      <c r="E330" s="5" t="n">
        <v>3649</v>
      </c>
      <c r="F330" s="5" t="n">
        <v>47494</v>
      </c>
    </row>
    <row r="331">
      <c r="A331" s="4" t="inlineStr">
        <is>
          <t>2025-04</t>
        </is>
      </c>
      <c r="B331" s="4" t="inlineStr">
        <is>
          <t>SKU0201</t>
        </is>
      </c>
      <c r="C331" s="4" t="inlineStr">
        <is>
          <t>アトルバスタチンOD錠「サンド」</t>
        </is>
      </c>
      <c r="D331" s="4" t="inlineStr">
        <is>
          <t>卸C</t>
        </is>
      </c>
      <c r="E331" s="4" t="n">
        <v>2539</v>
      </c>
      <c r="F331" s="4" t="n">
        <v>33047</v>
      </c>
    </row>
    <row r="332">
      <c r="A332" s="5" t="inlineStr">
        <is>
          <t>2025-05</t>
        </is>
      </c>
      <c r="B332" s="5" t="inlineStr">
        <is>
          <t>SKU0201</t>
        </is>
      </c>
      <c r="C332" s="5" t="inlineStr">
        <is>
          <t>アトルバスタチンOD錠「サンド」</t>
        </is>
      </c>
      <c r="D332" s="5" t="inlineStr">
        <is>
          <t>卸A</t>
        </is>
      </c>
      <c r="E332" s="5" t="n">
        <v>4886</v>
      </c>
      <c r="F332" s="5" t="n">
        <v>63601</v>
      </c>
    </row>
    <row r="333">
      <c r="A333" s="4" t="inlineStr">
        <is>
          <t>2025-05</t>
        </is>
      </c>
      <c r="B333" s="4" t="inlineStr">
        <is>
          <t>SKU0201</t>
        </is>
      </c>
      <c r="C333" s="4" t="inlineStr">
        <is>
          <t>アトルバスタチンOD錠「サンド」</t>
        </is>
      </c>
      <c r="D333" s="4" t="inlineStr">
        <is>
          <t>卸B</t>
        </is>
      </c>
      <c r="E333" s="4" t="n">
        <v>4730</v>
      </c>
      <c r="F333" s="4" t="n">
        <v>61566</v>
      </c>
    </row>
    <row r="334">
      <c r="A334" s="5" t="inlineStr">
        <is>
          <t>2025-05</t>
        </is>
      </c>
      <c r="B334" s="5" t="inlineStr">
        <is>
          <t>SKU0201</t>
        </is>
      </c>
      <c r="C334" s="5" t="inlineStr">
        <is>
          <t>アトルバスタチンOD錠「サンド」</t>
        </is>
      </c>
      <c r="D334" s="5" t="inlineStr">
        <is>
          <t>卸C</t>
        </is>
      </c>
      <c r="E334" s="5" t="n">
        <v>3100</v>
      </c>
      <c r="F334" s="5" t="n">
        <v>40352</v>
      </c>
    </row>
    <row r="335">
      <c r="A335" s="4" t="inlineStr">
        <is>
          <t>2025-06</t>
        </is>
      </c>
      <c r="B335" s="4" t="inlineStr">
        <is>
          <t>SKU0201</t>
        </is>
      </c>
      <c r="C335" s="4" t="inlineStr">
        <is>
          <t>アトルバスタチンOD錠「サンド」</t>
        </is>
      </c>
      <c r="D335" s="4" t="inlineStr">
        <is>
          <t>卸A</t>
        </is>
      </c>
      <c r="E335" s="4" t="n">
        <v>7136</v>
      </c>
      <c r="F335" s="4" t="n">
        <v>92883</v>
      </c>
    </row>
    <row r="336">
      <c r="A336" s="5" t="inlineStr">
        <is>
          <t>2025-06</t>
        </is>
      </c>
      <c r="B336" s="5" t="inlineStr">
        <is>
          <t>SKU0201</t>
        </is>
      </c>
      <c r="C336" s="5" t="inlineStr">
        <is>
          <t>アトルバスタチンOD錠「サンド」</t>
        </is>
      </c>
      <c r="D336" s="5" t="inlineStr">
        <is>
          <t>卸B</t>
        </is>
      </c>
      <c r="E336" s="5" t="n">
        <v>5805</v>
      </c>
      <c r="F336" s="5" t="n">
        <v>75556</v>
      </c>
    </row>
    <row r="337">
      <c r="A337" s="4" t="inlineStr">
        <is>
          <t>2025-06</t>
        </is>
      </c>
      <c r="B337" s="4" t="inlineStr">
        <is>
          <t>SKU0201</t>
        </is>
      </c>
      <c r="C337" s="4" t="inlineStr">
        <is>
          <t>アトルバスタチンOD錠「サンド」</t>
        </is>
      </c>
      <c r="D337" s="4" t="inlineStr">
        <is>
          <t>卸C</t>
        </is>
      </c>
      <c r="E337" s="4" t="n">
        <v>3893</v>
      </c>
      <c r="F337" s="4" t="n">
        <v>50675</v>
      </c>
    </row>
    <row r="338">
      <c r="A338" s="5" t="inlineStr">
        <is>
          <t>2025-07</t>
        </is>
      </c>
      <c r="B338" s="5" t="inlineStr">
        <is>
          <t>SKU0201</t>
        </is>
      </c>
      <c r="C338" s="5" t="inlineStr">
        <is>
          <t>アトルバスタチンOD錠「サンド」</t>
        </is>
      </c>
      <c r="D338" s="5" t="inlineStr">
        <is>
          <t>卸A</t>
        </is>
      </c>
      <c r="E338" s="5" t="n">
        <v>6164</v>
      </c>
      <c r="F338" s="5" t="n">
        <v>80235</v>
      </c>
    </row>
    <row r="339">
      <c r="A339" s="4" t="inlineStr">
        <is>
          <t>2025-07</t>
        </is>
      </c>
      <c r="B339" s="4" t="inlineStr">
        <is>
          <t>SKU0201</t>
        </is>
      </c>
      <c r="C339" s="4" t="inlineStr">
        <is>
          <t>アトルバスタチンOD錠「サンド」</t>
        </is>
      </c>
      <c r="D339" s="4" t="inlineStr">
        <is>
          <t>卸B</t>
        </is>
      </c>
      <c r="E339" s="4" t="n">
        <v>5870</v>
      </c>
      <c r="F339" s="4" t="n">
        <v>76403</v>
      </c>
    </row>
    <row r="340">
      <c r="A340" s="5" t="inlineStr">
        <is>
          <t>2025-07</t>
        </is>
      </c>
      <c r="B340" s="5" t="inlineStr">
        <is>
          <t>SKU0201</t>
        </is>
      </c>
      <c r="C340" s="5" t="inlineStr">
        <is>
          <t>アトルバスタチンOD錠「サンド」</t>
        </is>
      </c>
      <c r="D340" s="5" t="inlineStr">
        <is>
          <t>卸C</t>
        </is>
      </c>
      <c r="E340" s="5" t="n">
        <v>4083</v>
      </c>
      <c r="F340" s="5" t="n">
        <v>53140</v>
      </c>
    </row>
    <row r="341">
      <c r="A341" s="4" t="inlineStr">
        <is>
          <t>2025-08</t>
        </is>
      </c>
      <c r="B341" s="4" t="inlineStr">
        <is>
          <t>SKU0201</t>
        </is>
      </c>
      <c r="C341" s="4" t="inlineStr">
        <is>
          <t>アトルバスタチンOD錠「サンド」</t>
        </is>
      </c>
      <c r="D341" s="4" t="inlineStr">
        <is>
          <t>卸A</t>
        </is>
      </c>
      <c r="E341" s="4" t="n">
        <v>7551</v>
      </c>
      <c r="F341" s="4" t="n">
        <v>98283</v>
      </c>
    </row>
    <row r="342">
      <c r="A342" s="5" t="inlineStr">
        <is>
          <t>2025-08</t>
        </is>
      </c>
      <c r="B342" s="5" t="inlineStr">
        <is>
          <t>SKU0201</t>
        </is>
      </c>
      <c r="C342" s="5" t="inlineStr">
        <is>
          <t>アトルバスタチンOD錠「サンド」</t>
        </is>
      </c>
      <c r="D342" s="5" t="inlineStr">
        <is>
          <t>卸B</t>
        </is>
      </c>
      <c r="E342" s="5" t="n">
        <v>6358</v>
      </c>
      <c r="F342" s="5" t="n">
        <v>82757</v>
      </c>
    </row>
    <row r="343">
      <c r="A343" s="4" t="inlineStr">
        <is>
          <t>2025-08</t>
        </is>
      </c>
      <c r="B343" s="4" t="inlineStr">
        <is>
          <t>SKU0201</t>
        </is>
      </c>
      <c r="C343" s="4" t="inlineStr">
        <is>
          <t>アトルバスタチンOD錠「サンド」</t>
        </is>
      </c>
      <c r="D343" s="4" t="inlineStr">
        <is>
          <t>卸C</t>
        </is>
      </c>
      <c r="E343" s="4" t="n">
        <v>3895</v>
      </c>
      <c r="F343" s="4" t="n">
        <v>50702</v>
      </c>
    </row>
    <row r="344">
      <c r="A344" s="5" t="inlineStr">
        <is>
          <t>2025-09</t>
        </is>
      </c>
      <c r="B344" s="5" t="inlineStr">
        <is>
          <t>SKU0201</t>
        </is>
      </c>
      <c r="C344" s="5" t="inlineStr">
        <is>
          <t>アトルバスタチンOD錠「サンド」</t>
        </is>
      </c>
      <c r="D344" s="5" t="inlineStr">
        <is>
          <t>卸A</t>
        </is>
      </c>
      <c r="E344" s="5" t="n">
        <v>6911</v>
      </c>
      <c r="F344" s="5" t="n">
        <v>89958</v>
      </c>
    </row>
    <row r="345">
      <c r="A345" s="4" t="inlineStr">
        <is>
          <t>2025-09</t>
        </is>
      </c>
      <c r="B345" s="4" t="inlineStr">
        <is>
          <t>SKU0201</t>
        </is>
      </c>
      <c r="C345" s="4" t="inlineStr">
        <is>
          <t>アトルバスタチンOD錠「サンド」</t>
        </is>
      </c>
      <c r="D345" s="4" t="inlineStr">
        <is>
          <t>卸B</t>
        </is>
      </c>
      <c r="E345" s="4" t="n">
        <v>5446</v>
      </c>
      <c r="F345" s="4" t="n">
        <v>70884</v>
      </c>
    </row>
    <row r="346">
      <c r="A346" s="5" t="inlineStr">
        <is>
          <t>2025-09</t>
        </is>
      </c>
      <c r="B346" s="5" t="inlineStr">
        <is>
          <t>SKU0201</t>
        </is>
      </c>
      <c r="C346" s="5" t="inlineStr">
        <is>
          <t>アトルバスタチンOD錠「サンド」</t>
        </is>
      </c>
      <c r="D346" s="5" t="inlineStr">
        <is>
          <t>卸C</t>
        </is>
      </c>
      <c r="E346" s="5" t="n">
        <v>4340</v>
      </c>
      <c r="F346" s="5" t="n">
        <v>56485</v>
      </c>
    </row>
    <row r="347">
      <c r="A347" s="4" t="inlineStr">
        <is>
          <t>2025-10</t>
        </is>
      </c>
      <c r="B347" s="4" t="inlineStr">
        <is>
          <t>SKU0201</t>
        </is>
      </c>
      <c r="C347" s="4" t="inlineStr">
        <is>
          <t>アトルバスタチンOD錠「サンド」</t>
        </is>
      </c>
      <c r="D347" s="4" t="inlineStr">
        <is>
          <t>卸A</t>
        </is>
      </c>
      <c r="E347" s="4" t="n">
        <v>6343</v>
      </c>
      <c r="F347" s="4" t="n">
        <v>82560</v>
      </c>
    </row>
    <row r="348">
      <c r="A348" s="5" t="inlineStr">
        <is>
          <t>2025-10</t>
        </is>
      </c>
      <c r="B348" s="5" t="inlineStr">
        <is>
          <t>SKU0201</t>
        </is>
      </c>
      <c r="C348" s="5" t="inlineStr">
        <is>
          <t>アトルバスタチンOD錠「サンド」</t>
        </is>
      </c>
      <c r="D348" s="5" t="inlineStr">
        <is>
          <t>卸B</t>
        </is>
      </c>
      <c r="E348" s="5" t="n">
        <v>7271</v>
      </c>
      <c r="F348" s="5" t="n">
        <v>94647</v>
      </c>
    </row>
    <row r="349">
      <c r="A349" s="4" t="inlineStr">
        <is>
          <t>2025-10</t>
        </is>
      </c>
      <c r="B349" s="4" t="inlineStr">
        <is>
          <t>SKU0201</t>
        </is>
      </c>
      <c r="C349" s="4" t="inlineStr">
        <is>
          <t>アトルバスタチンOD錠「サンド」</t>
        </is>
      </c>
      <c r="D349" s="4" t="inlineStr">
        <is>
          <t>卸C</t>
        </is>
      </c>
      <c r="E349" s="4" t="n">
        <v>4135</v>
      </c>
      <c r="F349" s="4" t="n">
        <v>53821</v>
      </c>
    </row>
    <row r="350">
      <c r="A350" s="5" t="inlineStr">
        <is>
          <t>2025-11</t>
        </is>
      </c>
      <c r="B350" s="5" t="inlineStr">
        <is>
          <t>SKU0201</t>
        </is>
      </c>
      <c r="C350" s="5" t="inlineStr">
        <is>
          <t>アトルバスタチンOD錠「サンド」</t>
        </is>
      </c>
      <c r="D350" s="5" t="inlineStr">
        <is>
          <t>卸A</t>
        </is>
      </c>
      <c r="E350" s="5" t="n">
        <v>7132</v>
      </c>
      <c r="F350" s="5" t="n">
        <v>92831</v>
      </c>
    </row>
    <row r="351">
      <c r="A351" s="4" t="inlineStr">
        <is>
          <t>2025-11</t>
        </is>
      </c>
      <c r="B351" s="4" t="inlineStr">
        <is>
          <t>SKU0201</t>
        </is>
      </c>
      <c r="C351" s="4" t="inlineStr">
        <is>
          <t>アトルバスタチンOD錠「サンド」</t>
        </is>
      </c>
      <c r="D351" s="4" t="inlineStr">
        <is>
          <t>卸B</t>
        </is>
      </c>
      <c r="E351" s="4" t="n">
        <v>6389</v>
      </c>
      <c r="F351" s="4" t="n">
        <v>83166</v>
      </c>
    </row>
    <row r="352">
      <c r="A352" s="5" t="inlineStr">
        <is>
          <t>2025-11</t>
        </is>
      </c>
      <c r="B352" s="5" t="inlineStr">
        <is>
          <t>SKU0201</t>
        </is>
      </c>
      <c r="C352" s="5" t="inlineStr">
        <is>
          <t>アトルバスタチンOD錠「サンド」</t>
        </is>
      </c>
      <c r="D352" s="5" t="inlineStr">
        <is>
          <t>卸C</t>
        </is>
      </c>
      <c r="E352" s="5" t="n">
        <v>4910</v>
      </c>
      <c r="F352" s="5" t="n">
        <v>63907</v>
      </c>
    </row>
    <row r="353">
      <c r="A353" s="4" t="inlineStr">
        <is>
          <t>2025-12</t>
        </is>
      </c>
      <c r="B353" s="4" t="inlineStr">
        <is>
          <t>SKU0201</t>
        </is>
      </c>
      <c r="C353" s="4" t="inlineStr">
        <is>
          <t>アトルバスタチンOD錠「サンド」</t>
        </is>
      </c>
      <c r="D353" s="4" t="inlineStr">
        <is>
          <t>卸A</t>
        </is>
      </c>
      <c r="E353" s="4" t="n">
        <v>7675</v>
      </c>
      <c r="F353" s="4" t="n">
        <v>99903</v>
      </c>
    </row>
    <row r="354">
      <c r="A354" s="5" t="inlineStr">
        <is>
          <t>2025-12</t>
        </is>
      </c>
      <c r="B354" s="5" t="inlineStr">
        <is>
          <t>SKU0201</t>
        </is>
      </c>
      <c r="C354" s="5" t="inlineStr">
        <is>
          <t>アトルバスタチンOD錠「サンド」</t>
        </is>
      </c>
      <c r="D354" s="5" t="inlineStr">
        <is>
          <t>卸B</t>
        </is>
      </c>
      <c r="E354" s="5" t="n">
        <v>6771</v>
      </c>
      <c r="F354" s="5" t="n">
        <v>88137</v>
      </c>
    </row>
    <row r="355">
      <c r="A355" s="4" t="inlineStr">
        <is>
          <t>2025-12</t>
        </is>
      </c>
      <c r="B355" s="4" t="inlineStr">
        <is>
          <t>SKU0201</t>
        </is>
      </c>
      <c r="C355" s="4" t="inlineStr">
        <is>
          <t>アトルバスタチンOD錠「サンド」</t>
        </is>
      </c>
      <c r="D355" s="4" t="inlineStr">
        <is>
          <t>卸C</t>
        </is>
      </c>
      <c r="E355" s="4" t="n">
        <v>4733</v>
      </c>
      <c r="F355" s="4" t="n">
        <v>61604</v>
      </c>
    </row>
    <row r="356">
      <c r="A356" s="5" t="inlineStr">
        <is>
          <t>2026-01</t>
        </is>
      </c>
      <c r="B356" s="5" t="inlineStr">
        <is>
          <t>SKU0201</t>
        </is>
      </c>
      <c r="C356" s="5" t="inlineStr">
        <is>
          <t>アトルバスタチンOD錠「サンド」</t>
        </is>
      </c>
      <c r="D356" s="5" t="inlineStr">
        <is>
          <t>卸A</t>
        </is>
      </c>
      <c r="E356" s="5" t="n">
        <v>6080</v>
      </c>
      <c r="F356" s="5" t="n">
        <v>79143</v>
      </c>
    </row>
    <row r="357">
      <c r="A357" s="4" t="inlineStr">
        <is>
          <t>2026-01</t>
        </is>
      </c>
      <c r="B357" s="4" t="inlineStr">
        <is>
          <t>SKU0201</t>
        </is>
      </c>
      <c r="C357" s="4" t="inlineStr">
        <is>
          <t>アトルバスタチンOD錠「サンド」</t>
        </is>
      </c>
      <c r="D357" s="4" t="inlineStr">
        <is>
          <t>卸B</t>
        </is>
      </c>
      <c r="E357" s="4" t="n">
        <v>5278</v>
      </c>
      <c r="F357" s="4" t="n">
        <v>68698</v>
      </c>
    </row>
    <row r="358">
      <c r="A358" s="5" t="inlineStr">
        <is>
          <t>2026-01</t>
        </is>
      </c>
      <c r="B358" s="5" t="inlineStr">
        <is>
          <t>SKU0201</t>
        </is>
      </c>
      <c r="C358" s="5" t="inlineStr">
        <is>
          <t>アトルバスタチンOD錠「サンド」</t>
        </is>
      </c>
      <c r="D358" s="5" t="inlineStr">
        <is>
          <t>卸C</t>
        </is>
      </c>
      <c r="E358" s="5" t="n">
        <v>3484</v>
      </c>
      <c r="F358" s="5" t="n">
        <v>45345</v>
      </c>
    </row>
    <row r="359">
      <c r="A359" s="4" t="inlineStr">
        <is>
          <t>2026-02</t>
        </is>
      </c>
      <c r="B359" s="4" t="inlineStr">
        <is>
          <t>SKU0201</t>
        </is>
      </c>
      <c r="C359" s="4" t="inlineStr">
        <is>
          <t>アトルバスタチンOD錠「サンド」</t>
        </is>
      </c>
      <c r="D359" s="4" t="inlineStr">
        <is>
          <t>卸A</t>
        </is>
      </c>
      <c r="E359" s="4" t="n">
        <v>6990</v>
      </c>
      <c r="F359" s="4" t="n">
        <v>90991</v>
      </c>
    </row>
    <row r="360">
      <c r="A360" s="5" t="inlineStr">
        <is>
          <t>2026-02</t>
        </is>
      </c>
      <c r="B360" s="5" t="inlineStr">
        <is>
          <t>SKU0201</t>
        </is>
      </c>
      <c r="C360" s="5" t="inlineStr">
        <is>
          <t>アトルバスタチンOD錠「サンド」</t>
        </is>
      </c>
      <c r="D360" s="5" t="inlineStr">
        <is>
          <t>卸B</t>
        </is>
      </c>
      <c r="E360" s="5" t="n">
        <v>6591</v>
      </c>
      <c r="F360" s="5" t="n">
        <v>85791</v>
      </c>
    </row>
    <row r="361">
      <c r="A361" s="4" t="inlineStr">
        <is>
          <t>2026-02</t>
        </is>
      </c>
      <c r="B361" s="4" t="inlineStr">
        <is>
          <t>SKU0201</t>
        </is>
      </c>
      <c r="C361" s="4" t="inlineStr">
        <is>
          <t>アトルバスタチンOD錠「サンド」</t>
        </is>
      </c>
      <c r="D361" s="4" t="inlineStr">
        <is>
          <t>卸C</t>
        </is>
      </c>
      <c r="E361" s="4" t="n">
        <v>4442</v>
      </c>
      <c r="F361" s="4" t="n">
        <v>57817</v>
      </c>
    </row>
    <row r="362">
      <c r="A362" s="5" t="inlineStr">
        <is>
          <t>2026-03</t>
        </is>
      </c>
      <c r="B362" s="5" t="inlineStr">
        <is>
          <t>SKU0201</t>
        </is>
      </c>
      <c r="C362" s="5" t="inlineStr">
        <is>
          <t>アトルバスタチンOD錠「サンド」</t>
        </is>
      </c>
      <c r="D362" s="5" t="inlineStr">
        <is>
          <t>卸A</t>
        </is>
      </c>
      <c r="E362" s="5" t="n">
        <v>10797</v>
      </c>
      <c r="F362" s="5" t="n">
        <v>140539</v>
      </c>
    </row>
    <row r="363">
      <c r="A363" s="4" t="inlineStr">
        <is>
          <t>2026-03</t>
        </is>
      </c>
      <c r="B363" s="4" t="inlineStr">
        <is>
          <t>SKU0201</t>
        </is>
      </c>
      <c r="C363" s="4" t="inlineStr">
        <is>
          <t>アトルバスタチンOD錠「サンド」</t>
        </is>
      </c>
      <c r="D363" s="4" t="inlineStr">
        <is>
          <t>卸B</t>
        </is>
      </c>
      <c r="E363" s="4" t="n">
        <v>11240</v>
      </c>
      <c r="F363" s="4" t="n">
        <v>146299</v>
      </c>
    </row>
    <row r="364">
      <c r="A364" s="5" t="inlineStr">
        <is>
          <t>2026-03</t>
        </is>
      </c>
      <c r="B364" s="5" t="inlineStr">
        <is>
          <t>SKU0201</t>
        </is>
      </c>
      <c r="C364" s="5" t="inlineStr">
        <is>
          <t>アトルバスタチンOD錠「サンド」</t>
        </is>
      </c>
      <c r="D364" s="5" t="inlineStr">
        <is>
          <t>卸C</t>
        </is>
      </c>
      <c r="E364" s="5" t="n">
        <v>6255</v>
      </c>
      <c r="F364" s="5" t="n">
        <v>81423</v>
      </c>
    </row>
    <row r="365">
      <c r="A365" s="4" t="inlineStr">
        <is>
          <t>2026-04</t>
        </is>
      </c>
      <c r="B365" s="4" t="inlineStr">
        <is>
          <t>SKU0201</t>
        </is>
      </c>
      <c r="C365" s="4" t="inlineStr">
        <is>
          <t>アトルバスタチンOD錠「サンド」</t>
        </is>
      </c>
      <c r="D365" s="4" t="inlineStr">
        <is>
          <t>卸A</t>
        </is>
      </c>
      <c r="E365" s="4" t="n">
        <v>5061</v>
      </c>
      <c r="F365" s="4" t="n">
        <v>61925</v>
      </c>
    </row>
    <row r="366">
      <c r="A366" s="5" t="inlineStr">
        <is>
          <t>2026-04</t>
        </is>
      </c>
      <c r="B366" s="5" t="inlineStr">
        <is>
          <t>SKU0201</t>
        </is>
      </c>
      <c r="C366" s="5" t="inlineStr">
        <is>
          <t>アトルバスタチンOD錠「サンド」</t>
        </is>
      </c>
      <c r="D366" s="5" t="inlineStr">
        <is>
          <t>卸B</t>
        </is>
      </c>
      <c r="E366" s="5" t="n">
        <v>4020</v>
      </c>
      <c r="F366" s="5" t="n">
        <v>49191</v>
      </c>
    </row>
    <row r="367">
      <c r="A367" s="4" t="inlineStr">
        <is>
          <t>2026-04</t>
        </is>
      </c>
      <c r="B367" s="4" t="inlineStr">
        <is>
          <t>SKU0201</t>
        </is>
      </c>
      <c r="C367" s="4" t="inlineStr">
        <is>
          <t>アトルバスタチンOD錠「サンド」</t>
        </is>
      </c>
      <c r="D367" s="4" t="inlineStr">
        <is>
          <t>卸C</t>
        </is>
      </c>
      <c r="E367" s="4" t="n">
        <v>2772</v>
      </c>
      <c r="F367" s="4" t="n">
        <v>33914</v>
      </c>
    </row>
    <row r="368">
      <c r="A368" s="5" t="inlineStr">
        <is>
          <t>2026-05</t>
        </is>
      </c>
      <c r="B368" s="5" t="inlineStr">
        <is>
          <t>SKU0201</t>
        </is>
      </c>
      <c r="C368" s="5" t="inlineStr">
        <is>
          <t>アトルバスタチンOD錠「サンド」</t>
        </is>
      </c>
      <c r="D368" s="5" t="inlineStr">
        <is>
          <t>卸A</t>
        </is>
      </c>
      <c r="E368" s="5" t="n">
        <v>4469</v>
      </c>
      <c r="F368" s="5" t="n">
        <v>54681</v>
      </c>
    </row>
    <row r="369">
      <c r="A369" s="4" t="inlineStr">
        <is>
          <t>2026-05</t>
        </is>
      </c>
      <c r="B369" s="4" t="inlineStr">
        <is>
          <t>SKU0201</t>
        </is>
      </c>
      <c r="C369" s="4" t="inlineStr">
        <is>
          <t>アトルバスタチンOD錠「サンド」</t>
        </is>
      </c>
      <c r="D369" s="4" t="inlineStr">
        <is>
          <t>卸B</t>
        </is>
      </c>
      <c r="E369" s="4" t="n">
        <v>4055</v>
      </c>
      <c r="F369" s="4" t="n">
        <v>49610</v>
      </c>
    </row>
    <row r="370">
      <c r="A370" s="5" t="inlineStr">
        <is>
          <t>2026-05</t>
        </is>
      </c>
      <c r="B370" s="5" t="inlineStr">
        <is>
          <t>SKU0201</t>
        </is>
      </c>
      <c r="C370" s="5" t="inlineStr">
        <is>
          <t>アトルバスタチンOD錠「サンド」</t>
        </is>
      </c>
      <c r="D370" s="5" t="inlineStr">
        <is>
          <t>卸C</t>
        </is>
      </c>
      <c r="E370" s="5" t="n">
        <v>2273</v>
      </c>
      <c r="F370" s="5" t="n">
        <v>27813</v>
      </c>
    </row>
    <row r="371">
      <c r="A371" s="4" t="inlineStr">
        <is>
          <t>2023-01</t>
        </is>
      </c>
      <c r="B371" s="4" t="inlineStr">
        <is>
          <t>SKU0202</t>
        </is>
      </c>
      <c r="C371" s="4" t="inlineStr">
        <is>
          <t>アトルバスタチンOD錠「サンド」</t>
        </is>
      </c>
      <c r="D371" s="4" t="inlineStr">
        <is>
          <t>卸A</t>
        </is>
      </c>
      <c r="E371" s="4" t="n">
        <v>4891</v>
      </c>
      <c r="F371" s="4" t="n">
        <v>119825</v>
      </c>
    </row>
    <row r="372">
      <c r="A372" s="5" t="inlineStr">
        <is>
          <t>2023-01</t>
        </is>
      </c>
      <c r="B372" s="5" t="inlineStr">
        <is>
          <t>SKU0202</t>
        </is>
      </c>
      <c r="C372" s="5" t="inlineStr">
        <is>
          <t>アトルバスタチンOD錠「サンド」</t>
        </is>
      </c>
      <c r="D372" s="5" t="inlineStr">
        <is>
          <t>卸B</t>
        </is>
      </c>
      <c r="E372" s="5" t="n">
        <v>4580</v>
      </c>
      <c r="F372" s="5" t="n">
        <v>112209</v>
      </c>
    </row>
    <row r="373">
      <c r="A373" s="4" t="inlineStr">
        <is>
          <t>2023-01</t>
        </is>
      </c>
      <c r="B373" s="4" t="inlineStr">
        <is>
          <t>SKU0202</t>
        </is>
      </c>
      <c r="C373" s="4" t="inlineStr">
        <is>
          <t>アトルバスタチンOD錠「サンド」</t>
        </is>
      </c>
      <c r="D373" s="4" t="inlineStr">
        <is>
          <t>卸C</t>
        </is>
      </c>
      <c r="E373" s="4" t="n">
        <v>3090</v>
      </c>
      <c r="F373" s="4" t="n">
        <v>75703</v>
      </c>
    </row>
    <row r="374">
      <c r="A374" s="5" t="inlineStr">
        <is>
          <t>2023-02</t>
        </is>
      </c>
      <c r="B374" s="5" t="inlineStr">
        <is>
          <t>SKU0202</t>
        </is>
      </c>
      <c r="C374" s="5" t="inlineStr">
        <is>
          <t>アトルバスタチンOD錠「サンド」</t>
        </is>
      </c>
      <c r="D374" s="5" t="inlineStr">
        <is>
          <t>卸A</t>
        </is>
      </c>
      <c r="E374" s="5" t="n">
        <v>4966</v>
      </c>
      <c r="F374" s="5" t="n">
        <v>121661</v>
      </c>
    </row>
    <row r="375">
      <c r="A375" s="4" t="inlineStr">
        <is>
          <t>2023-02</t>
        </is>
      </c>
      <c r="B375" s="4" t="inlineStr">
        <is>
          <t>SKU0202</t>
        </is>
      </c>
      <c r="C375" s="4" t="inlineStr">
        <is>
          <t>アトルバスタチンOD錠「サンド」</t>
        </is>
      </c>
      <c r="D375" s="4" t="inlineStr">
        <is>
          <t>卸B</t>
        </is>
      </c>
      <c r="E375" s="4" t="n">
        <v>4330</v>
      </c>
      <c r="F375" s="4" t="n">
        <v>106074</v>
      </c>
    </row>
    <row r="376">
      <c r="A376" s="5" t="inlineStr">
        <is>
          <t>2023-02</t>
        </is>
      </c>
      <c r="B376" s="5" t="inlineStr">
        <is>
          <t>SKU0202</t>
        </is>
      </c>
      <c r="C376" s="5" t="inlineStr">
        <is>
          <t>アトルバスタチンOD錠「サンド」</t>
        </is>
      </c>
      <c r="D376" s="5" t="inlineStr">
        <is>
          <t>卸C</t>
        </is>
      </c>
      <c r="E376" s="5" t="n">
        <v>2732</v>
      </c>
      <c r="F376" s="5" t="n">
        <v>66930</v>
      </c>
    </row>
    <row r="377">
      <c r="A377" s="4" t="inlineStr">
        <is>
          <t>2023-03</t>
        </is>
      </c>
      <c r="B377" s="4" t="inlineStr">
        <is>
          <t>SKU0202</t>
        </is>
      </c>
      <c r="C377" s="4" t="inlineStr">
        <is>
          <t>アトルバスタチンOD錠「サンド」</t>
        </is>
      </c>
      <c r="D377" s="4" t="inlineStr">
        <is>
          <t>卸A</t>
        </is>
      </c>
      <c r="E377" s="4" t="n">
        <v>5247</v>
      </c>
      <c r="F377" s="4" t="n">
        <v>128550</v>
      </c>
    </row>
    <row r="378">
      <c r="A378" s="5" t="inlineStr">
        <is>
          <t>2023-03</t>
        </is>
      </c>
      <c r="B378" s="5" t="inlineStr">
        <is>
          <t>SKU0202</t>
        </is>
      </c>
      <c r="C378" s="5" t="inlineStr">
        <is>
          <t>アトルバスタチンOD錠「サンド」</t>
        </is>
      </c>
      <c r="D378" s="5" t="inlineStr">
        <is>
          <t>卸B</t>
        </is>
      </c>
      <c r="E378" s="5" t="n">
        <v>4318</v>
      </c>
      <c r="F378" s="5" t="n">
        <v>105801</v>
      </c>
    </row>
    <row r="379">
      <c r="A379" s="4" t="inlineStr">
        <is>
          <t>2023-03</t>
        </is>
      </c>
      <c r="B379" s="4" t="inlineStr">
        <is>
          <t>SKU0202</t>
        </is>
      </c>
      <c r="C379" s="4" t="inlineStr">
        <is>
          <t>アトルバスタチンOD錠「サンド」</t>
        </is>
      </c>
      <c r="D379" s="4" t="inlineStr">
        <is>
          <t>卸C</t>
        </is>
      </c>
      <c r="E379" s="4" t="n">
        <v>2803</v>
      </c>
      <c r="F379" s="4" t="n">
        <v>68679</v>
      </c>
    </row>
    <row r="380">
      <c r="A380" s="5" t="inlineStr">
        <is>
          <t>2023-04</t>
        </is>
      </c>
      <c r="B380" s="5" t="inlineStr">
        <is>
          <t>SKU0202</t>
        </is>
      </c>
      <c r="C380" s="5" t="inlineStr">
        <is>
          <t>アトルバスタチンOD錠「サンド」</t>
        </is>
      </c>
      <c r="D380" s="5" t="inlineStr">
        <is>
          <t>卸A</t>
        </is>
      </c>
      <c r="E380" s="5" t="n">
        <v>4935</v>
      </c>
      <c r="F380" s="5" t="n">
        <v>120915</v>
      </c>
    </row>
    <row r="381">
      <c r="A381" s="4" t="inlineStr">
        <is>
          <t>2023-04</t>
        </is>
      </c>
      <c r="B381" s="4" t="inlineStr">
        <is>
          <t>SKU0202</t>
        </is>
      </c>
      <c r="C381" s="4" t="inlineStr">
        <is>
          <t>アトルバスタチンOD錠「サンド」</t>
        </is>
      </c>
      <c r="D381" s="4" t="inlineStr">
        <is>
          <t>卸B</t>
        </is>
      </c>
      <c r="E381" s="4" t="n">
        <v>4427</v>
      </c>
      <c r="F381" s="4" t="n">
        <v>108468</v>
      </c>
    </row>
    <row r="382">
      <c r="A382" s="5" t="inlineStr">
        <is>
          <t>2023-04</t>
        </is>
      </c>
      <c r="B382" s="5" t="inlineStr">
        <is>
          <t>SKU0202</t>
        </is>
      </c>
      <c r="C382" s="5" t="inlineStr">
        <is>
          <t>アトルバスタチンOD錠「サンド」</t>
        </is>
      </c>
      <c r="D382" s="5" t="inlineStr">
        <is>
          <t>卸C</t>
        </is>
      </c>
      <c r="E382" s="5" t="n">
        <v>2934</v>
      </c>
      <c r="F382" s="5" t="n">
        <v>71894</v>
      </c>
    </row>
    <row r="383">
      <c r="A383" s="4" t="inlineStr">
        <is>
          <t>2023-05</t>
        </is>
      </c>
      <c r="B383" s="4" t="inlineStr">
        <is>
          <t>SKU0202</t>
        </is>
      </c>
      <c r="C383" s="4" t="inlineStr">
        <is>
          <t>アトルバスタチンOD錠「サンド」</t>
        </is>
      </c>
      <c r="D383" s="4" t="inlineStr">
        <is>
          <t>卸A</t>
        </is>
      </c>
      <c r="E383" s="4" t="n">
        <v>4924</v>
      </c>
      <c r="F383" s="4" t="n">
        <v>120648</v>
      </c>
    </row>
    <row r="384">
      <c r="A384" s="5" t="inlineStr">
        <is>
          <t>2023-05</t>
        </is>
      </c>
      <c r="B384" s="5" t="inlineStr">
        <is>
          <t>SKU0202</t>
        </is>
      </c>
      <c r="C384" s="5" t="inlineStr">
        <is>
          <t>アトルバスタチンOD錠「サンド」</t>
        </is>
      </c>
      <c r="D384" s="5" t="inlineStr">
        <is>
          <t>卸B</t>
        </is>
      </c>
      <c r="E384" s="5" t="n">
        <v>4627</v>
      </c>
      <c r="F384" s="5" t="n">
        <v>113368</v>
      </c>
    </row>
    <row r="385">
      <c r="A385" s="4" t="inlineStr">
        <is>
          <t>2023-05</t>
        </is>
      </c>
      <c r="B385" s="4" t="inlineStr">
        <is>
          <t>SKU0202</t>
        </is>
      </c>
      <c r="C385" s="4" t="inlineStr">
        <is>
          <t>アトルバスタチンOD錠「サンド」</t>
        </is>
      </c>
      <c r="D385" s="4" t="inlineStr">
        <is>
          <t>卸C</t>
        </is>
      </c>
      <c r="E385" s="4" t="n">
        <v>3148</v>
      </c>
      <c r="F385" s="4" t="n">
        <v>77118</v>
      </c>
    </row>
    <row r="386">
      <c r="A386" s="5" t="inlineStr">
        <is>
          <t>2023-06</t>
        </is>
      </c>
      <c r="B386" s="5" t="inlineStr">
        <is>
          <t>SKU0202</t>
        </is>
      </c>
      <c r="C386" s="5" t="inlineStr">
        <is>
          <t>アトルバスタチンOD錠「サンド」</t>
        </is>
      </c>
      <c r="D386" s="5" t="inlineStr">
        <is>
          <t>卸A</t>
        </is>
      </c>
      <c r="E386" s="5" t="n">
        <v>5384</v>
      </c>
      <c r="F386" s="5" t="n">
        <v>131905</v>
      </c>
    </row>
    <row r="387">
      <c r="A387" s="4" t="inlineStr">
        <is>
          <t>2023-06</t>
        </is>
      </c>
      <c r="B387" s="4" t="inlineStr">
        <is>
          <t>SKU0202</t>
        </is>
      </c>
      <c r="C387" s="4" t="inlineStr">
        <is>
          <t>アトルバスタチンOD錠「サンド」</t>
        </is>
      </c>
      <c r="D387" s="4" t="inlineStr">
        <is>
          <t>卸B</t>
        </is>
      </c>
      <c r="E387" s="4" t="n">
        <v>4762</v>
      </c>
      <c r="F387" s="4" t="n">
        <v>116659</v>
      </c>
    </row>
    <row r="388">
      <c r="A388" s="5" t="inlineStr">
        <is>
          <t>2023-06</t>
        </is>
      </c>
      <c r="B388" s="5" t="inlineStr">
        <is>
          <t>SKU0202</t>
        </is>
      </c>
      <c r="C388" s="5" t="inlineStr">
        <is>
          <t>アトルバスタチンOD錠「サンド」</t>
        </is>
      </c>
      <c r="D388" s="5" t="inlineStr">
        <is>
          <t>卸C</t>
        </is>
      </c>
      <c r="E388" s="5" t="n">
        <v>3757</v>
      </c>
      <c r="F388" s="5" t="n">
        <v>92058</v>
      </c>
    </row>
    <row r="389">
      <c r="A389" s="4" t="inlineStr">
        <is>
          <t>2023-07</t>
        </is>
      </c>
      <c r="B389" s="4" t="inlineStr">
        <is>
          <t>SKU0202</t>
        </is>
      </c>
      <c r="C389" s="4" t="inlineStr">
        <is>
          <t>アトルバスタチンOD錠「サンド」</t>
        </is>
      </c>
      <c r="D389" s="4" t="inlineStr">
        <is>
          <t>卸A</t>
        </is>
      </c>
      <c r="E389" s="4" t="n">
        <v>4437</v>
      </c>
      <c r="F389" s="4" t="n">
        <v>108705</v>
      </c>
    </row>
    <row r="390">
      <c r="A390" s="5" t="inlineStr">
        <is>
          <t>2023-07</t>
        </is>
      </c>
      <c r="B390" s="5" t="inlineStr">
        <is>
          <t>SKU0202</t>
        </is>
      </c>
      <c r="C390" s="5" t="inlineStr">
        <is>
          <t>アトルバスタチンOD錠「サンド」</t>
        </is>
      </c>
      <c r="D390" s="5" t="inlineStr">
        <is>
          <t>卸B</t>
        </is>
      </c>
      <c r="E390" s="5" t="n">
        <v>4622</v>
      </c>
      <c r="F390" s="5" t="n">
        <v>113236</v>
      </c>
    </row>
    <row r="391">
      <c r="A391" s="4" t="inlineStr">
        <is>
          <t>2023-07</t>
        </is>
      </c>
      <c r="B391" s="4" t="inlineStr">
        <is>
          <t>SKU0202</t>
        </is>
      </c>
      <c r="C391" s="4" t="inlineStr">
        <is>
          <t>アトルバスタチンOD錠「サンド」</t>
        </is>
      </c>
      <c r="D391" s="4" t="inlineStr">
        <is>
          <t>卸C</t>
        </is>
      </c>
      <c r="E391" s="4" t="n">
        <v>3109</v>
      </c>
      <c r="F391" s="4" t="n">
        <v>76178</v>
      </c>
    </row>
    <row r="392">
      <c r="A392" s="5" t="inlineStr">
        <is>
          <t>2023-08</t>
        </is>
      </c>
      <c r="B392" s="5" t="inlineStr">
        <is>
          <t>SKU0202</t>
        </is>
      </c>
      <c r="C392" s="5" t="inlineStr">
        <is>
          <t>アトルバスタチンOD錠「サンド」</t>
        </is>
      </c>
      <c r="D392" s="5" t="inlineStr">
        <is>
          <t>卸A</t>
        </is>
      </c>
      <c r="E392" s="5" t="n">
        <v>5592</v>
      </c>
      <c r="F392" s="5" t="n">
        <v>137006</v>
      </c>
    </row>
    <row r="393">
      <c r="A393" s="4" t="inlineStr">
        <is>
          <t>2023-08</t>
        </is>
      </c>
      <c r="B393" s="4" t="inlineStr">
        <is>
          <t>SKU0202</t>
        </is>
      </c>
      <c r="C393" s="4" t="inlineStr">
        <is>
          <t>アトルバスタチンOD錠「サンド」</t>
        </is>
      </c>
      <c r="D393" s="4" t="inlineStr">
        <is>
          <t>卸B</t>
        </is>
      </c>
      <c r="E393" s="4" t="n">
        <v>5117</v>
      </c>
      <c r="F393" s="4" t="n">
        <v>125369</v>
      </c>
    </row>
    <row r="394">
      <c r="A394" s="5" t="inlineStr">
        <is>
          <t>2023-08</t>
        </is>
      </c>
      <c r="B394" s="5" t="inlineStr">
        <is>
          <t>SKU0202</t>
        </is>
      </c>
      <c r="C394" s="5" t="inlineStr">
        <is>
          <t>アトルバスタチンOD錠「サンド」</t>
        </is>
      </c>
      <c r="D394" s="5" t="inlineStr">
        <is>
          <t>卸C</t>
        </is>
      </c>
      <c r="E394" s="5" t="n">
        <v>3400</v>
      </c>
      <c r="F394" s="5" t="n">
        <v>83311</v>
      </c>
    </row>
    <row r="395">
      <c r="A395" s="4" t="inlineStr">
        <is>
          <t>2023-09</t>
        </is>
      </c>
      <c r="B395" s="4" t="inlineStr">
        <is>
          <t>SKU0202</t>
        </is>
      </c>
      <c r="C395" s="4" t="inlineStr">
        <is>
          <t>アトルバスタチンOD錠「サンド」</t>
        </is>
      </c>
      <c r="D395" s="4" t="inlineStr">
        <is>
          <t>卸A</t>
        </is>
      </c>
      <c r="E395" s="4" t="n">
        <v>5681</v>
      </c>
      <c r="F395" s="4" t="n">
        <v>139180</v>
      </c>
    </row>
    <row r="396">
      <c r="A396" s="5" t="inlineStr">
        <is>
          <t>2023-09</t>
        </is>
      </c>
      <c r="B396" s="5" t="inlineStr">
        <is>
          <t>SKU0202</t>
        </is>
      </c>
      <c r="C396" s="5" t="inlineStr">
        <is>
          <t>アトルバスタチンOD錠「サンド」</t>
        </is>
      </c>
      <c r="D396" s="5" t="inlineStr">
        <is>
          <t>卸B</t>
        </is>
      </c>
      <c r="E396" s="5" t="n">
        <v>5242</v>
      </c>
      <c r="F396" s="5" t="n">
        <v>128436</v>
      </c>
    </row>
    <row r="397">
      <c r="A397" s="4" t="inlineStr">
        <is>
          <t>2023-09</t>
        </is>
      </c>
      <c r="B397" s="4" t="inlineStr">
        <is>
          <t>SKU0202</t>
        </is>
      </c>
      <c r="C397" s="4" t="inlineStr">
        <is>
          <t>アトルバスタチンOD錠「サンド」</t>
        </is>
      </c>
      <c r="D397" s="4" t="inlineStr">
        <is>
          <t>卸C</t>
        </is>
      </c>
      <c r="E397" s="4" t="n">
        <v>3505</v>
      </c>
      <c r="F397" s="4" t="n">
        <v>85877</v>
      </c>
    </row>
    <row r="398">
      <c r="A398" s="5" t="inlineStr">
        <is>
          <t>2023-10</t>
        </is>
      </c>
      <c r="B398" s="5" t="inlineStr">
        <is>
          <t>SKU0202</t>
        </is>
      </c>
      <c r="C398" s="5" t="inlineStr">
        <is>
          <t>アトルバスタチンOD錠「サンド」</t>
        </is>
      </c>
      <c r="D398" s="5" t="inlineStr">
        <is>
          <t>卸A</t>
        </is>
      </c>
      <c r="E398" s="5" t="n">
        <v>5827</v>
      </c>
      <c r="F398" s="5" t="n">
        <v>142766</v>
      </c>
    </row>
    <row r="399">
      <c r="A399" s="4" t="inlineStr">
        <is>
          <t>2023-10</t>
        </is>
      </c>
      <c r="B399" s="4" t="inlineStr">
        <is>
          <t>SKU0202</t>
        </is>
      </c>
      <c r="C399" s="4" t="inlineStr">
        <is>
          <t>アトルバスタチンOD錠「サンド」</t>
        </is>
      </c>
      <c r="D399" s="4" t="inlineStr">
        <is>
          <t>卸B</t>
        </is>
      </c>
      <c r="E399" s="4" t="n">
        <v>5694</v>
      </c>
      <c r="F399" s="4" t="n">
        <v>139495</v>
      </c>
    </row>
    <row r="400">
      <c r="A400" s="5" t="inlineStr">
        <is>
          <t>2023-10</t>
        </is>
      </c>
      <c r="B400" s="5" t="inlineStr">
        <is>
          <t>SKU0202</t>
        </is>
      </c>
      <c r="C400" s="5" t="inlineStr">
        <is>
          <t>アトルバスタチンOD錠「サンド」</t>
        </is>
      </c>
      <c r="D400" s="5" t="inlineStr">
        <is>
          <t>卸C</t>
        </is>
      </c>
      <c r="E400" s="5" t="n">
        <v>3350</v>
      </c>
      <c r="F400" s="5" t="n">
        <v>82082</v>
      </c>
    </row>
    <row r="401">
      <c r="A401" s="4" t="inlineStr">
        <is>
          <t>2023-11</t>
        </is>
      </c>
      <c r="B401" s="4" t="inlineStr">
        <is>
          <t>SKU0202</t>
        </is>
      </c>
      <c r="C401" s="4" t="inlineStr">
        <is>
          <t>アトルバスタチンOD錠「サンド」</t>
        </is>
      </c>
      <c r="D401" s="4" t="inlineStr">
        <is>
          <t>卸A</t>
        </is>
      </c>
      <c r="E401" s="4" t="n">
        <v>6421</v>
      </c>
      <c r="F401" s="4" t="n">
        <v>157310</v>
      </c>
    </row>
    <row r="402">
      <c r="A402" s="5" t="inlineStr">
        <is>
          <t>2023-11</t>
        </is>
      </c>
      <c r="B402" s="5" t="inlineStr">
        <is>
          <t>SKU0202</t>
        </is>
      </c>
      <c r="C402" s="5" t="inlineStr">
        <is>
          <t>アトルバスタチンOD錠「サンド」</t>
        </is>
      </c>
      <c r="D402" s="5" t="inlineStr">
        <is>
          <t>卸B</t>
        </is>
      </c>
      <c r="E402" s="5" t="n">
        <v>4769</v>
      </c>
      <c r="F402" s="5" t="n">
        <v>116838</v>
      </c>
    </row>
    <row r="403">
      <c r="A403" s="4" t="inlineStr">
        <is>
          <t>2023-11</t>
        </is>
      </c>
      <c r="B403" s="4" t="inlineStr">
        <is>
          <t>SKU0202</t>
        </is>
      </c>
      <c r="C403" s="4" t="inlineStr">
        <is>
          <t>アトルバスタチンOD錠「サンド」</t>
        </is>
      </c>
      <c r="D403" s="4" t="inlineStr">
        <is>
          <t>卸C</t>
        </is>
      </c>
      <c r="E403" s="4" t="n">
        <v>3969</v>
      </c>
      <c r="F403" s="4" t="n">
        <v>97243</v>
      </c>
    </row>
    <row r="404">
      <c r="A404" s="5" t="inlineStr">
        <is>
          <t>2023-12</t>
        </is>
      </c>
      <c r="B404" s="5" t="inlineStr">
        <is>
          <t>SKU0202</t>
        </is>
      </c>
      <c r="C404" s="5" t="inlineStr">
        <is>
          <t>アトルバスタチンOD錠「サンド」</t>
        </is>
      </c>
      <c r="D404" s="5" t="inlineStr">
        <is>
          <t>卸A</t>
        </is>
      </c>
      <c r="E404" s="5" t="n">
        <v>6194</v>
      </c>
      <c r="F404" s="5" t="n">
        <v>151750</v>
      </c>
    </row>
    <row r="405">
      <c r="A405" s="4" t="inlineStr">
        <is>
          <t>2023-12</t>
        </is>
      </c>
      <c r="B405" s="4" t="inlineStr">
        <is>
          <t>SKU0202</t>
        </is>
      </c>
      <c r="C405" s="4" t="inlineStr">
        <is>
          <t>アトルバスタチンOD錠「サンド」</t>
        </is>
      </c>
      <c r="D405" s="4" t="inlineStr">
        <is>
          <t>卸B</t>
        </is>
      </c>
      <c r="E405" s="4" t="n">
        <v>5710</v>
      </c>
      <c r="F405" s="4" t="n">
        <v>139897</v>
      </c>
    </row>
    <row r="406">
      <c r="A406" s="5" t="inlineStr">
        <is>
          <t>2023-12</t>
        </is>
      </c>
      <c r="B406" s="5" t="inlineStr">
        <is>
          <t>SKU0202</t>
        </is>
      </c>
      <c r="C406" s="5" t="inlineStr">
        <is>
          <t>アトルバスタチンOD錠「サンド」</t>
        </is>
      </c>
      <c r="D406" s="5" t="inlineStr">
        <is>
          <t>卸C</t>
        </is>
      </c>
      <c r="E406" s="5" t="n">
        <v>4079</v>
      </c>
      <c r="F406" s="5" t="n">
        <v>99944</v>
      </c>
    </row>
    <row r="407">
      <c r="A407" s="4" t="inlineStr">
        <is>
          <t>2024-01</t>
        </is>
      </c>
      <c r="B407" s="4" t="inlineStr">
        <is>
          <t>SKU0202</t>
        </is>
      </c>
      <c r="C407" s="4" t="inlineStr">
        <is>
          <t>アトルバスタチンOD錠「サンド」</t>
        </is>
      </c>
      <c r="D407" s="4" t="inlineStr">
        <is>
          <t>卸A</t>
        </is>
      </c>
      <c r="E407" s="4" t="n">
        <v>6301</v>
      </c>
      <c r="F407" s="4" t="n">
        <v>154371</v>
      </c>
    </row>
    <row r="408">
      <c r="A408" s="5" t="inlineStr">
        <is>
          <t>2024-01</t>
        </is>
      </c>
      <c r="B408" s="5" t="inlineStr">
        <is>
          <t>SKU0202</t>
        </is>
      </c>
      <c r="C408" s="5" t="inlineStr">
        <is>
          <t>アトルバスタチンOD錠「サンド」</t>
        </is>
      </c>
      <c r="D408" s="5" t="inlineStr">
        <is>
          <t>卸B</t>
        </is>
      </c>
      <c r="E408" s="5" t="n">
        <v>5754</v>
      </c>
      <c r="F408" s="5" t="n">
        <v>140966</v>
      </c>
    </row>
    <row r="409">
      <c r="A409" s="4" t="inlineStr">
        <is>
          <t>2024-01</t>
        </is>
      </c>
      <c r="B409" s="4" t="inlineStr">
        <is>
          <t>SKU0202</t>
        </is>
      </c>
      <c r="C409" s="4" t="inlineStr">
        <is>
          <t>アトルバスタチンOD錠「サンド」</t>
        </is>
      </c>
      <c r="D409" s="4" t="inlineStr">
        <is>
          <t>卸C</t>
        </is>
      </c>
      <c r="E409" s="4" t="n">
        <v>3297</v>
      </c>
      <c r="F409" s="4" t="n">
        <v>80781</v>
      </c>
    </row>
    <row r="410">
      <c r="A410" s="5" t="inlineStr">
        <is>
          <t>2024-02</t>
        </is>
      </c>
      <c r="B410" s="5" t="inlineStr">
        <is>
          <t>SKU0202</t>
        </is>
      </c>
      <c r="C410" s="5" t="inlineStr">
        <is>
          <t>アトルバスタチンOD錠「サンド」</t>
        </is>
      </c>
      <c r="D410" s="5" t="inlineStr">
        <is>
          <t>卸A</t>
        </is>
      </c>
      <c r="E410" s="5" t="n">
        <v>5933</v>
      </c>
      <c r="F410" s="5" t="n">
        <v>145361</v>
      </c>
    </row>
    <row r="411">
      <c r="A411" s="4" t="inlineStr">
        <is>
          <t>2024-02</t>
        </is>
      </c>
      <c r="B411" s="4" t="inlineStr">
        <is>
          <t>SKU0202</t>
        </is>
      </c>
      <c r="C411" s="4" t="inlineStr">
        <is>
          <t>アトルバスタチンOD錠「サンド」</t>
        </is>
      </c>
      <c r="D411" s="4" t="inlineStr">
        <is>
          <t>卸B</t>
        </is>
      </c>
      <c r="E411" s="4" t="n">
        <v>5189</v>
      </c>
      <c r="F411" s="4" t="n">
        <v>127141</v>
      </c>
    </row>
    <row r="412">
      <c r="A412" s="5" t="inlineStr">
        <is>
          <t>2024-02</t>
        </is>
      </c>
      <c r="B412" s="5" t="inlineStr">
        <is>
          <t>SKU0202</t>
        </is>
      </c>
      <c r="C412" s="5" t="inlineStr">
        <is>
          <t>アトルバスタチンOD錠「サンド」</t>
        </is>
      </c>
      <c r="D412" s="5" t="inlineStr">
        <is>
          <t>卸C</t>
        </is>
      </c>
      <c r="E412" s="5" t="n">
        <v>3456</v>
      </c>
      <c r="F412" s="5" t="n">
        <v>84670</v>
      </c>
    </row>
    <row r="413">
      <c r="A413" s="4" t="inlineStr">
        <is>
          <t>2024-03</t>
        </is>
      </c>
      <c r="B413" s="4" t="inlineStr">
        <is>
          <t>SKU0202</t>
        </is>
      </c>
      <c r="C413" s="4" t="inlineStr">
        <is>
          <t>アトルバスタチンOD錠「サンド」</t>
        </is>
      </c>
      <c r="D413" s="4" t="inlineStr">
        <is>
          <t>卸A</t>
        </is>
      </c>
      <c r="E413" s="4" t="n">
        <v>8539</v>
      </c>
      <c r="F413" s="4" t="n">
        <v>209209</v>
      </c>
    </row>
    <row r="414">
      <c r="A414" s="5" t="inlineStr">
        <is>
          <t>2024-03</t>
        </is>
      </c>
      <c r="B414" s="5" t="inlineStr">
        <is>
          <t>SKU0202</t>
        </is>
      </c>
      <c r="C414" s="5" t="inlineStr">
        <is>
          <t>アトルバスタチンOD錠「サンド」</t>
        </is>
      </c>
      <c r="D414" s="5" t="inlineStr">
        <is>
          <t>卸B</t>
        </is>
      </c>
      <c r="E414" s="5" t="n">
        <v>8474</v>
      </c>
      <c r="F414" s="5" t="n">
        <v>207624</v>
      </c>
    </row>
    <row r="415">
      <c r="A415" s="4" t="inlineStr">
        <is>
          <t>2024-03</t>
        </is>
      </c>
      <c r="B415" s="4" t="inlineStr">
        <is>
          <t>SKU0202</t>
        </is>
      </c>
      <c r="C415" s="4" t="inlineStr">
        <is>
          <t>アトルバスタチンOD錠「サンド」</t>
        </is>
      </c>
      <c r="D415" s="4" t="inlineStr">
        <is>
          <t>卸C</t>
        </is>
      </c>
      <c r="E415" s="4" t="n">
        <v>5018</v>
      </c>
      <c r="F415" s="4" t="n">
        <v>122946</v>
      </c>
    </row>
    <row r="416">
      <c r="A416" s="5" t="inlineStr">
        <is>
          <t>2024-04</t>
        </is>
      </c>
      <c r="B416" s="5" t="inlineStr">
        <is>
          <t>SKU0202</t>
        </is>
      </c>
      <c r="C416" s="5" t="inlineStr">
        <is>
          <t>アトルバスタチンOD錠「サンド」</t>
        </is>
      </c>
      <c r="D416" s="5" t="inlineStr">
        <is>
          <t>卸A</t>
        </is>
      </c>
      <c r="E416" s="5" t="n">
        <v>4037</v>
      </c>
      <c r="F416" s="5" t="n">
        <v>93466</v>
      </c>
    </row>
    <row r="417">
      <c r="A417" s="4" t="inlineStr">
        <is>
          <t>2024-04</t>
        </is>
      </c>
      <c r="B417" s="4" t="inlineStr">
        <is>
          <t>SKU0202</t>
        </is>
      </c>
      <c r="C417" s="4" t="inlineStr">
        <is>
          <t>アトルバスタチンOD錠「サンド」</t>
        </is>
      </c>
      <c r="D417" s="4" t="inlineStr">
        <is>
          <t>卸B</t>
        </is>
      </c>
      <c r="E417" s="4" t="n">
        <v>3404</v>
      </c>
      <c r="F417" s="4" t="n">
        <v>78820</v>
      </c>
    </row>
    <row r="418">
      <c r="A418" s="5" t="inlineStr">
        <is>
          <t>2024-04</t>
        </is>
      </c>
      <c r="B418" s="5" t="inlineStr">
        <is>
          <t>SKU0202</t>
        </is>
      </c>
      <c r="C418" s="5" t="inlineStr">
        <is>
          <t>アトルバスタチンOD錠「サンド」</t>
        </is>
      </c>
      <c r="D418" s="5" t="inlineStr">
        <is>
          <t>卸C</t>
        </is>
      </c>
      <c r="E418" s="5" t="n">
        <v>2601</v>
      </c>
      <c r="F418" s="5" t="n">
        <v>60218</v>
      </c>
    </row>
    <row r="419">
      <c r="A419" s="4" t="inlineStr">
        <is>
          <t>2024-05</t>
        </is>
      </c>
      <c r="B419" s="4" t="inlineStr">
        <is>
          <t>SKU0202</t>
        </is>
      </c>
      <c r="C419" s="4" t="inlineStr">
        <is>
          <t>アトルバスタチンOD錠「サンド」</t>
        </is>
      </c>
      <c r="D419" s="4" t="inlineStr">
        <is>
          <t>卸A</t>
        </is>
      </c>
      <c r="E419" s="4" t="n">
        <v>4632</v>
      </c>
      <c r="F419" s="4" t="n">
        <v>107237</v>
      </c>
    </row>
    <row r="420">
      <c r="A420" s="5" t="inlineStr">
        <is>
          <t>2024-05</t>
        </is>
      </c>
      <c r="B420" s="5" t="inlineStr">
        <is>
          <t>SKU0202</t>
        </is>
      </c>
      <c r="C420" s="5" t="inlineStr">
        <is>
          <t>アトルバスタチンOD錠「サンド」</t>
        </is>
      </c>
      <c r="D420" s="5" t="inlineStr">
        <is>
          <t>卸B</t>
        </is>
      </c>
      <c r="E420" s="5" t="n">
        <v>4901</v>
      </c>
      <c r="F420" s="5" t="n">
        <v>113467</v>
      </c>
    </row>
    <row r="421">
      <c r="A421" s="4" t="inlineStr">
        <is>
          <t>2024-05</t>
        </is>
      </c>
      <c r="B421" s="4" t="inlineStr">
        <is>
          <t>SKU0202</t>
        </is>
      </c>
      <c r="C421" s="4" t="inlineStr">
        <is>
          <t>アトルバスタチンOD錠「サンド」</t>
        </is>
      </c>
      <c r="D421" s="4" t="inlineStr">
        <is>
          <t>卸C</t>
        </is>
      </c>
      <c r="E421" s="4" t="n">
        <v>2960</v>
      </c>
      <c r="F421" s="4" t="n">
        <v>68535</v>
      </c>
    </row>
    <row r="422">
      <c r="A422" s="5" t="inlineStr">
        <is>
          <t>2024-06</t>
        </is>
      </c>
      <c r="B422" s="5" t="inlineStr">
        <is>
          <t>SKU0202</t>
        </is>
      </c>
      <c r="C422" s="5" t="inlineStr">
        <is>
          <t>アトルバスタチンOD錠「サンド」</t>
        </is>
      </c>
      <c r="D422" s="5" t="inlineStr">
        <is>
          <t>卸A</t>
        </is>
      </c>
      <c r="E422" s="5" t="n">
        <v>7303</v>
      </c>
      <c r="F422" s="5" t="n">
        <v>169088</v>
      </c>
    </row>
    <row r="423">
      <c r="A423" s="4" t="inlineStr">
        <is>
          <t>2024-06</t>
        </is>
      </c>
      <c r="B423" s="4" t="inlineStr">
        <is>
          <t>SKU0202</t>
        </is>
      </c>
      <c r="C423" s="4" t="inlineStr">
        <is>
          <t>アトルバスタチンOD錠「サンド」</t>
        </is>
      </c>
      <c r="D423" s="4" t="inlineStr">
        <is>
          <t>卸B</t>
        </is>
      </c>
      <c r="E423" s="4" t="n">
        <v>5664</v>
      </c>
      <c r="F423" s="4" t="n">
        <v>131135</v>
      </c>
    </row>
    <row r="424">
      <c r="A424" s="5" t="inlineStr">
        <is>
          <t>2024-06</t>
        </is>
      </c>
      <c r="B424" s="5" t="inlineStr">
        <is>
          <t>SKU0202</t>
        </is>
      </c>
      <c r="C424" s="5" t="inlineStr">
        <is>
          <t>アトルバスタチンOD錠「サンド」</t>
        </is>
      </c>
      <c r="D424" s="5" t="inlineStr">
        <is>
          <t>卸C</t>
        </is>
      </c>
      <c r="E424" s="5" t="n">
        <v>3954</v>
      </c>
      <c r="F424" s="5" t="n">
        <v>91544</v>
      </c>
    </row>
    <row r="425">
      <c r="A425" s="4" t="inlineStr">
        <is>
          <t>2024-07</t>
        </is>
      </c>
      <c r="B425" s="4" t="inlineStr">
        <is>
          <t>SKU0202</t>
        </is>
      </c>
      <c r="C425" s="4" t="inlineStr">
        <is>
          <t>アトルバスタチンOD錠「サンド」</t>
        </is>
      </c>
      <c r="D425" s="4" t="inlineStr">
        <is>
          <t>卸A</t>
        </is>
      </c>
      <c r="E425" s="4" t="n">
        <v>6347</v>
      </c>
      <c r="F425" s="4" t="n">
        <v>146941</v>
      </c>
    </row>
    <row r="426">
      <c r="A426" s="5" t="inlineStr">
        <is>
          <t>2024-07</t>
        </is>
      </c>
      <c r="B426" s="5" t="inlineStr">
        <is>
          <t>SKU0202</t>
        </is>
      </c>
      <c r="C426" s="5" t="inlineStr">
        <is>
          <t>アトルバスタチンOD錠「サンド」</t>
        </is>
      </c>
      <c r="D426" s="5" t="inlineStr">
        <is>
          <t>卸B</t>
        </is>
      </c>
      <c r="E426" s="5" t="n">
        <v>6690</v>
      </c>
      <c r="F426" s="5" t="n">
        <v>154888</v>
      </c>
    </row>
    <row r="427">
      <c r="A427" s="4" t="inlineStr">
        <is>
          <t>2024-07</t>
        </is>
      </c>
      <c r="B427" s="4" t="inlineStr">
        <is>
          <t>SKU0202</t>
        </is>
      </c>
      <c r="C427" s="4" t="inlineStr">
        <is>
          <t>アトルバスタチンOD錠「サンド」</t>
        </is>
      </c>
      <c r="D427" s="4" t="inlineStr">
        <is>
          <t>卸C</t>
        </is>
      </c>
      <c r="E427" s="4" t="n">
        <v>4286</v>
      </c>
      <c r="F427" s="4" t="n">
        <v>99237</v>
      </c>
    </row>
    <row r="428">
      <c r="A428" s="5" t="inlineStr">
        <is>
          <t>2024-08</t>
        </is>
      </c>
      <c r="B428" s="5" t="inlineStr">
        <is>
          <t>SKU0202</t>
        </is>
      </c>
      <c r="C428" s="5" t="inlineStr">
        <is>
          <t>アトルバスタチンOD錠「サンド」</t>
        </is>
      </c>
      <c r="D428" s="5" t="inlineStr">
        <is>
          <t>卸A</t>
        </is>
      </c>
      <c r="E428" s="5" t="n">
        <v>7054</v>
      </c>
      <c r="F428" s="5" t="n">
        <v>163329</v>
      </c>
    </row>
    <row r="429">
      <c r="A429" s="4" t="inlineStr">
        <is>
          <t>2024-08</t>
        </is>
      </c>
      <c r="B429" s="4" t="inlineStr">
        <is>
          <t>SKU0202</t>
        </is>
      </c>
      <c r="C429" s="4" t="inlineStr">
        <is>
          <t>アトルバスタチンOD錠「サンド」</t>
        </is>
      </c>
      <c r="D429" s="4" t="inlineStr">
        <is>
          <t>卸B</t>
        </is>
      </c>
      <c r="E429" s="4" t="n">
        <v>5682</v>
      </c>
      <c r="F429" s="4" t="n">
        <v>131560</v>
      </c>
    </row>
    <row r="430">
      <c r="A430" s="5" t="inlineStr">
        <is>
          <t>2024-08</t>
        </is>
      </c>
      <c r="B430" s="5" t="inlineStr">
        <is>
          <t>SKU0202</t>
        </is>
      </c>
      <c r="C430" s="5" t="inlineStr">
        <is>
          <t>アトルバスタチンOD錠「サンド」</t>
        </is>
      </c>
      <c r="D430" s="5" t="inlineStr">
        <is>
          <t>卸C</t>
        </is>
      </c>
      <c r="E430" s="5" t="n">
        <v>4677</v>
      </c>
      <c r="F430" s="5" t="n">
        <v>108285</v>
      </c>
    </row>
    <row r="431">
      <c r="A431" s="4" t="inlineStr">
        <is>
          <t>2024-09</t>
        </is>
      </c>
      <c r="B431" s="4" t="inlineStr">
        <is>
          <t>SKU0202</t>
        </is>
      </c>
      <c r="C431" s="4" t="inlineStr">
        <is>
          <t>アトルバスタチンOD錠「サンド」</t>
        </is>
      </c>
      <c r="D431" s="4" t="inlineStr">
        <is>
          <t>卸A</t>
        </is>
      </c>
      <c r="E431" s="4" t="n">
        <v>6575</v>
      </c>
      <c r="F431" s="4" t="n">
        <v>152231</v>
      </c>
    </row>
    <row r="432">
      <c r="A432" s="5" t="inlineStr">
        <is>
          <t>2024-09</t>
        </is>
      </c>
      <c r="B432" s="5" t="inlineStr">
        <is>
          <t>SKU0202</t>
        </is>
      </c>
      <c r="C432" s="5" t="inlineStr">
        <is>
          <t>アトルバスタチンOD錠「サンド」</t>
        </is>
      </c>
      <c r="D432" s="5" t="inlineStr">
        <is>
          <t>卸B</t>
        </is>
      </c>
      <c r="E432" s="5" t="n">
        <v>5883</v>
      </c>
      <c r="F432" s="5" t="n">
        <v>136206</v>
      </c>
    </row>
    <row r="433">
      <c r="A433" s="4" t="inlineStr">
        <is>
          <t>2024-09</t>
        </is>
      </c>
      <c r="B433" s="4" t="inlineStr">
        <is>
          <t>SKU0202</t>
        </is>
      </c>
      <c r="C433" s="4" t="inlineStr">
        <is>
          <t>アトルバスタチンOD錠「サンド」</t>
        </is>
      </c>
      <c r="D433" s="4" t="inlineStr">
        <is>
          <t>卸C</t>
        </is>
      </c>
      <c r="E433" s="4" t="n">
        <v>4189</v>
      </c>
      <c r="F433" s="4" t="n">
        <v>96982</v>
      </c>
    </row>
    <row r="434">
      <c r="A434" s="5" t="inlineStr">
        <is>
          <t>2024-10</t>
        </is>
      </c>
      <c r="B434" s="5" t="inlineStr">
        <is>
          <t>SKU0202</t>
        </is>
      </c>
      <c r="C434" s="5" t="inlineStr">
        <is>
          <t>アトルバスタチンOD錠「サンド」</t>
        </is>
      </c>
      <c r="D434" s="5" t="inlineStr">
        <is>
          <t>卸A</t>
        </is>
      </c>
      <c r="E434" s="5" t="n">
        <v>7654</v>
      </c>
      <c r="F434" s="5" t="n">
        <v>177203</v>
      </c>
    </row>
    <row r="435">
      <c r="A435" s="4" t="inlineStr">
        <is>
          <t>2024-10</t>
        </is>
      </c>
      <c r="B435" s="4" t="inlineStr">
        <is>
          <t>SKU0202</t>
        </is>
      </c>
      <c r="C435" s="4" t="inlineStr">
        <is>
          <t>アトルバスタチンOD錠「サンド」</t>
        </is>
      </c>
      <c r="D435" s="4" t="inlineStr">
        <is>
          <t>卸B</t>
        </is>
      </c>
      <c r="E435" s="4" t="n">
        <v>6613</v>
      </c>
      <c r="F435" s="4" t="n">
        <v>153103</v>
      </c>
    </row>
    <row r="436">
      <c r="A436" s="5" t="inlineStr">
        <is>
          <t>2024-10</t>
        </is>
      </c>
      <c r="B436" s="5" t="inlineStr">
        <is>
          <t>SKU0202</t>
        </is>
      </c>
      <c r="C436" s="5" t="inlineStr">
        <is>
          <t>アトルバスタチンOD錠「サンド」</t>
        </is>
      </c>
      <c r="D436" s="5" t="inlineStr">
        <is>
          <t>卸C</t>
        </is>
      </c>
      <c r="E436" s="5" t="n">
        <v>4579</v>
      </c>
      <c r="F436" s="5" t="n">
        <v>106021</v>
      </c>
    </row>
    <row r="437">
      <c r="A437" s="4" t="inlineStr">
        <is>
          <t>2024-11</t>
        </is>
      </c>
      <c r="B437" s="4" t="inlineStr">
        <is>
          <t>SKU0202</t>
        </is>
      </c>
      <c r="C437" s="4" t="inlineStr">
        <is>
          <t>アトルバスタチンOD錠「サンド」</t>
        </is>
      </c>
      <c r="D437" s="4" t="inlineStr">
        <is>
          <t>卸A</t>
        </is>
      </c>
      <c r="E437" s="4" t="n">
        <v>7405</v>
      </c>
      <c r="F437" s="4" t="n">
        <v>171445</v>
      </c>
    </row>
    <row r="438">
      <c r="A438" s="5" t="inlineStr">
        <is>
          <t>2024-11</t>
        </is>
      </c>
      <c r="B438" s="5" t="inlineStr">
        <is>
          <t>SKU0202</t>
        </is>
      </c>
      <c r="C438" s="5" t="inlineStr">
        <is>
          <t>アトルバスタチンOD錠「サンド」</t>
        </is>
      </c>
      <c r="D438" s="5" t="inlineStr">
        <is>
          <t>卸B</t>
        </is>
      </c>
      <c r="E438" s="5" t="n">
        <v>5597</v>
      </c>
      <c r="F438" s="5" t="n">
        <v>129585</v>
      </c>
    </row>
    <row r="439">
      <c r="A439" s="4" t="inlineStr">
        <is>
          <t>2024-11</t>
        </is>
      </c>
      <c r="B439" s="4" t="inlineStr">
        <is>
          <t>SKU0202</t>
        </is>
      </c>
      <c r="C439" s="4" t="inlineStr">
        <is>
          <t>アトルバスタチンOD錠「サンド」</t>
        </is>
      </c>
      <c r="D439" s="4" t="inlineStr">
        <is>
          <t>卸C</t>
        </is>
      </c>
      <c r="E439" s="4" t="n">
        <v>4483</v>
      </c>
      <c r="F439" s="4" t="n">
        <v>103789</v>
      </c>
    </row>
    <row r="440">
      <c r="A440" s="5" t="inlineStr">
        <is>
          <t>2024-12</t>
        </is>
      </c>
      <c r="B440" s="5" t="inlineStr">
        <is>
          <t>SKU0202</t>
        </is>
      </c>
      <c r="C440" s="5" t="inlineStr">
        <is>
          <t>アトルバスタチンOD錠「サンド」</t>
        </is>
      </c>
      <c r="D440" s="5" t="inlineStr">
        <is>
          <t>卸A</t>
        </is>
      </c>
      <c r="E440" s="5" t="n">
        <v>6583</v>
      </c>
      <c r="F440" s="5" t="n">
        <v>152411</v>
      </c>
    </row>
    <row r="441">
      <c r="A441" s="4" t="inlineStr">
        <is>
          <t>2024-12</t>
        </is>
      </c>
      <c r="B441" s="4" t="inlineStr">
        <is>
          <t>SKU0202</t>
        </is>
      </c>
      <c r="C441" s="4" t="inlineStr">
        <is>
          <t>アトルバスタチンOD錠「サンド」</t>
        </is>
      </c>
      <c r="D441" s="4" t="inlineStr">
        <is>
          <t>卸B</t>
        </is>
      </c>
      <c r="E441" s="4" t="n">
        <v>6309</v>
      </c>
      <c r="F441" s="4" t="n">
        <v>146061</v>
      </c>
    </row>
    <row r="442">
      <c r="A442" s="5" t="inlineStr">
        <is>
          <t>2024-12</t>
        </is>
      </c>
      <c r="B442" s="5" t="inlineStr">
        <is>
          <t>SKU0202</t>
        </is>
      </c>
      <c r="C442" s="5" t="inlineStr">
        <is>
          <t>アトルバスタチンOD錠「サンド」</t>
        </is>
      </c>
      <c r="D442" s="5" t="inlineStr">
        <is>
          <t>卸C</t>
        </is>
      </c>
      <c r="E442" s="5" t="n">
        <v>4093</v>
      </c>
      <c r="F442" s="5" t="n">
        <v>94769</v>
      </c>
    </row>
    <row r="443">
      <c r="A443" s="4" t="inlineStr">
        <is>
          <t>2025-01</t>
        </is>
      </c>
      <c r="B443" s="4" t="inlineStr">
        <is>
          <t>SKU0202</t>
        </is>
      </c>
      <c r="C443" s="4" t="inlineStr">
        <is>
          <t>アトルバスタチンOD錠「サンド」</t>
        </is>
      </c>
      <c r="D443" s="4" t="inlineStr">
        <is>
          <t>卸A</t>
        </is>
      </c>
      <c r="E443" s="4" t="n">
        <v>6461</v>
      </c>
      <c r="F443" s="4" t="n">
        <v>149590</v>
      </c>
    </row>
    <row r="444">
      <c r="A444" s="5" t="inlineStr">
        <is>
          <t>2025-01</t>
        </is>
      </c>
      <c r="B444" s="5" t="inlineStr">
        <is>
          <t>SKU0202</t>
        </is>
      </c>
      <c r="C444" s="5" t="inlineStr">
        <is>
          <t>アトルバスタチンOD錠「サンド」</t>
        </is>
      </c>
      <c r="D444" s="5" t="inlineStr">
        <is>
          <t>卸B</t>
        </is>
      </c>
      <c r="E444" s="5" t="n">
        <v>5460</v>
      </c>
      <c r="F444" s="5" t="n">
        <v>126412</v>
      </c>
    </row>
    <row r="445">
      <c r="A445" s="4" t="inlineStr">
        <is>
          <t>2025-01</t>
        </is>
      </c>
      <c r="B445" s="4" t="inlineStr">
        <is>
          <t>SKU0202</t>
        </is>
      </c>
      <c r="C445" s="4" t="inlineStr">
        <is>
          <t>アトルバスタチンOD錠「サンド」</t>
        </is>
      </c>
      <c r="D445" s="4" t="inlineStr">
        <is>
          <t>卸C</t>
        </is>
      </c>
      <c r="E445" s="4" t="n">
        <v>3738</v>
      </c>
      <c r="F445" s="4" t="n">
        <v>86539</v>
      </c>
    </row>
    <row r="446">
      <c r="A446" s="5" t="inlineStr">
        <is>
          <t>2025-02</t>
        </is>
      </c>
      <c r="B446" s="5" t="inlineStr">
        <is>
          <t>SKU0202</t>
        </is>
      </c>
      <c r="C446" s="5" t="inlineStr">
        <is>
          <t>アトルバスタチンOD錠「サンド」</t>
        </is>
      </c>
      <c r="D446" s="5" t="inlineStr">
        <is>
          <t>卸A</t>
        </is>
      </c>
      <c r="E446" s="5" t="n">
        <v>7212</v>
      </c>
      <c r="F446" s="5" t="n">
        <v>166984</v>
      </c>
    </row>
    <row r="447">
      <c r="A447" s="4" t="inlineStr">
        <is>
          <t>2025-02</t>
        </is>
      </c>
      <c r="B447" s="4" t="inlineStr">
        <is>
          <t>SKU0202</t>
        </is>
      </c>
      <c r="C447" s="4" t="inlineStr">
        <is>
          <t>アトルバスタチンOD錠「サンド」</t>
        </is>
      </c>
      <c r="D447" s="4" t="inlineStr">
        <is>
          <t>卸B</t>
        </is>
      </c>
      <c r="E447" s="4" t="n">
        <v>6312</v>
      </c>
      <c r="F447" s="4" t="n">
        <v>146143</v>
      </c>
    </row>
    <row r="448">
      <c r="A448" s="5" t="inlineStr">
        <is>
          <t>2025-02</t>
        </is>
      </c>
      <c r="B448" s="5" t="inlineStr">
        <is>
          <t>SKU0202</t>
        </is>
      </c>
      <c r="C448" s="5" t="inlineStr">
        <is>
          <t>アトルバスタチンOD錠「サンド」</t>
        </is>
      </c>
      <c r="D448" s="5" t="inlineStr">
        <is>
          <t>卸C</t>
        </is>
      </c>
      <c r="E448" s="5" t="n">
        <v>3983</v>
      </c>
      <c r="F448" s="5" t="n">
        <v>92208</v>
      </c>
    </row>
    <row r="449">
      <c r="A449" s="4" t="inlineStr">
        <is>
          <t>2025-03</t>
        </is>
      </c>
      <c r="B449" s="4" t="inlineStr">
        <is>
          <t>SKU0202</t>
        </is>
      </c>
      <c r="C449" s="4" t="inlineStr">
        <is>
          <t>アトルバスタチンOD錠「サンド」</t>
        </is>
      </c>
      <c r="D449" s="4" t="inlineStr">
        <is>
          <t>卸A</t>
        </is>
      </c>
      <c r="E449" s="4" t="n">
        <v>11384</v>
      </c>
      <c r="F449" s="4" t="n">
        <v>263566</v>
      </c>
    </row>
    <row r="450">
      <c r="A450" s="5" t="inlineStr">
        <is>
          <t>2025-03</t>
        </is>
      </c>
      <c r="B450" s="5" t="inlineStr">
        <is>
          <t>SKU0202</t>
        </is>
      </c>
      <c r="C450" s="5" t="inlineStr">
        <is>
          <t>アトルバスタチンOD錠「サンド」</t>
        </is>
      </c>
      <c r="D450" s="5" t="inlineStr">
        <is>
          <t>卸B</t>
        </is>
      </c>
      <c r="E450" s="5" t="n">
        <v>10151</v>
      </c>
      <c r="F450" s="5" t="n">
        <v>235012</v>
      </c>
    </row>
    <row r="451">
      <c r="A451" s="4" t="inlineStr">
        <is>
          <t>2025-03</t>
        </is>
      </c>
      <c r="B451" s="4" t="inlineStr">
        <is>
          <t>SKU0202</t>
        </is>
      </c>
      <c r="C451" s="4" t="inlineStr">
        <is>
          <t>アトルバスタチンOD錠「サンド」</t>
        </is>
      </c>
      <c r="D451" s="4" t="inlineStr">
        <is>
          <t>卸C</t>
        </is>
      </c>
      <c r="E451" s="4" t="n">
        <v>6133</v>
      </c>
      <c r="F451" s="4" t="n">
        <v>141996</v>
      </c>
    </row>
    <row r="452">
      <c r="A452" s="5" t="inlineStr">
        <is>
          <t>2025-04</t>
        </is>
      </c>
      <c r="B452" s="5" t="inlineStr">
        <is>
          <t>SKU0202</t>
        </is>
      </c>
      <c r="C452" s="5" t="inlineStr">
        <is>
          <t>アトルバスタチンOD錠「サンド」</t>
        </is>
      </c>
      <c r="D452" s="5" t="inlineStr">
        <is>
          <t>卸A</t>
        </is>
      </c>
      <c r="E452" s="5" t="n">
        <v>4437</v>
      </c>
      <c r="F452" s="5" t="n">
        <v>99648</v>
      </c>
    </row>
    <row r="453">
      <c r="A453" s="4" t="inlineStr">
        <is>
          <t>2025-04</t>
        </is>
      </c>
      <c r="B453" s="4" t="inlineStr">
        <is>
          <t>SKU0202</t>
        </is>
      </c>
      <c r="C453" s="4" t="inlineStr">
        <is>
          <t>アトルバスタチンOD錠「サンド」</t>
        </is>
      </c>
      <c r="D453" s="4" t="inlineStr">
        <is>
          <t>卸B</t>
        </is>
      </c>
      <c r="E453" s="4" t="n">
        <v>3568</v>
      </c>
      <c r="F453" s="4" t="n">
        <v>80122</v>
      </c>
    </row>
    <row r="454">
      <c r="A454" s="5" t="inlineStr">
        <is>
          <t>2025-04</t>
        </is>
      </c>
      <c r="B454" s="5" t="inlineStr">
        <is>
          <t>SKU0202</t>
        </is>
      </c>
      <c r="C454" s="5" t="inlineStr">
        <is>
          <t>アトルバスタチンOD錠「サンド」</t>
        </is>
      </c>
      <c r="D454" s="5" t="inlineStr">
        <is>
          <t>卸C</t>
        </is>
      </c>
      <c r="E454" s="5" t="n">
        <v>2808</v>
      </c>
      <c r="F454" s="5" t="n">
        <v>63060</v>
      </c>
    </row>
    <row r="455">
      <c r="A455" s="4" t="inlineStr">
        <is>
          <t>2025-05</t>
        </is>
      </c>
      <c r="B455" s="4" t="inlineStr">
        <is>
          <t>SKU0202</t>
        </is>
      </c>
      <c r="C455" s="4" t="inlineStr">
        <is>
          <t>アトルバスタチンOD錠「サンド」</t>
        </is>
      </c>
      <c r="D455" s="4" t="inlineStr">
        <is>
          <t>卸A</t>
        </is>
      </c>
      <c r="E455" s="4" t="n">
        <v>5262</v>
      </c>
      <c r="F455" s="4" t="n">
        <v>118177</v>
      </c>
    </row>
    <row r="456">
      <c r="A456" s="5" t="inlineStr">
        <is>
          <t>2025-05</t>
        </is>
      </c>
      <c r="B456" s="5" t="inlineStr">
        <is>
          <t>SKU0202</t>
        </is>
      </c>
      <c r="C456" s="5" t="inlineStr">
        <is>
          <t>アトルバスタチンOD錠「サンド」</t>
        </is>
      </c>
      <c r="D456" s="5" t="inlineStr">
        <is>
          <t>卸B</t>
        </is>
      </c>
      <c r="E456" s="5" t="n">
        <v>4623</v>
      </c>
      <c r="F456" s="5" t="n">
        <v>103832</v>
      </c>
    </row>
    <row r="457">
      <c r="A457" s="4" t="inlineStr">
        <is>
          <t>2025-05</t>
        </is>
      </c>
      <c r="B457" s="4" t="inlineStr">
        <is>
          <t>SKU0202</t>
        </is>
      </c>
      <c r="C457" s="4" t="inlineStr">
        <is>
          <t>アトルバスタチンOD錠「サンド」</t>
        </is>
      </c>
      <c r="D457" s="4" t="inlineStr">
        <is>
          <t>卸C</t>
        </is>
      </c>
      <c r="E457" s="4" t="n">
        <v>3264</v>
      </c>
      <c r="F457" s="4" t="n">
        <v>73313</v>
      </c>
    </row>
    <row r="458">
      <c r="A458" s="5" t="inlineStr">
        <is>
          <t>2025-06</t>
        </is>
      </c>
      <c r="B458" s="5" t="inlineStr">
        <is>
          <t>SKU0202</t>
        </is>
      </c>
      <c r="C458" s="5" t="inlineStr">
        <is>
          <t>アトルバスタチンOD錠「サンド」</t>
        </is>
      </c>
      <c r="D458" s="5" t="inlineStr">
        <is>
          <t>卸A</t>
        </is>
      </c>
      <c r="E458" s="5" t="n">
        <v>7859</v>
      </c>
      <c r="F458" s="5" t="n">
        <v>176496</v>
      </c>
    </row>
    <row r="459">
      <c r="A459" s="4" t="inlineStr">
        <is>
          <t>2025-06</t>
        </is>
      </c>
      <c r="B459" s="4" t="inlineStr">
        <is>
          <t>SKU0202</t>
        </is>
      </c>
      <c r="C459" s="4" t="inlineStr">
        <is>
          <t>アトルバスタチンOD錠「サンド」</t>
        </is>
      </c>
      <c r="D459" s="4" t="inlineStr">
        <is>
          <t>卸B</t>
        </is>
      </c>
      <c r="E459" s="4" t="n">
        <v>6151</v>
      </c>
      <c r="F459" s="4" t="n">
        <v>138143</v>
      </c>
    </row>
    <row r="460">
      <c r="A460" s="5" t="inlineStr">
        <is>
          <t>2025-06</t>
        </is>
      </c>
      <c r="B460" s="5" t="inlineStr">
        <is>
          <t>SKU0202</t>
        </is>
      </c>
      <c r="C460" s="5" t="inlineStr">
        <is>
          <t>アトルバスタチンOD錠「サンド」</t>
        </is>
      </c>
      <c r="D460" s="5" t="inlineStr">
        <is>
          <t>卸C</t>
        </is>
      </c>
      <c r="E460" s="5" t="n">
        <v>4238</v>
      </c>
      <c r="F460" s="5" t="n">
        <v>95181</v>
      </c>
    </row>
    <row r="461">
      <c r="A461" s="4" t="inlineStr">
        <is>
          <t>2025-07</t>
        </is>
      </c>
      <c r="B461" s="4" t="inlineStr">
        <is>
          <t>SKU0202</t>
        </is>
      </c>
      <c r="C461" s="4" t="inlineStr">
        <is>
          <t>アトルバスタチンOD錠「サンド」</t>
        </is>
      </c>
      <c r="D461" s="4" t="inlineStr">
        <is>
          <t>卸A</t>
        </is>
      </c>
      <c r="E461" s="4" t="n">
        <v>7268</v>
      </c>
      <c r="F461" s="4" t="n">
        <v>163229</v>
      </c>
    </row>
    <row r="462">
      <c r="A462" s="5" t="inlineStr">
        <is>
          <t>2025-07</t>
        </is>
      </c>
      <c r="B462" s="5" t="inlineStr">
        <is>
          <t>SKU0202</t>
        </is>
      </c>
      <c r="C462" s="5" t="inlineStr">
        <is>
          <t>アトルバスタチンOD錠「サンド」</t>
        </is>
      </c>
      <c r="D462" s="5" t="inlineStr">
        <is>
          <t>卸B</t>
        </is>
      </c>
      <c r="E462" s="5" t="n">
        <v>5802</v>
      </c>
      <c r="F462" s="5" t="n">
        <v>130312</v>
      </c>
    </row>
    <row r="463">
      <c r="A463" s="4" t="inlineStr">
        <is>
          <t>2025-07</t>
        </is>
      </c>
      <c r="B463" s="4" t="inlineStr">
        <is>
          <t>SKU0202</t>
        </is>
      </c>
      <c r="C463" s="4" t="inlineStr">
        <is>
          <t>アトルバスタチンOD錠「サンド」</t>
        </is>
      </c>
      <c r="D463" s="4" t="inlineStr">
        <is>
          <t>卸C</t>
        </is>
      </c>
      <c r="E463" s="4" t="n">
        <v>4492</v>
      </c>
      <c r="F463" s="4" t="n">
        <v>100874</v>
      </c>
    </row>
    <row r="464">
      <c r="A464" s="5" t="inlineStr">
        <is>
          <t>2025-08</t>
        </is>
      </c>
      <c r="B464" s="5" t="inlineStr">
        <is>
          <t>SKU0202</t>
        </is>
      </c>
      <c r="C464" s="5" t="inlineStr">
        <is>
          <t>アトルバスタチンOD錠「サンド」</t>
        </is>
      </c>
      <c r="D464" s="5" t="inlineStr">
        <is>
          <t>卸A</t>
        </is>
      </c>
      <c r="E464" s="5" t="n">
        <v>8120</v>
      </c>
      <c r="F464" s="5" t="n">
        <v>182362</v>
      </c>
    </row>
    <row r="465">
      <c r="A465" s="4" t="inlineStr">
        <is>
          <t>2025-08</t>
        </is>
      </c>
      <c r="B465" s="4" t="inlineStr">
        <is>
          <t>SKU0202</t>
        </is>
      </c>
      <c r="C465" s="4" t="inlineStr">
        <is>
          <t>アトルバスタチンOD錠「サンド」</t>
        </is>
      </c>
      <c r="D465" s="4" t="inlineStr">
        <is>
          <t>卸B</t>
        </is>
      </c>
      <c r="E465" s="4" t="n">
        <v>7874</v>
      </c>
      <c r="F465" s="4" t="n">
        <v>176842</v>
      </c>
    </row>
    <row r="466">
      <c r="A466" s="5" t="inlineStr">
        <is>
          <t>2025-08</t>
        </is>
      </c>
      <c r="B466" s="5" t="inlineStr">
        <is>
          <t>SKU0202</t>
        </is>
      </c>
      <c r="C466" s="5" t="inlineStr">
        <is>
          <t>アトルバスタチンOD錠「サンド」</t>
        </is>
      </c>
      <c r="D466" s="5" t="inlineStr">
        <is>
          <t>卸C</t>
        </is>
      </c>
      <c r="E466" s="5" t="n">
        <v>4068</v>
      </c>
      <c r="F466" s="5" t="n">
        <v>91352</v>
      </c>
    </row>
    <row r="467">
      <c r="A467" s="4" t="inlineStr">
        <is>
          <t>2025-09</t>
        </is>
      </c>
      <c r="B467" s="4" t="inlineStr">
        <is>
          <t>SKU0202</t>
        </is>
      </c>
      <c r="C467" s="4" t="inlineStr">
        <is>
          <t>アトルバスタチンOD錠「サンド」</t>
        </is>
      </c>
      <c r="D467" s="4" t="inlineStr">
        <is>
          <t>卸A</t>
        </is>
      </c>
      <c r="E467" s="4" t="n">
        <v>7595</v>
      </c>
      <c r="F467" s="4" t="n">
        <v>170564</v>
      </c>
    </row>
    <row r="468">
      <c r="A468" s="5" t="inlineStr">
        <is>
          <t>2025-09</t>
        </is>
      </c>
      <c r="B468" s="5" t="inlineStr">
        <is>
          <t>SKU0202</t>
        </is>
      </c>
      <c r="C468" s="5" t="inlineStr">
        <is>
          <t>アトルバスタチンOD錠「サンド」</t>
        </is>
      </c>
      <c r="D468" s="5" t="inlineStr">
        <is>
          <t>卸B</t>
        </is>
      </c>
      <c r="E468" s="5" t="n">
        <v>6496</v>
      </c>
      <c r="F468" s="5" t="n">
        <v>145882</v>
      </c>
    </row>
    <row r="469">
      <c r="A469" s="4" t="inlineStr">
        <is>
          <t>2025-09</t>
        </is>
      </c>
      <c r="B469" s="4" t="inlineStr">
        <is>
          <t>SKU0202</t>
        </is>
      </c>
      <c r="C469" s="4" t="inlineStr">
        <is>
          <t>アトルバスタチンOD錠「サンド」</t>
        </is>
      </c>
      <c r="D469" s="4" t="inlineStr">
        <is>
          <t>卸C</t>
        </is>
      </c>
      <c r="E469" s="4" t="n">
        <v>4352</v>
      </c>
      <c r="F469" s="4" t="n">
        <v>97739</v>
      </c>
    </row>
    <row r="470">
      <c r="A470" s="5" t="inlineStr">
        <is>
          <t>2025-10</t>
        </is>
      </c>
      <c r="B470" s="5" t="inlineStr">
        <is>
          <t>SKU0202</t>
        </is>
      </c>
      <c r="C470" s="5" t="inlineStr">
        <is>
          <t>アトルバスタチンOD錠「サンド」</t>
        </is>
      </c>
      <c r="D470" s="5" t="inlineStr">
        <is>
          <t>卸A</t>
        </is>
      </c>
      <c r="E470" s="5" t="n">
        <v>8189</v>
      </c>
      <c r="F470" s="5" t="n">
        <v>183898</v>
      </c>
    </row>
    <row r="471">
      <c r="A471" s="4" t="inlineStr">
        <is>
          <t>2025-10</t>
        </is>
      </c>
      <c r="B471" s="4" t="inlineStr">
        <is>
          <t>SKU0202</t>
        </is>
      </c>
      <c r="C471" s="4" t="inlineStr">
        <is>
          <t>アトルバスタチンOD錠「サンド」</t>
        </is>
      </c>
      <c r="D471" s="4" t="inlineStr">
        <is>
          <t>卸B</t>
        </is>
      </c>
      <c r="E471" s="4" t="n">
        <v>6640</v>
      </c>
      <c r="F471" s="4" t="n">
        <v>149124</v>
      </c>
    </row>
    <row r="472">
      <c r="A472" s="5" t="inlineStr">
        <is>
          <t>2025-10</t>
        </is>
      </c>
      <c r="B472" s="5" t="inlineStr">
        <is>
          <t>SKU0202</t>
        </is>
      </c>
      <c r="C472" s="5" t="inlineStr">
        <is>
          <t>アトルバスタチンOD錠「サンド」</t>
        </is>
      </c>
      <c r="D472" s="5" t="inlineStr">
        <is>
          <t>卸C</t>
        </is>
      </c>
      <c r="E472" s="5" t="n">
        <v>4432</v>
      </c>
      <c r="F472" s="5" t="n">
        <v>99526</v>
      </c>
    </row>
    <row r="473">
      <c r="A473" s="4" t="inlineStr">
        <is>
          <t>2025-11</t>
        </is>
      </c>
      <c r="B473" s="4" t="inlineStr">
        <is>
          <t>SKU0202</t>
        </is>
      </c>
      <c r="C473" s="4" t="inlineStr">
        <is>
          <t>アトルバスタチンOD錠「サンド」</t>
        </is>
      </c>
      <c r="D473" s="4" t="inlineStr">
        <is>
          <t>卸A</t>
        </is>
      </c>
      <c r="E473" s="4" t="n">
        <v>8696</v>
      </c>
      <c r="F473" s="4" t="n">
        <v>195302</v>
      </c>
    </row>
    <row r="474">
      <c r="A474" s="5" t="inlineStr">
        <is>
          <t>2025-11</t>
        </is>
      </c>
      <c r="B474" s="5" t="inlineStr">
        <is>
          <t>SKU0202</t>
        </is>
      </c>
      <c r="C474" s="5" t="inlineStr">
        <is>
          <t>アトルバスタチンOD錠「サンド」</t>
        </is>
      </c>
      <c r="D474" s="5" t="inlineStr">
        <is>
          <t>卸B</t>
        </is>
      </c>
      <c r="E474" s="5" t="n">
        <v>7587</v>
      </c>
      <c r="F474" s="5" t="n">
        <v>170394</v>
      </c>
    </row>
    <row r="475">
      <c r="A475" s="4" t="inlineStr">
        <is>
          <t>2025-11</t>
        </is>
      </c>
      <c r="B475" s="4" t="inlineStr">
        <is>
          <t>SKU0202</t>
        </is>
      </c>
      <c r="C475" s="4" t="inlineStr">
        <is>
          <t>アトルバスタチンOD錠「サンド」</t>
        </is>
      </c>
      <c r="D475" s="4" t="inlineStr">
        <is>
          <t>卸C</t>
        </is>
      </c>
      <c r="E475" s="4" t="n">
        <v>5099</v>
      </c>
      <c r="F475" s="4" t="n">
        <v>114516</v>
      </c>
    </row>
    <row r="476">
      <c r="A476" s="5" t="inlineStr">
        <is>
          <t>2025-12</t>
        </is>
      </c>
      <c r="B476" s="5" t="inlineStr">
        <is>
          <t>SKU0202</t>
        </is>
      </c>
      <c r="C476" s="5" t="inlineStr">
        <is>
          <t>アトルバスタチンOD錠「サンド」</t>
        </is>
      </c>
      <c r="D476" s="5" t="inlineStr">
        <is>
          <t>卸A</t>
        </is>
      </c>
      <c r="E476" s="5" t="n">
        <v>9030</v>
      </c>
      <c r="F476" s="5" t="n">
        <v>202802</v>
      </c>
    </row>
    <row r="477">
      <c r="A477" s="4" t="inlineStr">
        <is>
          <t>2025-12</t>
        </is>
      </c>
      <c r="B477" s="4" t="inlineStr">
        <is>
          <t>SKU0202</t>
        </is>
      </c>
      <c r="C477" s="4" t="inlineStr">
        <is>
          <t>アトルバスタチンOD錠「サンド」</t>
        </is>
      </c>
      <c r="D477" s="4" t="inlineStr">
        <is>
          <t>卸B</t>
        </is>
      </c>
      <c r="E477" s="4" t="n">
        <v>7326</v>
      </c>
      <c r="F477" s="4" t="n">
        <v>164525</v>
      </c>
    </row>
    <row r="478">
      <c r="A478" s="5" t="inlineStr">
        <is>
          <t>2025-12</t>
        </is>
      </c>
      <c r="B478" s="5" t="inlineStr">
        <is>
          <t>SKU0202</t>
        </is>
      </c>
      <c r="C478" s="5" t="inlineStr">
        <is>
          <t>アトルバスタチンOD錠「サンド」</t>
        </is>
      </c>
      <c r="D478" s="5" t="inlineStr">
        <is>
          <t>卸C</t>
        </is>
      </c>
      <c r="E478" s="5" t="n">
        <v>4961</v>
      </c>
      <c r="F478" s="5" t="n">
        <v>111417</v>
      </c>
    </row>
    <row r="479">
      <c r="A479" s="4" t="inlineStr">
        <is>
          <t>2026-01</t>
        </is>
      </c>
      <c r="B479" s="4" t="inlineStr">
        <is>
          <t>SKU0202</t>
        </is>
      </c>
      <c r="C479" s="4" t="inlineStr">
        <is>
          <t>アトルバスタチンOD錠「サンド」</t>
        </is>
      </c>
      <c r="D479" s="4" t="inlineStr">
        <is>
          <t>卸A</t>
        </is>
      </c>
      <c r="E479" s="4" t="n">
        <v>7720</v>
      </c>
      <c r="F479" s="4" t="n">
        <v>173382</v>
      </c>
    </row>
    <row r="480">
      <c r="A480" s="5" t="inlineStr">
        <is>
          <t>2026-01</t>
        </is>
      </c>
      <c r="B480" s="5" t="inlineStr">
        <is>
          <t>SKU0202</t>
        </is>
      </c>
      <c r="C480" s="5" t="inlineStr">
        <is>
          <t>アトルバスタチンOD錠「サンド」</t>
        </is>
      </c>
      <c r="D480" s="5" t="inlineStr">
        <is>
          <t>卸B</t>
        </is>
      </c>
      <c r="E480" s="5" t="n">
        <v>5984</v>
      </c>
      <c r="F480" s="5" t="n">
        <v>134386</v>
      </c>
    </row>
    <row r="481">
      <c r="A481" s="4" t="inlineStr">
        <is>
          <t>2026-01</t>
        </is>
      </c>
      <c r="B481" s="4" t="inlineStr">
        <is>
          <t>SKU0202</t>
        </is>
      </c>
      <c r="C481" s="4" t="inlineStr">
        <is>
          <t>アトルバスタチンOD錠「サンド」</t>
        </is>
      </c>
      <c r="D481" s="4" t="inlineStr">
        <is>
          <t>卸C</t>
        </is>
      </c>
      <c r="E481" s="4" t="n">
        <v>4411</v>
      </c>
      <c r="F481" s="4" t="n">
        <v>99068</v>
      </c>
    </row>
    <row r="482">
      <c r="A482" s="5" t="inlineStr">
        <is>
          <t>2026-02</t>
        </is>
      </c>
      <c r="B482" s="5" t="inlineStr">
        <is>
          <t>SKU0202</t>
        </is>
      </c>
      <c r="C482" s="5" t="inlineStr">
        <is>
          <t>アトルバスタチンOD錠「サンド」</t>
        </is>
      </c>
      <c r="D482" s="5" t="inlineStr">
        <is>
          <t>卸A</t>
        </is>
      </c>
      <c r="E482" s="5" t="n">
        <v>8416</v>
      </c>
      <c r="F482" s="5" t="n">
        <v>189017</v>
      </c>
    </row>
    <row r="483">
      <c r="A483" s="4" t="inlineStr">
        <is>
          <t>2026-02</t>
        </is>
      </c>
      <c r="B483" s="4" t="inlineStr">
        <is>
          <t>SKU0202</t>
        </is>
      </c>
      <c r="C483" s="4" t="inlineStr">
        <is>
          <t>アトルバスタチンOD錠「サンド」</t>
        </is>
      </c>
      <c r="D483" s="4" t="inlineStr">
        <is>
          <t>卸B</t>
        </is>
      </c>
      <c r="E483" s="4" t="n">
        <v>7059</v>
      </c>
      <c r="F483" s="4" t="n">
        <v>158521</v>
      </c>
    </row>
    <row r="484">
      <c r="A484" s="5" t="inlineStr">
        <is>
          <t>2026-02</t>
        </is>
      </c>
      <c r="B484" s="5" t="inlineStr">
        <is>
          <t>SKU0202</t>
        </is>
      </c>
      <c r="C484" s="5" t="inlineStr">
        <is>
          <t>アトルバスタチンOD錠「サンド」</t>
        </is>
      </c>
      <c r="D484" s="5" t="inlineStr">
        <is>
          <t>卸C</t>
        </is>
      </c>
      <c r="E484" s="5" t="n">
        <v>4621</v>
      </c>
      <c r="F484" s="5" t="n">
        <v>103768</v>
      </c>
    </row>
    <row r="485">
      <c r="A485" s="4" t="inlineStr">
        <is>
          <t>2026-03</t>
        </is>
      </c>
      <c r="B485" s="4" t="inlineStr">
        <is>
          <t>SKU0202</t>
        </is>
      </c>
      <c r="C485" s="4" t="inlineStr">
        <is>
          <t>アトルバスタチンOD錠「サンド」</t>
        </is>
      </c>
      <c r="D485" s="4" t="inlineStr">
        <is>
          <t>卸A</t>
        </is>
      </c>
      <c r="E485" s="4" t="n">
        <v>12217</v>
      </c>
      <c r="F485" s="4" t="n">
        <v>274371</v>
      </c>
    </row>
    <row r="486">
      <c r="A486" s="5" t="inlineStr">
        <is>
          <t>2026-03</t>
        </is>
      </c>
      <c r="B486" s="5" t="inlineStr">
        <is>
          <t>SKU0202</t>
        </is>
      </c>
      <c r="C486" s="5" t="inlineStr">
        <is>
          <t>アトルバスタチンOD錠「サンド」</t>
        </is>
      </c>
      <c r="D486" s="5" t="inlineStr">
        <is>
          <t>卸B</t>
        </is>
      </c>
      <c r="E486" s="5" t="n">
        <v>10275</v>
      </c>
      <c r="F486" s="5" t="n">
        <v>230753</v>
      </c>
    </row>
    <row r="487">
      <c r="A487" s="4" t="inlineStr">
        <is>
          <t>2026-03</t>
        </is>
      </c>
      <c r="B487" s="4" t="inlineStr">
        <is>
          <t>SKU0202</t>
        </is>
      </c>
      <c r="C487" s="4" t="inlineStr">
        <is>
          <t>アトルバスタチンOD錠「サンド」</t>
        </is>
      </c>
      <c r="D487" s="4" t="inlineStr">
        <is>
          <t>卸C</t>
        </is>
      </c>
      <c r="E487" s="4" t="n">
        <v>7547</v>
      </c>
      <c r="F487" s="4" t="n">
        <v>169497</v>
      </c>
    </row>
    <row r="488">
      <c r="A488" s="5" t="inlineStr">
        <is>
          <t>2026-04</t>
        </is>
      </c>
      <c r="B488" s="5" t="inlineStr">
        <is>
          <t>SKU0202</t>
        </is>
      </c>
      <c r="C488" s="5" t="inlineStr">
        <is>
          <t>アトルバスタチンOD錠「サンド」</t>
        </is>
      </c>
      <c r="D488" s="5" t="inlineStr">
        <is>
          <t>卸A</t>
        </is>
      </c>
      <c r="E488" s="5" t="n">
        <v>6282</v>
      </c>
      <c r="F488" s="5" t="n">
        <v>132625</v>
      </c>
    </row>
    <row r="489">
      <c r="A489" s="4" t="inlineStr">
        <is>
          <t>2026-04</t>
        </is>
      </c>
      <c r="B489" s="4" t="inlineStr">
        <is>
          <t>SKU0202</t>
        </is>
      </c>
      <c r="C489" s="4" t="inlineStr">
        <is>
          <t>アトルバスタチンOD錠「サンド」</t>
        </is>
      </c>
      <c r="D489" s="4" t="inlineStr">
        <is>
          <t>卸B</t>
        </is>
      </c>
      <c r="E489" s="4" t="n">
        <v>5185</v>
      </c>
      <c r="F489" s="4" t="n">
        <v>109458</v>
      </c>
    </row>
    <row r="490">
      <c r="A490" s="5" t="inlineStr">
        <is>
          <t>2026-04</t>
        </is>
      </c>
      <c r="B490" s="5" t="inlineStr">
        <is>
          <t>SKU0202</t>
        </is>
      </c>
      <c r="C490" s="5" t="inlineStr">
        <is>
          <t>アトルバスタチンOD錠「サンド」</t>
        </is>
      </c>
      <c r="D490" s="5" t="inlineStr">
        <is>
          <t>卸C</t>
        </is>
      </c>
      <c r="E490" s="5" t="n">
        <v>3312</v>
      </c>
      <c r="F490" s="5" t="n">
        <v>69908</v>
      </c>
    </row>
    <row r="491">
      <c r="A491" s="4" t="inlineStr">
        <is>
          <t>2026-05</t>
        </is>
      </c>
      <c r="B491" s="4" t="inlineStr">
        <is>
          <t>SKU0202</t>
        </is>
      </c>
      <c r="C491" s="4" t="inlineStr">
        <is>
          <t>アトルバスタチンOD錠「サンド」</t>
        </is>
      </c>
      <c r="D491" s="4" t="inlineStr">
        <is>
          <t>卸A</t>
        </is>
      </c>
      <c r="E491" s="4" t="n">
        <v>5400</v>
      </c>
      <c r="F491" s="4" t="n">
        <v>114001</v>
      </c>
    </row>
    <row r="492">
      <c r="A492" s="5" t="inlineStr">
        <is>
          <t>2026-05</t>
        </is>
      </c>
      <c r="B492" s="5" t="inlineStr">
        <is>
          <t>SKU0202</t>
        </is>
      </c>
      <c r="C492" s="5" t="inlineStr">
        <is>
          <t>アトルバスタチンOD錠「サンド」</t>
        </is>
      </c>
      <c r="D492" s="5" t="inlineStr">
        <is>
          <t>卸B</t>
        </is>
      </c>
      <c r="E492" s="5" t="n">
        <v>5380</v>
      </c>
      <c r="F492" s="5" t="n">
        <v>113568</v>
      </c>
    </row>
    <row r="493">
      <c r="A493" s="4" t="inlineStr">
        <is>
          <t>2026-05</t>
        </is>
      </c>
      <c r="B493" s="4" t="inlineStr">
        <is>
          <t>SKU0202</t>
        </is>
      </c>
      <c r="C493" s="4" t="inlineStr">
        <is>
          <t>アトルバスタチンOD錠「サンド」</t>
        </is>
      </c>
      <c r="D493" s="4" t="inlineStr">
        <is>
          <t>卸C</t>
        </is>
      </c>
      <c r="E493" s="4" t="n">
        <v>3316</v>
      </c>
      <c r="F493" s="4" t="n">
        <v>69995</v>
      </c>
    </row>
    <row r="494">
      <c r="A494" s="5" t="inlineStr">
        <is>
          <t>2023-01</t>
        </is>
      </c>
      <c r="B494" s="5" t="inlineStr">
        <is>
          <t>SKU0301</t>
        </is>
      </c>
      <c r="C494" s="5" t="inlineStr">
        <is>
          <t>フィルグラスチムBS注「サンド」</t>
        </is>
      </c>
      <c r="D494" s="5" t="inlineStr">
        <is>
          <t>卸A</t>
        </is>
      </c>
      <c r="E494" s="5" t="n">
        <v>3</v>
      </c>
      <c r="F494" s="5" t="n">
        <v>17179</v>
      </c>
    </row>
    <row r="495">
      <c r="A495" s="4" t="inlineStr">
        <is>
          <t>2023-01</t>
        </is>
      </c>
      <c r="B495" s="4" t="inlineStr">
        <is>
          <t>SKU0301</t>
        </is>
      </c>
      <c r="C495" s="4" t="inlineStr">
        <is>
          <t>フィルグラスチムBS注「サンド」</t>
        </is>
      </c>
      <c r="D495" s="4" t="inlineStr">
        <is>
          <t>卸B</t>
        </is>
      </c>
      <c r="E495" s="4" t="n">
        <v>3</v>
      </c>
      <c r="F495" s="4" t="n">
        <v>17650</v>
      </c>
    </row>
    <row r="496">
      <c r="A496" s="5" t="inlineStr">
        <is>
          <t>2023-01</t>
        </is>
      </c>
      <c r="B496" s="5" t="inlineStr">
        <is>
          <t>SKU0301</t>
        </is>
      </c>
      <c r="C496" s="5" t="inlineStr">
        <is>
          <t>フィルグラスチムBS注「サンド」</t>
        </is>
      </c>
      <c r="D496" s="5" t="inlineStr">
        <is>
          <t>卸C</t>
        </is>
      </c>
      <c r="E496" s="5" t="n">
        <v>2</v>
      </c>
      <c r="F496" s="5" t="n">
        <v>12232</v>
      </c>
    </row>
    <row r="497">
      <c r="A497" s="4" t="inlineStr">
        <is>
          <t>2023-02</t>
        </is>
      </c>
      <c r="B497" s="4" t="inlineStr">
        <is>
          <t>SKU0301</t>
        </is>
      </c>
      <c r="C497" s="4" t="inlineStr">
        <is>
          <t>フィルグラスチムBS注「サンド」</t>
        </is>
      </c>
      <c r="D497" s="4" t="inlineStr">
        <is>
          <t>卸A</t>
        </is>
      </c>
      <c r="E497" s="4" t="n">
        <v>3</v>
      </c>
      <c r="F497" s="4" t="n">
        <v>17837</v>
      </c>
    </row>
    <row r="498">
      <c r="A498" s="5" t="inlineStr">
        <is>
          <t>2023-02</t>
        </is>
      </c>
      <c r="B498" s="5" t="inlineStr">
        <is>
          <t>SKU0301</t>
        </is>
      </c>
      <c r="C498" s="5" t="inlineStr">
        <is>
          <t>フィルグラスチムBS注「サンド」</t>
        </is>
      </c>
      <c r="D498" s="5" t="inlineStr">
        <is>
          <t>卸B</t>
        </is>
      </c>
      <c r="E498" s="5" t="n">
        <v>3</v>
      </c>
      <c r="F498" s="5" t="n">
        <v>16825</v>
      </c>
    </row>
    <row r="499">
      <c r="A499" s="4" t="inlineStr">
        <is>
          <t>2023-02</t>
        </is>
      </c>
      <c r="B499" s="4" t="inlineStr">
        <is>
          <t>SKU0301</t>
        </is>
      </c>
      <c r="C499" s="4" t="inlineStr">
        <is>
          <t>フィルグラスチムBS注「サンド」</t>
        </is>
      </c>
      <c r="D499" s="4" t="inlineStr">
        <is>
          <t>卸C</t>
        </is>
      </c>
      <c r="E499" s="4" t="n">
        <v>2</v>
      </c>
      <c r="F499" s="4" t="n">
        <v>11528</v>
      </c>
    </row>
    <row r="500">
      <c r="A500" s="5" t="inlineStr">
        <is>
          <t>2023-03</t>
        </is>
      </c>
      <c r="B500" s="5" t="inlineStr">
        <is>
          <t>SKU0301</t>
        </is>
      </c>
      <c r="C500" s="5" t="inlineStr">
        <is>
          <t>フィルグラスチムBS注「サンド」</t>
        </is>
      </c>
      <c r="D500" s="5" t="inlineStr">
        <is>
          <t>卸A</t>
        </is>
      </c>
      <c r="E500" s="5" t="n">
        <v>5</v>
      </c>
      <c r="F500" s="5" t="n">
        <v>30331</v>
      </c>
    </row>
    <row r="501">
      <c r="A501" s="4" t="inlineStr">
        <is>
          <t>2023-03</t>
        </is>
      </c>
      <c r="B501" s="4" t="inlineStr">
        <is>
          <t>SKU0301</t>
        </is>
      </c>
      <c r="C501" s="4" t="inlineStr">
        <is>
          <t>フィルグラスチムBS注「サンド」</t>
        </is>
      </c>
      <c r="D501" s="4" t="inlineStr">
        <is>
          <t>卸B</t>
        </is>
      </c>
      <c r="E501" s="4" t="n">
        <v>5</v>
      </c>
      <c r="F501" s="4" t="n">
        <v>29341</v>
      </c>
    </row>
    <row r="502">
      <c r="A502" s="5" t="inlineStr">
        <is>
          <t>2023-03</t>
        </is>
      </c>
      <c r="B502" s="5" t="inlineStr">
        <is>
          <t>SKU0301</t>
        </is>
      </c>
      <c r="C502" s="5" t="inlineStr">
        <is>
          <t>フィルグラスチムBS注「サンド」</t>
        </is>
      </c>
      <c r="D502" s="5" t="inlineStr">
        <is>
          <t>卸C</t>
        </is>
      </c>
      <c r="E502" s="5" t="n">
        <v>3</v>
      </c>
      <c r="F502" s="5" t="n">
        <v>17348</v>
      </c>
    </row>
    <row r="503">
      <c r="A503" s="4" t="inlineStr">
        <is>
          <t>2023-04</t>
        </is>
      </c>
      <c r="B503" s="4" t="inlineStr">
        <is>
          <t>SKU0301</t>
        </is>
      </c>
      <c r="C503" s="4" t="inlineStr">
        <is>
          <t>フィルグラスチムBS注「サンド」</t>
        </is>
      </c>
      <c r="D503" s="4" t="inlineStr">
        <is>
          <t>卸A</t>
        </is>
      </c>
      <c r="E503" s="4" t="n">
        <v>5</v>
      </c>
      <c r="F503" s="4" t="n">
        <v>30832</v>
      </c>
    </row>
    <row r="504">
      <c r="A504" s="5" t="inlineStr">
        <is>
          <t>2023-04</t>
        </is>
      </c>
      <c r="B504" s="5" t="inlineStr">
        <is>
          <t>SKU0301</t>
        </is>
      </c>
      <c r="C504" s="5" t="inlineStr">
        <is>
          <t>フィルグラスチムBS注「サンド」</t>
        </is>
      </c>
      <c r="D504" s="5" t="inlineStr">
        <is>
          <t>卸B</t>
        </is>
      </c>
      <c r="E504" s="5" t="n">
        <v>5</v>
      </c>
      <c r="F504" s="5" t="n">
        <v>27325</v>
      </c>
    </row>
    <row r="505">
      <c r="A505" s="4" t="inlineStr">
        <is>
          <t>2023-04</t>
        </is>
      </c>
      <c r="B505" s="4" t="inlineStr">
        <is>
          <t>SKU0301</t>
        </is>
      </c>
      <c r="C505" s="4" t="inlineStr">
        <is>
          <t>フィルグラスチムBS注「サンド」</t>
        </is>
      </c>
      <c r="D505" s="4" t="inlineStr">
        <is>
          <t>卸C</t>
        </is>
      </c>
      <c r="E505" s="4" t="n">
        <v>3</v>
      </c>
      <c r="F505" s="4" t="n">
        <v>19412</v>
      </c>
    </row>
    <row r="506">
      <c r="A506" s="5" t="inlineStr">
        <is>
          <t>2023-05</t>
        </is>
      </c>
      <c r="B506" s="5" t="inlineStr">
        <is>
          <t>SKU0301</t>
        </is>
      </c>
      <c r="C506" s="5" t="inlineStr">
        <is>
          <t>フィルグラスチムBS注「サンド」</t>
        </is>
      </c>
      <c r="D506" s="5" t="inlineStr">
        <is>
          <t>卸A</t>
        </is>
      </c>
      <c r="E506" s="5" t="n">
        <v>7</v>
      </c>
      <c r="F506" s="5" t="n">
        <v>38989</v>
      </c>
    </row>
    <row r="507">
      <c r="A507" s="4" t="inlineStr">
        <is>
          <t>2023-05</t>
        </is>
      </c>
      <c r="B507" s="4" t="inlineStr">
        <is>
          <t>SKU0301</t>
        </is>
      </c>
      <c r="C507" s="4" t="inlineStr">
        <is>
          <t>フィルグラスチムBS注「サンド」</t>
        </is>
      </c>
      <c r="D507" s="4" t="inlineStr">
        <is>
          <t>卸B</t>
        </is>
      </c>
      <c r="E507" s="4" t="n">
        <v>7</v>
      </c>
      <c r="F507" s="4" t="n">
        <v>40615</v>
      </c>
    </row>
    <row r="508">
      <c r="A508" s="5" t="inlineStr">
        <is>
          <t>2023-05</t>
        </is>
      </c>
      <c r="B508" s="5" t="inlineStr">
        <is>
          <t>SKU0301</t>
        </is>
      </c>
      <c r="C508" s="5" t="inlineStr">
        <is>
          <t>フィルグラスチムBS注「サンド」</t>
        </is>
      </c>
      <c r="D508" s="5" t="inlineStr">
        <is>
          <t>卸C</t>
        </is>
      </c>
      <c r="E508" s="5" t="n">
        <v>4</v>
      </c>
      <c r="F508" s="5" t="n">
        <v>25695</v>
      </c>
    </row>
    <row r="509">
      <c r="A509" s="4" t="inlineStr">
        <is>
          <t>2023-06</t>
        </is>
      </c>
      <c r="B509" s="4" t="inlineStr">
        <is>
          <t>SKU0301</t>
        </is>
      </c>
      <c r="C509" s="4" t="inlineStr">
        <is>
          <t>フィルグラスチムBS注「サンド」</t>
        </is>
      </c>
      <c r="D509" s="4" t="inlineStr">
        <is>
          <t>卸A</t>
        </is>
      </c>
      <c r="E509" s="4" t="n">
        <v>10</v>
      </c>
      <c r="F509" s="4" t="n">
        <v>55934</v>
      </c>
    </row>
    <row r="510">
      <c r="A510" s="5" t="inlineStr">
        <is>
          <t>2023-06</t>
        </is>
      </c>
      <c r="B510" s="5" t="inlineStr">
        <is>
          <t>SKU0301</t>
        </is>
      </c>
      <c r="C510" s="5" t="inlineStr">
        <is>
          <t>フィルグラスチムBS注「サンド」</t>
        </is>
      </c>
      <c r="D510" s="5" t="inlineStr">
        <is>
          <t>卸B</t>
        </is>
      </c>
      <c r="E510" s="5" t="n">
        <v>11</v>
      </c>
      <c r="F510" s="5" t="n">
        <v>61424</v>
      </c>
    </row>
    <row r="511">
      <c r="A511" s="4" t="inlineStr">
        <is>
          <t>2023-06</t>
        </is>
      </c>
      <c r="B511" s="4" t="inlineStr">
        <is>
          <t>SKU0301</t>
        </is>
      </c>
      <c r="C511" s="4" t="inlineStr">
        <is>
          <t>フィルグラスチムBS注「サンド」</t>
        </is>
      </c>
      <c r="D511" s="4" t="inlineStr">
        <is>
          <t>卸C</t>
        </is>
      </c>
      <c r="E511" s="4" t="n">
        <v>6</v>
      </c>
      <c r="F511" s="4" t="n">
        <v>35193</v>
      </c>
    </row>
    <row r="512">
      <c r="A512" s="5" t="inlineStr">
        <is>
          <t>2023-07</t>
        </is>
      </c>
      <c r="B512" s="5" t="inlineStr">
        <is>
          <t>SKU0301</t>
        </is>
      </c>
      <c r="C512" s="5" t="inlineStr">
        <is>
          <t>フィルグラスチムBS注「サンド」</t>
        </is>
      </c>
      <c r="D512" s="5" t="inlineStr">
        <is>
          <t>卸A</t>
        </is>
      </c>
      <c r="E512" s="5" t="n">
        <v>11</v>
      </c>
      <c r="F512" s="5" t="n">
        <v>65406</v>
      </c>
    </row>
    <row r="513">
      <c r="A513" s="4" t="inlineStr">
        <is>
          <t>2023-07</t>
        </is>
      </c>
      <c r="B513" s="4" t="inlineStr">
        <is>
          <t>SKU0301</t>
        </is>
      </c>
      <c r="C513" s="4" t="inlineStr">
        <is>
          <t>フィルグラスチムBS注「サンド」</t>
        </is>
      </c>
      <c r="D513" s="4" t="inlineStr">
        <is>
          <t>卸B</t>
        </is>
      </c>
      <c r="E513" s="4" t="n">
        <v>13</v>
      </c>
      <c r="F513" s="4" t="n">
        <v>72677</v>
      </c>
    </row>
    <row r="514">
      <c r="A514" s="5" t="inlineStr">
        <is>
          <t>2023-07</t>
        </is>
      </c>
      <c r="B514" s="5" t="inlineStr">
        <is>
          <t>SKU0301</t>
        </is>
      </c>
      <c r="C514" s="5" t="inlineStr">
        <is>
          <t>フィルグラスチムBS注「サンド」</t>
        </is>
      </c>
      <c r="D514" s="5" t="inlineStr">
        <is>
          <t>卸C</t>
        </is>
      </c>
      <c r="E514" s="5" t="n">
        <v>8</v>
      </c>
      <c r="F514" s="5" t="n">
        <v>45324</v>
      </c>
    </row>
    <row r="515">
      <c r="A515" s="4" t="inlineStr">
        <is>
          <t>2023-08</t>
        </is>
      </c>
      <c r="B515" s="4" t="inlineStr">
        <is>
          <t>SKU0301</t>
        </is>
      </c>
      <c r="C515" s="4" t="inlineStr">
        <is>
          <t>フィルグラスチムBS注「サンド」</t>
        </is>
      </c>
      <c r="D515" s="4" t="inlineStr">
        <is>
          <t>卸A</t>
        </is>
      </c>
      <c r="E515" s="4" t="n">
        <v>14</v>
      </c>
      <c r="F515" s="4" t="n">
        <v>82740</v>
      </c>
    </row>
    <row r="516">
      <c r="A516" s="5" t="inlineStr">
        <is>
          <t>2023-08</t>
        </is>
      </c>
      <c r="B516" s="5" t="inlineStr">
        <is>
          <t>SKU0301</t>
        </is>
      </c>
      <c r="C516" s="5" t="inlineStr">
        <is>
          <t>フィルグラスチムBS注「サンド」</t>
        </is>
      </c>
      <c r="D516" s="5" t="inlineStr">
        <is>
          <t>卸B</t>
        </is>
      </c>
      <c r="E516" s="5" t="n">
        <v>12</v>
      </c>
      <c r="F516" s="5" t="n">
        <v>71057</v>
      </c>
    </row>
    <row r="517">
      <c r="A517" s="4" t="inlineStr">
        <is>
          <t>2023-08</t>
        </is>
      </c>
      <c r="B517" s="4" t="inlineStr">
        <is>
          <t>SKU0301</t>
        </is>
      </c>
      <c r="C517" s="4" t="inlineStr">
        <is>
          <t>フィルグラスチムBS注「サンド」</t>
        </is>
      </c>
      <c r="D517" s="4" t="inlineStr">
        <is>
          <t>卸C</t>
        </is>
      </c>
      <c r="E517" s="4" t="n">
        <v>8</v>
      </c>
      <c r="F517" s="4" t="n">
        <v>45309</v>
      </c>
    </row>
    <row r="518">
      <c r="A518" s="5" t="inlineStr">
        <is>
          <t>2023-09</t>
        </is>
      </c>
      <c r="B518" s="5" t="inlineStr">
        <is>
          <t>SKU0301</t>
        </is>
      </c>
      <c r="C518" s="5" t="inlineStr">
        <is>
          <t>フィルグラスチムBS注「サンド」</t>
        </is>
      </c>
      <c r="D518" s="5" t="inlineStr">
        <is>
          <t>卸A</t>
        </is>
      </c>
      <c r="E518" s="5" t="n">
        <v>15</v>
      </c>
      <c r="F518" s="5" t="n">
        <v>89296</v>
      </c>
    </row>
    <row r="519">
      <c r="A519" s="4" t="inlineStr">
        <is>
          <t>2023-09</t>
        </is>
      </c>
      <c r="B519" s="4" t="inlineStr">
        <is>
          <t>SKU0301</t>
        </is>
      </c>
      <c r="C519" s="4" t="inlineStr">
        <is>
          <t>フィルグラスチムBS注「サンド」</t>
        </is>
      </c>
      <c r="D519" s="4" t="inlineStr">
        <is>
          <t>卸B</t>
        </is>
      </c>
      <c r="E519" s="4" t="n">
        <v>15</v>
      </c>
      <c r="F519" s="4" t="n">
        <v>84380</v>
      </c>
    </row>
    <row r="520">
      <c r="A520" s="5" t="inlineStr">
        <is>
          <t>2023-09</t>
        </is>
      </c>
      <c r="B520" s="5" t="inlineStr">
        <is>
          <t>SKU0301</t>
        </is>
      </c>
      <c r="C520" s="5" t="inlineStr">
        <is>
          <t>フィルグラスチムBS注「サンド」</t>
        </is>
      </c>
      <c r="D520" s="5" t="inlineStr">
        <is>
          <t>卸C</t>
        </is>
      </c>
      <c r="E520" s="5" t="n">
        <v>10</v>
      </c>
      <c r="F520" s="5" t="n">
        <v>58725</v>
      </c>
    </row>
    <row r="521">
      <c r="A521" s="4" t="inlineStr">
        <is>
          <t>2023-10</t>
        </is>
      </c>
      <c r="B521" s="4" t="inlineStr">
        <is>
          <t>SKU0301</t>
        </is>
      </c>
      <c r="C521" s="4" t="inlineStr">
        <is>
          <t>フィルグラスチムBS注「サンド」</t>
        </is>
      </c>
      <c r="D521" s="4" t="inlineStr">
        <is>
          <t>卸A</t>
        </is>
      </c>
      <c r="E521" s="4" t="n">
        <v>18</v>
      </c>
      <c r="F521" s="4" t="n">
        <v>103399</v>
      </c>
    </row>
    <row r="522">
      <c r="A522" s="5" t="inlineStr">
        <is>
          <t>2023-10</t>
        </is>
      </c>
      <c r="B522" s="5" t="inlineStr">
        <is>
          <t>SKU0301</t>
        </is>
      </c>
      <c r="C522" s="5" t="inlineStr">
        <is>
          <t>フィルグラスチムBS注「サンド」</t>
        </is>
      </c>
      <c r="D522" s="5" t="inlineStr">
        <is>
          <t>卸B</t>
        </is>
      </c>
      <c r="E522" s="5" t="n">
        <v>18</v>
      </c>
      <c r="F522" s="5" t="n">
        <v>105132</v>
      </c>
    </row>
    <row r="523">
      <c r="A523" s="4" t="inlineStr">
        <is>
          <t>2023-10</t>
        </is>
      </c>
      <c r="B523" s="4" t="inlineStr">
        <is>
          <t>SKU0301</t>
        </is>
      </c>
      <c r="C523" s="4" t="inlineStr">
        <is>
          <t>フィルグラスチムBS注「サンド」</t>
        </is>
      </c>
      <c r="D523" s="4" t="inlineStr">
        <is>
          <t>卸C</t>
        </is>
      </c>
      <c r="E523" s="4" t="n">
        <v>11</v>
      </c>
      <c r="F523" s="4" t="n">
        <v>65563</v>
      </c>
    </row>
    <row r="524">
      <c r="A524" s="5" t="inlineStr">
        <is>
          <t>2023-11</t>
        </is>
      </c>
      <c r="B524" s="5" t="inlineStr">
        <is>
          <t>SKU0301</t>
        </is>
      </c>
      <c r="C524" s="5" t="inlineStr">
        <is>
          <t>フィルグラスチムBS注「サンド」</t>
        </is>
      </c>
      <c r="D524" s="5" t="inlineStr">
        <is>
          <t>卸A</t>
        </is>
      </c>
      <c r="E524" s="5" t="n">
        <v>28</v>
      </c>
      <c r="F524" s="5" t="n">
        <v>159690</v>
      </c>
    </row>
    <row r="525">
      <c r="A525" s="4" t="inlineStr">
        <is>
          <t>2023-11</t>
        </is>
      </c>
      <c r="B525" s="4" t="inlineStr">
        <is>
          <t>SKU0301</t>
        </is>
      </c>
      <c r="C525" s="4" t="inlineStr">
        <is>
          <t>フィルグラスチムBS注「サンド」</t>
        </is>
      </c>
      <c r="D525" s="4" t="inlineStr">
        <is>
          <t>卸B</t>
        </is>
      </c>
      <c r="E525" s="4" t="n">
        <v>26</v>
      </c>
      <c r="F525" s="4" t="n">
        <v>151012</v>
      </c>
    </row>
    <row r="526">
      <c r="A526" s="5" t="inlineStr">
        <is>
          <t>2023-11</t>
        </is>
      </c>
      <c r="B526" s="5" t="inlineStr">
        <is>
          <t>SKU0301</t>
        </is>
      </c>
      <c r="C526" s="5" t="inlineStr">
        <is>
          <t>フィルグラスチムBS注「サンド」</t>
        </is>
      </c>
      <c r="D526" s="5" t="inlineStr">
        <is>
          <t>卸C</t>
        </is>
      </c>
      <c r="E526" s="5" t="n">
        <v>18</v>
      </c>
      <c r="F526" s="5" t="n">
        <v>101540</v>
      </c>
    </row>
    <row r="527">
      <c r="A527" s="4" t="inlineStr">
        <is>
          <t>2023-12</t>
        </is>
      </c>
      <c r="B527" s="4" t="inlineStr">
        <is>
          <t>SKU0301</t>
        </is>
      </c>
      <c r="C527" s="4" t="inlineStr">
        <is>
          <t>フィルグラスチムBS注「サンド」</t>
        </is>
      </c>
      <c r="D527" s="4" t="inlineStr">
        <is>
          <t>卸A</t>
        </is>
      </c>
      <c r="E527" s="4" t="n">
        <v>27</v>
      </c>
      <c r="F527" s="4" t="n">
        <v>154429</v>
      </c>
    </row>
    <row r="528">
      <c r="A528" s="5" t="inlineStr">
        <is>
          <t>2023-12</t>
        </is>
      </c>
      <c r="B528" s="5" t="inlineStr">
        <is>
          <t>SKU0301</t>
        </is>
      </c>
      <c r="C528" s="5" t="inlineStr">
        <is>
          <t>フィルグラスチムBS注「サンド」</t>
        </is>
      </c>
      <c r="D528" s="5" t="inlineStr">
        <is>
          <t>卸B</t>
        </is>
      </c>
      <c r="E528" s="5" t="n">
        <v>27</v>
      </c>
      <c r="F528" s="5" t="n">
        <v>155477</v>
      </c>
    </row>
    <row r="529">
      <c r="A529" s="4" t="inlineStr">
        <is>
          <t>2023-12</t>
        </is>
      </c>
      <c r="B529" s="4" t="inlineStr">
        <is>
          <t>SKU0301</t>
        </is>
      </c>
      <c r="C529" s="4" t="inlineStr">
        <is>
          <t>フィルグラスチムBS注「サンド」</t>
        </is>
      </c>
      <c r="D529" s="4" t="inlineStr">
        <is>
          <t>卸C</t>
        </is>
      </c>
      <c r="E529" s="4" t="n">
        <v>16</v>
      </c>
      <c r="F529" s="4" t="n">
        <v>94206</v>
      </c>
    </row>
    <row r="530">
      <c r="A530" s="5" t="inlineStr">
        <is>
          <t>2024-01</t>
        </is>
      </c>
      <c r="B530" s="5" t="inlineStr">
        <is>
          <t>SKU0301</t>
        </is>
      </c>
      <c r="C530" s="5" t="inlineStr">
        <is>
          <t>フィルグラスチムBS注「サンド」</t>
        </is>
      </c>
      <c r="D530" s="5" t="inlineStr">
        <is>
          <t>卸A</t>
        </is>
      </c>
      <c r="E530" s="5" t="n">
        <v>35</v>
      </c>
      <c r="F530" s="5" t="n">
        <v>202580</v>
      </c>
    </row>
    <row r="531">
      <c r="A531" s="4" t="inlineStr">
        <is>
          <t>2024-01</t>
        </is>
      </c>
      <c r="B531" s="4" t="inlineStr">
        <is>
          <t>SKU0301</t>
        </is>
      </c>
      <c r="C531" s="4" t="inlineStr">
        <is>
          <t>フィルグラスチムBS注「サンド」</t>
        </is>
      </c>
      <c r="D531" s="4" t="inlineStr">
        <is>
          <t>卸B</t>
        </is>
      </c>
      <c r="E531" s="4" t="n">
        <v>33</v>
      </c>
      <c r="F531" s="4" t="n">
        <v>190870</v>
      </c>
    </row>
    <row r="532">
      <c r="A532" s="5" t="inlineStr">
        <is>
          <t>2024-01</t>
        </is>
      </c>
      <c r="B532" s="5" t="inlineStr">
        <is>
          <t>SKU0301</t>
        </is>
      </c>
      <c r="C532" s="5" t="inlineStr">
        <is>
          <t>フィルグラスチムBS注「サンド」</t>
        </is>
      </c>
      <c r="D532" s="5" t="inlineStr">
        <is>
          <t>卸C</t>
        </is>
      </c>
      <c r="E532" s="5" t="n">
        <v>23</v>
      </c>
      <c r="F532" s="5" t="n">
        <v>135030</v>
      </c>
    </row>
    <row r="533">
      <c r="A533" s="4" t="inlineStr">
        <is>
          <t>2024-02</t>
        </is>
      </c>
      <c r="B533" s="4" t="inlineStr">
        <is>
          <t>SKU0301</t>
        </is>
      </c>
      <c r="C533" s="4" t="inlineStr">
        <is>
          <t>フィルグラスチムBS注「サンド」</t>
        </is>
      </c>
      <c r="D533" s="4" t="inlineStr">
        <is>
          <t>卸A</t>
        </is>
      </c>
      <c r="E533" s="4" t="n">
        <v>41</v>
      </c>
      <c r="F533" s="4" t="n">
        <v>235677</v>
      </c>
    </row>
    <row r="534">
      <c r="A534" s="5" t="inlineStr">
        <is>
          <t>2024-02</t>
        </is>
      </c>
      <c r="B534" s="5" t="inlineStr">
        <is>
          <t>SKU0301</t>
        </is>
      </c>
      <c r="C534" s="5" t="inlineStr">
        <is>
          <t>フィルグラスチムBS注「サンド」</t>
        </is>
      </c>
      <c r="D534" s="5" t="inlineStr">
        <is>
          <t>卸B</t>
        </is>
      </c>
      <c r="E534" s="5" t="n">
        <v>35</v>
      </c>
      <c r="F534" s="5" t="n">
        <v>204854</v>
      </c>
    </row>
    <row r="535">
      <c r="A535" s="4" t="inlineStr">
        <is>
          <t>2024-02</t>
        </is>
      </c>
      <c r="B535" s="4" t="inlineStr">
        <is>
          <t>SKU0301</t>
        </is>
      </c>
      <c r="C535" s="4" t="inlineStr">
        <is>
          <t>フィルグラスチムBS注「サンド」</t>
        </is>
      </c>
      <c r="D535" s="4" t="inlineStr">
        <is>
          <t>卸C</t>
        </is>
      </c>
      <c r="E535" s="4" t="n">
        <v>23</v>
      </c>
      <c r="F535" s="4" t="n">
        <v>132368</v>
      </c>
    </row>
    <row r="536">
      <c r="A536" s="5" t="inlineStr">
        <is>
          <t>2024-03</t>
        </is>
      </c>
      <c r="B536" s="5" t="inlineStr">
        <is>
          <t>SKU0301</t>
        </is>
      </c>
      <c r="C536" s="5" t="inlineStr">
        <is>
          <t>フィルグラスチムBS注「サンド」</t>
        </is>
      </c>
      <c r="D536" s="5" t="inlineStr">
        <is>
          <t>卸A</t>
        </is>
      </c>
      <c r="E536" s="5" t="n">
        <v>78</v>
      </c>
      <c r="F536" s="5" t="n">
        <v>450453</v>
      </c>
    </row>
    <row r="537">
      <c r="A537" s="4" t="inlineStr">
        <is>
          <t>2024-03</t>
        </is>
      </c>
      <c r="B537" s="4" t="inlineStr">
        <is>
          <t>SKU0301</t>
        </is>
      </c>
      <c r="C537" s="4" t="inlineStr">
        <is>
          <t>フィルグラスチムBS注「サンド」</t>
        </is>
      </c>
      <c r="D537" s="4" t="inlineStr">
        <is>
          <t>卸B</t>
        </is>
      </c>
      <c r="E537" s="4" t="n">
        <v>62</v>
      </c>
      <c r="F537" s="4" t="n">
        <v>358642</v>
      </c>
    </row>
    <row r="538">
      <c r="A538" s="5" t="inlineStr">
        <is>
          <t>2024-03</t>
        </is>
      </c>
      <c r="B538" s="5" t="inlineStr">
        <is>
          <t>SKU0301</t>
        </is>
      </c>
      <c r="C538" s="5" t="inlineStr">
        <is>
          <t>フィルグラスチムBS注「サンド」</t>
        </is>
      </c>
      <c r="D538" s="5" t="inlineStr">
        <is>
          <t>卸C</t>
        </is>
      </c>
      <c r="E538" s="5" t="n">
        <v>48</v>
      </c>
      <c r="F538" s="5" t="n">
        <v>276903</v>
      </c>
    </row>
    <row r="539">
      <c r="A539" s="4" t="inlineStr">
        <is>
          <t>2024-04</t>
        </is>
      </c>
      <c r="B539" s="4" t="inlineStr">
        <is>
          <t>SKU0301</t>
        </is>
      </c>
      <c r="C539" s="4" t="inlineStr">
        <is>
          <t>フィルグラスチムBS注「サンド」</t>
        </is>
      </c>
      <c r="D539" s="4" t="inlineStr">
        <is>
          <t>卸A</t>
        </is>
      </c>
      <c r="E539" s="4" t="n">
        <v>36</v>
      </c>
      <c r="F539" s="4" t="n">
        <v>199883</v>
      </c>
    </row>
    <row r="540">
      <c r="A540" s="5" t="inlineStr">
        <is>
          <t>2024-04</t>
        </is>
      </c>
      <c r="B540" s="5" t="inlineStr">
        <is>
          <t>SKU0301</t>
        </is>
      </c>
      <c r="C540" s="5" t="inlineStr">
        <is>
          <t>フィルグラスチムBS注「サンド」</t>
        </is>
      </c>
      <c r="D540" s="5" t="inlineStr">
        <is>
          <t>卸B</t>
        </is>
      </c>
      <c r="E540" s="5" t="n">
        <v>32</v>
      </c>
      <c r="F540" s="5" t="n">
        <v>174288</v>
      </c>
    </row>
    <row r="541">
      <c r="A541" s="4" t="inlineStr">
        <is>
          <t>2024-04</t>
        </is>
      </c>
      <c r="B541" s="4" t="inlineStr">
        <is>
          <t>SKU0301</t>
        </is>
      </c>
      <c r="C541" s="4" t="inlineStr">
        <is>
          <t>フィルグラスチムBS注「サンド」</t>
        </is>
      </c>
      <c r="D541" s="4" t="inlineStr">
        <is>
          <t>卸C</t>
        </is>
      </c>
      <c r="E541" s="4" t="n">
        <v>22</v>
      </c>
      <c r="F541" s="4" t="n">
        <v>123299</v>
      </c>
    </row>
    <row r="542">
      <c r="A542" s="5" t="inlineStr">
        <is>
          <t>2024-05</t>
        </is>
      </c>
      <c r="B542" s="5" t="inlineStr">
        <is>
          <t>SKU0301</t>
        </is>
      </c>
      <c r="C542" s="5" t="inlineStr">
        <is>
          <t>フィルグラスチムBS注「サンド」</t>
        </is>
      </c>
      <c r="D542" s="5" t="inlineStr">
        <is>
          <t>卸A</t>
        </is>
      </c>
      <c r="E542" s="5" t="n">
        <v>44</v>
      </c>
      <c r="F542" s="5" t="n">
        <v>240140</v>
      </c>
    </row>
    <row r="543">
      <c r="A543" s="4" t="inlineStr">
        <is>
          <t>2024-05</t>
        </is>
      </c>
      <c r="B543" s="4" t="inlineStr">
        <is>
          <t>SKU0301</t>
        </is>
      </c>
      <c r="C543" s="4" t="inlineStr">
        <is>
          <t>フィルグラスチムBS注「サンド」</t>
        </is>
      </c>
      <c r="D543" s="4" t="inlineStr">
        <is>
          <t>卸B</t>
        </is>
      </c>
      <c r="E543" s="4" t="n">
        <v>38</v>
      </c>
      <c r="F543" s="4" t="n">
        <v>210610</v>
      </c>
    </row>
    <row r="544">
      <c r="A544" s="5" t="inlineStr">
        <is>
          <t>2024-05</t>
        </is>
      </c>
      <c r="B544" s="5" t="inlineStr">
        <is>
          <t>SKU0301</t>
        </is>
      </c>
      <c r="C544" s="5" t="inlineStr">
        <is>
          <t>フィルグラスチムBS注「サンド」</t>
        </is>
      </c>
      <c r="D544" s="5" t="inlineStr">
        <is>
          <t>卸C</t>
        </is>
      </c>
      <c r="E544" s="5" t="n">
        <v>26</v>
      </c>
      <c r="F544" s="5" t="n">
        <v>141521</v>
      </c>
    </row>
    <row r="545">
      <c r="A545" s="4" t="inlineStr">
        <is>
          <t>2024-06</t>
        </is>
      </c>
      <c r="B545" s="4" t="inlineStr">
        <is>
          <t>SKU0301</t>
        </is>
      </c>
      <c r="C545" s="4" t="inlineStr">
        <is>
          <t>フィルグラスチムBS注「サンド」</t>
        </is>
      </c>
      <c r="D545" s="4" t="inlineStr">
        <is>
          <t>卸A</t>
        </is>
      </c>
      <c r="E545" s="4" t="n">
        <v>64</v>
      </c>
      <c r="F545" s="4" t="n">
        <v>352037</v>
      </c>
    </row>
    <row r="546">
      <c r="A546" s="5" t="inlineStr">
        <is>
          <t>2024-06</t>
        </is>
      </c>
      <c r="B546" s="5" t="inlineStr">
        <is>
          <t>SKU0301</t>
        </is>
      </c>
      <c r="C546" s="5" t="inlineStr">
        <is>
          <t>フィルグラスチムBS注「サンド」</t>
        </is>
      </c>
      <c r="D546" s="5" t="inlineStr">
        <is>
          <t>卸B</t>
        </is>
      </c>
      <c r="E546" s="5" t="n">
        <v>58</v>
      </c>
      <c r="F546" s="5" t="n">
        <v>318008</v>
      </c>
    </row>
    <row r="547">
      <c r="A547" s="4" t="inlineStr">
        <is>
          <t>2024-06</t>
        </is>
      </c>
      <c r="B547" s="4" t="inlineStr">
        <is>
          <t>SKU0301</t>
        </is>
      </c>
      <c r="C547" s="4" t="inlineStr">
        <is>
          <t>フィルグラスチムBS注「サンド」</t>
        </is>
      </c>
      <c r="D547" s="4" t="inlineStr">
        <is>
          <t>卸C</t>
        </is>
      </c>
      <c r="E547" s="4" t="n">
        <v>39</v>
      </c>
      <c r="F547" s="4" t="n">
        <v>214671</v>
      </c>
    </row>
    <row r="548">
      <c r="A548" s="5" t="inlineStr">
        <is>
          <t>2024-07</t>
        </is>
      </c>
      <c r="B548" s="5" t="inlineStr">
        <is>
          <t>SKU0301</t>
        </is>
      </c>
      <c r="C548" s="5" t="inlineStr">
        <is>
          <t>フィルグラスチムBS注「サンド」</t>
        </is>
      </c>
      <c r="D548" s="5" t="inlineStr">
        <is>
          <t>卸A</t>
        </is>
      </c>
      <c r="E548" s="5" t="n">
        <v>84</v>
      </c>
      <c r="F548" s="5" t="n">
        <v>462867</v>
      </c>
    </row>
    <row r="549">
      <c r="A549" s="4" t="inlineStr">
        <is>
          <t>2024-07</t>
        </is>
      </c>
      <c r="B549" s="4" t="inlineStr">
        <is>
          <t>SKU0301</t>
        </is>
      </c>
      <c r="C549" s="4" t="inlineStr">
        <is>
          <t>フィルグラスチムBS注「サンド」</t>
        </is>
      </c>
      <c r="D549" s="4" t="inlineStr">
        <is>
          <t>卸B</t>
        </is>
      </c>
      <c r="E549" s="4" t="n">
        <v>75</v>
      </c>
      <c r="F549" s="4" t="n">
        <v>413423</v>
      </c>
    </row>
    <row r="550">
      <c r="A550" s="5" t="inlineStr">
        <is>
          <t>2024-07</t>
        </is>
      </c>
      <c r="B550" s="5" t="inlineStr">
        <is>
          <t>SKU0301</t>
        </is>
      </c>
      <c r="C550" s="5" t="inlineStr">
        <is>
          <t>フィルグラスチムBS注「サンド」</t>
        </is>
      </c>
      <c r="D550" s="5" t="inlineStr">
        <is>
          <t>卸C</t>
        </is>
      </c>
      <c r="E550" s="5" t="n">
        <v>56</v>
      </c>
      <c r="F550" s="5" t="n">
        <v>306255</v>
      </c>
    </row>
    <row r="551">
      <c r="A551" s="4" t="inlineStr">
        <is>
          <t>2024-08</t>
        </is>
      </c>
      <c r="B551" s="4" t="inlineStr">
        <is>
          <t>SKU0301</t>
        </is>
      </c>
      <c r="C551" s="4" t="inlineStr">
        <is>
          <t>フィルグラスチムBS注「サンド」</t>
        </is>
      </c>
      <c r="D551" s="4" t="inlineStr">
        <is>
          <t>卸A</t>
        </is>
      </c>
      <c r="E551" s="4" t="n">
        <v>84</v>
      </c>
      <c r="F551" s="4" t="n">
        <v>463099</v>
      </c>
    </row>
    <row r="552">
      <c r="A552" s="5" t="inlineStr">
        <is>
          <t>2024-08</t>
        </is>
      </c>
      <c r="B552" s="5" t="inlineStr">
        <is>
          <t>SKU0301</t>
        </is>
      </c>
      <c r="C552" s="5" t="inlineStr">
        <is>
          <t>フィルグラスチムBS注「サンド」</t>
        </is>
      </c>
      <c r="D552" s="5" t="inlineStr">
        <is>
          <t>卸B</t>
        </is>
      </c>
      <c r="E552" s="5" t="n">
        <v>77</v>
      </c>
      <c r="F552" s="5" t="n">
        <v>421018</v>
      </c>
    </row>
    <row r="553">
      <c r="A553" s="4" t="inlineStr">
        <is>
          <t>2024-08</t>
        </is>
      </c>
      <c r="B553" s="4" t="inlineStr">
        <is>
          <t>SKU0301</t>
        </is>
      </c>
      <c r="C553" s="4" t="inlineStr">
        <is>
          <t>フィルグラスチムBS注「サンド」</t>
        </is>
      </c>
      <c r="D553" s="4" t="inlineStr">
        <is>
          <t>卸C</t>
        </is>
      </c>
      <c r="E553" s="4" t="n">
        <v>53</v>
      </c>
      <c r="F553" s="4" t="n">
        <v>290158</v>
      </c>
    </row>
    <row r="554">
      <c r="A554" s="5" t="inlineStr">
        <is>
          <t>2024-09</t>
        </is>
      </c>
      <c r="B554" s="5" t="inlineStr">
        <is>
          <t>SKU0301</t>
        </is>
      </c>
      <c r="C554" s="5" t="inlineStr">
        <is>
          <t>フィルグラスチムBS注「サンド」</t>
        </is>
      </c>
      <c r="D554" s="5" t="inlineStr">
        <is>
          <t>卸A</t>
        </is>
      </c>
      <c r="E554" s="5" t="n">
        <v>117</v>
      </c>
      <c r="F554" s="5" t="n">
        <v>640168</v>
      </c>
    </row>
    <row r="555">
      <c r="A555" s="4" t="inlineStr">
        <is>
          <t>2024-09</t>
        </is>
      </c>
      <c r="B555" s="4" t="inlineStr">
        <is>
          <t>SKU0301</t>
        </is>
      </c>
      <c r="C555" s="4" t="inlineStr">
        <is>
          <t>フィルグラスチムBS注「サンド」</t>
        </is>
      </c>
      <c r="D555" s="4" t="inlineStr">
        <is>
          <t>卸B</t>
        </is>
      </c>
      <c r="E555" s="4" t="n">
        <v>93</v>
      </c>
      <c r="F555" s="4" t="n">
        <v>507551</v>
      </c>
    </row>
    <row r="556">
      <c r="A556" s="5" t="inlineStr">
        <is>
          <t>2024-09</t>
        </is>
      </c>
      <c r="B556" s="5" t="inlineStr">
        <is>
          <t>SKU0301</t>
        </is>
      </c>
      <c r="C556" s="5" t="inlineStr">
        <is>
          <t>フィルグラスチムBS注「サンド」</t>
        </is>
      </c>
      <c r="D556" s="5" t="inlineStr">
        <is>
          <t>卸C</t>
        </is>
      </c>
      <c r="E556" s="5" t="n">
        <v>60</v>
      </c>
      <c r="F556" s="5" t="n">
        <v>329807</v>
      </c>
    </row>
    <row r="557">
      <c r="A557" s="4" t="inlineStr">
        <is>
          <t>2024-10</t>
        </is>
      </c>
      <c r="B557" s="4" t="inlineStr">
        <is>
          <t>SKU0301</t>
        </is>
      </c>
      <c r="C557" s="4" t="inlineStr">
        <is>
          <t>フィルグラスチムBS注「サンド」</t>
        </is>
      </c>
      <c r="D557" s="4" t="inlineStr">
        <is>
          <t>卸A</t>
        </is>
      </c>
      <c r="E557" s="4" t="n">
        <v>116</v>
      </c>
      <c r="F557" s="4" t="n">
        <v>634339</v>
      </c>
    </row>
    <row r="558">
      <c r="A558" s="5" t="inlineStr">
        <is>
          <t>2024-10</t>
        </is>
      </c>
      <c r="B558" s="5" t="inlineStr">
        <is>
          <t>SKU0301</t>
        </is>
      </c>
      <c r="C558" s="5" t="inlineStr">
        <is>
          <t>フィルグラスチムBS注「サンド」</t>
        </is>
      </c>
      <c r="D558" s="5" t="inlineStr">
        <is>
          <t>卸B</t>
        </is>
      </c>
      <c r="E558" s="5" t="n">
        <v>106</v>
      </c>
      <c r="F558" s="5" t="n">
        <v>579363</v>
      </c>
    </row>
    <row r="559">
      <c r="A559" s="4" t="inlineStr">
        <is>
          <t>2024-10</t>
        </is>
      </c>
      <c r="B559" s="4" t="inlineStr">
        <is>
          <t>SKU0301</t>
        </is>
      </c>
      <c r="C559" s="4" t="inlineStr">
        <is>
          <t>フィルグラスチムBS注「サンド」</t>
        </is>
      </c>
      <c r="D559" s="4" t="inlineStr">
        <is>
          <t>卸C</t>
        </is>
      </c>
      <c r="E559" s="4" t="n">
        <v>73</v>
      </c>
      <c r="F559" s="4" t="n">
        <v>398672</v>
      </c>
    </row>
    <row r="560">
      <c r="A560" s="5" t="inlineStr">
        <is>
          <t>2024-11</t>
        </is>
      </c>
      <c r="B560" s="5" t="inlineStr">
        <is>
          <t>SKU0301</t>
        </is>
      </c>
      <c r="C560" s="5" t="inlineStr">
        <is>
          <t>フィルグラスチムBS注「サンド」</t>
        </is>
      </c>
      <c r="D560" s="5" t="inlineStr">
        <is>
          <t>卸A</t>
        </is>
      </c>
      <c r="E560" s="5" t="n">
        <v>133</v>
      </c>
      <c r="F560" s="5" t="n">
        <v>727868</v>
      </c>
    </row>
    <row r="561">
      <c r="A561" s="4" t="inlineStr">
        <is>
          <t>2024-11</t>
        </is>
      </c>
      <c r="B561" s="4" t="inlineStr">
        <is>
          <t>SKU0301</t>
        </is>
      </c>
      <c r="C561" s="4" t="inlineStr">
        <is>
          <t>フィルグラスチムBS注「サンド」</t>
        </is>
      </c>
      <c r="D561" s="4" t="inlineStr">
        <is>
          <t>卸B</t>
        </is>
      </c>
      <c r="E561" s="4" t="n">
        <v>118</v>
      </c>
      <c r="F561" s="4" t="n">
        <v>644482</v>
      </c>
    </row>
    <row r="562">
      <c r="A562" s="5" t="inlineStr">
        <is>
          <t>2024-11</t>
        </is>
      </c>
      <c r="B562" s="5" t="inlineStr">
        <is>
          <t>SKU0301</t>
        </is>
      </c>
      <c r="C562" s="5" t="inlineStr">
        <is>
          <t>フィルグラスチムBS注「サンド」</t>
        </is>
      </c>
      <c r="D562" s="5" t="inlineStr">
        <is>
          <t>卸C</t>
        </is>
      </c>
      <c r="E562" s="5" t="n">
        <v>80</v>
      </c>
      <c r="F562" s="5" t="n">
        <v>440396</v>
      </c>
    </row>
    <row r="563">
      <c r="A563" s="4" t="inlineStr">
        <is>
          <t>2024-12</t>
        </is>
      </c>
      <c r="B563" s="4" t="inlineStr">
        <is>
          <t>SKU0301</t>
        </is>
      </c>
      <c r="C563" s="4" t="inlineStr">
        <is>
          <t>フィルグラスチムBS注「サンド」</t>
        </is>
      </c>
      <c r="D563" s="4" t="inlineStr">
        <is>
          <t>卸A</t>
        </is>
      </c>
      <c r="E563" s="4" t="n">
        <v>141</v>
      </c>
      <c r="F563" s="4" t="n">
        <v>773267</v>
      </c>
    </row>
    <row r="564">
      <c r="A564" s="5" t="inlineStr">
        <is>
          <t>2024-12</t>
        </is>
      </c>
      <c r="B564" s="5" t="inlineStr">
        <is>
          <t>SKU0301</t>
        </is>
      </c>
      <c r="C564" s="5" t="inlineStr">
        <is>
          <t>フィルグラスチムBS注「サンド」</t>
        </is>
      </c>
      <c r="D564" s="5" t="inlineStr">
        <is>
          <t>卸B</t>
        </is>
      </c>
      <c r="E564" s="5" t="n">
        <v>129</v>
      </c>
      <c r="F564" s="5" t="n">
        <v>705537</v>
      </c>
    </row>
    <row r="565">
      <c r="A565" s="4" t="inlineStr">
        <is>
          <t>2024-12</t>
        </is>
      </c>
      <c r="B565" s="4" t="inlineStr">
        <is>
          <t>SKU0301</t>
        </is>
      </c>
      <c r="C565" s="4" t="inlineStr">
        <is>
          <t>フィルグラスチムBS注「サンド」</t>
        </is>
      </c>
      <c r="D565" s="4" t="inlineStr">
        <is>
          <t>卸C</t>
        </is>
      </c>
      <c r="E565" s="4" t="n">
        <v>99</v>
      </c>
      <c r="F565" s="4" t="n">
        <v>544044</v>
      </c>
    </row>
    <row r="566">
      <c r="A566" s="5" t="inlineStr">
        <is>
          <t>2025-01</t>
        </is>
      </c>
      <c r="B566" s="5" t="inlineStr">
        <is>
          <t>SKU0301</t>
        </is>
      </c>
      <c r="C566" s="5" t="inlineStr">
        <is>
          <t>フィルグラスチムBS注「サンド」</t>
        </is>
      </c>
      <c r="D566" s="5" t="inlineStr">
        <is>
          <t>卸A</t>
        </is>
      </c>
      <c r="E566" s="5" t="n">
        <v>165</v>
      </c>
      <c r="F566" s="5" t="n">
        <v>902425</v>
      </c>
    </row>
    <row r="567">
      <c r="A567" s="4" t="inlineStr">
        <is>
          <t>2025-01</t>
        </is>
      </c>
      <c r="B567" s="4" t="inlineStr">
        <is>
          <t>SKU0301</t>
        </is>
      </c>
      <c r="C567" s="4" t="inlineStr">
        <is>
          <t>フィルグラスチムBS注「サンド」</t>
        </is>
      </c>
      <c r="D567" s="4" t="inlineStr">
        <is>
          <t>卸B</t>
        </is>
      </c>
      <c r="E567" s="4" t="n">
        <v>147</v>
      </c>
      <c r="F567" s="4" t="n">
        <v>804173</v>
      </c>
    </row>
    <row r="568">
      <c r="A568" s="5" t="inlineStr">
        <is>
          <t>2025-01</t>
        </is>
      </c>
      <c r="B568" s="5" t="inlineStr">
        <is>
          <t>SKU0301</t>
        </is>
      </c>
      <c r="C568" s="5" t="inlineStr">
        <is>
          <t>フィルグラスチムBS注「サンド」</t>
        </is>
      </c>
      <c r="D568" s="5" t="inlineStr">
        <is>
          <t>卸C</t>
        </is>
      </c>
      <c r="E568" s="5" t="n">
        <v>97</v>
      </c>
      <c r="F568" s="5" t="n">
        <v>530476</v>
      </c>
    </row>
    <row r="569">
      <c r="A569" s="4" t="inlineStr">
        <is>
          <t>2025-02</t>
        </is>
      </c>
      <c r="B569" s="4" t="inlineStr">
        <is>
          <t>SKU0301</t>
        </is>
      </c>
      <c r="C569" s="4" t="inlineStr">
        <is>
          <t>フィルグラスチムBS注「サンド」</t>
        </is>
      </c>
      <c r="D569" s="4" t="inlineStr">
        <is>
          <t>卸A</t>
        </is>
      </c>
      <c r="E569" s="4" t="n">
        <v>175</v>
      </c>
      <c r="F569" s="4" t="n">
        <v>957628</v>
      </c>
    </row>
    <row r="570">
      <c r="A570" s="5" t="inlineStr">
        <is>
          <t>2025-02</t>
        </is>
      </c>
      <c r="B570" s="5" t="inlineStr">
        <is>
          <t>SKU0301</t>
        </is>
      </c>
      <c r="C570" s="5" t="inlineStr">
        <is>
          <t>フィルグラスチムBS注「サンド」</t>
        </is>
      </c>
      <c r="D570" s="5" t="inlineStr">
        <is>
          <t>卸B</t>
        </is>
      </c>
      <c r="E570" s="5" t="n">
        <v>146</v>
      </c>
      <c r="F570" s="5" t="n">
        <v>799227</v>
      </c>
    </row>
    <row r="571">
      <c r="A571" s="4" t="inlineStr">
        <is>
          <t>2025-02</t>
        </is>
      </c>
      <c r="B571" s="4" t="inlineStr">
        <is>
          <t>SKU0301</t>
        </is>
      </c>
      <c r="C571" s="4" t="inlineStr">
        <is>
          <t>フィルグラスチムBS注「サンド」</t>
        </is>
      </c>
      <c r="D571" s="4" t="inlineStr">
        <is>
          <t>卸C</t>
        </is>
      </c>
      <c r="E571" s="4" t="n">
        <v>101</v>
      </c>
      <c r="F571" s="4" t="n">
        <v>555795</v>
      </c>
    </row>
    <row r="572">
      <c r="A572" s="5" t="inlineStr">
        <is>
          <t>2025-03</t>
        </is>
      </c>
      <c r="B572" s="5" t="inlineStr">
        <is>
          <t>SKU0301</t>
        </is>
      </c>
      <c r="C572" s="5" t="inlineStr">
        <is>
          <t>フィルグラスチムBS注「サンド」</t>
        </is>
      </c>
      <c r="D572" s="5" t="inlineStr">
        <is>
          <t>卸A</t>
        </is>
      </c>
      <c r="E572" s="5" t="n">
        <v>320</v>
      </c>
      <c r="F572" s="5" t="n">
        <v>1752797</v>
      </c>
    </row>
    <row r="573">
      <c r="A573" s="4" t="inlineStr">
        <is>
          <t>2025-03</t>
        </is>
      </c>
      <c r="B573" s="4" t="inlineStr">
        <is>
          <t>SKU0301</t>
        </is>
      </c>
      <c r="C573" s="4" t="inlineStr">
        <is>
          <t>フィルグラスチムBS注「サンド」</t>
        </is>
      </c>
      <c r="D573" s="4" t="inlineStr">
        <is>
          <t>卸B</t>
        </is>
      </c>
      <c r="E573" s="4" t="n">
        <v>228</v>
      </c>
      <c r="F573" s="4" t="n">
        <v>1250537</v>
      </c>
    </row>
    <row r="574">
      <c r="A574" s="5" t="inlineStr">
        <is>
          <t>2025-03</t>
        </is>
      </c>
      <c r="B574" s="5" t="inlineStr">
        <is>
          <t>SKU0301</t>
        </is>
      </c>
      <c r="C574" s="5" t="inlineStr">
        <is>
          <t>フィルグラスチムBS注「サンド」</t>
        </is>
      </c>
      <c r="D574" s="5" t="inlineStr">
        <is>
          <t>卸C</t>
        </is>
      </c>
      <c r="E574" s="5" t="n">
        <v>189</v>
      </c>
      <c r="F574" s="5" t="n">
        <v>1034337</v>
      </c>
    </row>
    <row r="575">
      <c r="A575" s="4" t="inlineStr">
        <is>
          <t>2025-04</t>
        </is>
      </c>
      <c r="B575" s="4" t="inlineStr">
        <is>
          <t>SKU0301</t>
        </is>
      </c>
      <c r="C575" s="4" t="inlineStr">
        <is>
          <t>フィルグラスチムBS注「サンド」</t>
        </is>
      </c>
      <c r="D575" s="4" t="inlineStr">
        <is>
          <t>卸A</t>
        </is>
      </c>
      <c r="E575" s="4" t="n">
        <v>132</v>
      </c>
      <c r="F575" s="4" t="n">
        <v>703440</v>
      </c>
    </row>
    <row r="576">
      <c r="A576" s="5" t="inlineStr">
        <is>
          <t>2025-04</t>
        </is>
      </c>
      <c r="B576" s="5" t="inlineStr">
        <is>
          <t>SKU0301</t>
        </is>
      </c>
      <c r="C576" s="5" t="inlineStr">
        <is>
          <t>フィルグラスチムBS注「サンド」</t>
        </is>
      </c>
      <c r="D576" s="5" t="inlineStr">
        <is>
          <t>卸B</t>
        </is>
      </c>
      <c r="E576" s="5" t="n">
        <v>102</v>
      </c>
      <c r="F576" s="5" t="n">
        <v>542584</v>
      </c>
    </row>
    <row r="577">
      <c r="A577" s="4" t="inlineStr">
        <is>
          <t>2025-04</t>
        </is>
      </c>
      <c r="B577" s="4" t="inlineStr">
        <is>
          <t>SKU0301</t>
        </is>
      </c>
      <c r="C577" s="4" t="inlineStr">
        <is>
          <t>フィルグラスチムBS注「サンド」</t>
        </is>
      </c>
      <c r="D577" s="4" t="inlineStr">
        <is>
          <t>卸C</t>
        </is>
      </c>
      <c r="E577" s="4" t="n">
        <v>67</v>
      </c>
      <c r="F577" s="4" t="n">
        <v>354577</v>
      </c>
    </row>
    <row r="578">
      <c r="A578" s="5" t="inlineStr">
        <is>
          <t>2025-05</t>
        </is>
      </c>
      <c r="B578" s="5" t="inlineStr">
        <is>
          <t>SKU0301</t>
        </is>
      </c>
      <c r="C578" s="5" t="inlineStr">
        <is>
          <t>フィルグラスチムBS注「サンド」</t>
        </is>
      </c>
      <c r="D578" s="5" t="inlineStr">
        <is>
          <t>卸A</t>
        </is>
      </c>
      <c r="E578" s="5" t="n">
        <v>122</v>
      </c>
      <c r="F578" s="5" t="n">
        <v>649538</v>
      </c>
    </row>
    <row r="579">
      <c r="A579" s="4" t="inlineStr">
        <is>
          <t>2025-05</t>
        </is>
      </c>
      <c r="B579" s="4" t="inlineStr">
        <is>
          <t>SKU0301</t>
        </is>
      </c>
      <c r="C579" s="4" t="inlineStr">
        <is>
          <t>フィルグラスチムBS注「サンド」</t>
        </is>
      </c>
      <c r="D579" s="4" t="inlineStr">
        <is>
          <t>卸B</t>
        </is>
      </c>
      <c r="E579" s="4" t="n">
        <v>112</v>
      </c>
      <c r="F579" s="4" t="n">
        <v>596565</v>
      </c>
    </row>
    <row r="580">
      <c r="A580" s="5" t="inlineStr">
        <is>
          <t>2025-05</t>
        </is>
      </c>
      <c r="B580" s="5" t="inlineStr">
        <is>
          <t>SKU0301</t>
        </is>
      </c>
      <c r="C580" s="5" t="inlineStr">
        <is>
          <t>フィルグラスチムBS注「サンド」</t>
        </is>
      </c>
      <c r="D580" s="5" t="inlineStr">
        <is>
          <t>卸C</t>
        </is>
      </c>
      <c r="E580" s="5" t="n">
        <v>81</v>
      </c>
      <c r="F580" s="5" t="n">
        <v>430747</v>
      </c>
    </row>
    <row r="581">
      <c r="A581" s="4" t="inlineStr">
        <is>
          <t>2025-06</t>
        </is>
      </c>
      <c r="B581" s="4" t="inlineStr">
        <is>
          <t>SKU0301</t>
        </is>
      </c>
      <c r="C581" s="4" t="inlineStr">
        <is>
          <t>フィルグラスチムBS注「サンド」</t>
        </is>
      </c>
      <c r="D581" s="4" t="inlineStr">
        <is>
          <t>卸A</t>
        </is>
      </c>
      <c r="E581" s="4" t="n">
        <v>227</v>
      </c>
      <c r="F581" s="4" t="n">
        <v>1206875</v>
      </c>
    </row>
    <row r="582">
      <c r="A582" s="5" t="inlineStr">
        <is>
          <t>2025-06</t>
        </is>
      </c>
      <c r="B582" s="5" t="inlineStr">
        <is>
          <t>SKU0301</t>
        </is>
      </c>
      <c r="C582" s="5" t="inlineStr">
        <is>
          <t>フィルグラスチムBS注「サンド」</t>
        </is>
      </c>
      <c r="D582" s="5" t="inlineStr">
        <is>
          <t>卸B</t>
        </is>
      </c>
      <c r="E582" s="5" t="n">
        <v>208</v>
      </c>
      <c r="F582" s="5" t="n">
        <v>1104626</v>
      </c>
    </row>
    <row r="583">
      <c r="A583" s="4" t="inlineStr">
        <is>
          <t>2025-06</t>
        </is>
      </c>
      <c r="B583" s="4" t="inlineStr">
        <is>
          <t>SKU0301</t>
        </is>
      </c>
      <c r="C583" s="4" t="inlineStr">
        <is>
          <t>フィルグラスチムBS注「サンド」</t>
        </is>
      </c>
      <c r="D583" s="4" t="inlineStr">
        <is>
          <t>卸C</t>
        </is>
      </c>
      <c r="E583" s="4" t="n">
        <v>131</v>
      </c>
      <c r="F583" s="4" t="n">
        <v>695115</v>
      </c>
    </row>
    <row r="584">
      <c r="A584" s="5" t="inlineStr">
        <is>
          <t>2025-07</t>
        </is>
      </c>
      <c r="B584" s="5" t="inlineStr">
        <is>
          <t>SKU0301</t>
        </is>
      </c>
      <c r="C584" s="5" t="inlineStr">
        <is>
          <t>フィルグラスチムBS注「サンド」</t>
        </is>
      </c>
      <c r="D584" s="5" t="inlineStr">
        <is>
          <t>卸A</t>
        </is>
      </c>
      <c r="E584" s="5" t="n">
        <v>244</v>
      </c>
      <c r="F584" s="5" t="n">
        <v>1295098</v>
      </c>
    </row>
    <row r="585">
      <c r="A585" s="4" t="inlineStr">
        <is>
          <t>2025-07</t>
        </is>
      </c>
      <c r="B585" s="4" t="inlineStr">
        <is>
          <t>SKU0301</t>
        </is>
      </c>
      <c r="C585" s="4" t="inlineStr">
        <is>
          <t>フィルグラスチムBS注「サンド」</t>
        </is>
      </c>
      <c r="D585" s="4" t="inlineStr">
        <is>
          <t>卸B</t>
        </is>
      </c>
      <c r="E585" s="4" t="n">
        <v>204</v>
      </c>
      <c r="F585" s="4" t="n">
        <v>1084061</v>
      </c>
    </row>
    <row r="586">
      <c r="A586" s="5" t="inlineStr">
        <is>
          <t>2025-07</t>
        </is>
      </c>
      <c r="B586" s="5" t="inlineStr">
        <is>
          <t>SKU0301</t>
        </is>
      </c>
      <c r="C586" s="5" t="inlineStr">
        <is>
          <t>フィルグラスチムBS注「サンド」</t>
        </is>
      </c>
      <c r="D586" s="5" t="inlineStr">
        <is>
          <t>卸C</t>
        </is>
      </c>
      <c r="E586" s="5" t="n">
        <v>140</v>
      </c>
      <c r="F586" s="5" t="n">
        <v>746815</v>
      </c>
    </row>
    <row r="587">
      <c r="A587" s="4" t="inlineStr">
        <is>
          <t>2025-08</t>
        </is>
      </c>
      <c r="B587" s="4" t="inlineStr">
        <is>
          <t>SKU0301</t>
        </is>
      </c>
      <c r="C587" s="4" t="inlineStr">
        <is>
          <t>フィルグラスチムBS注「サンド」</t>
        </is>
      </c>
      <c r="D587" s="4" t="inlineStr">
        <is>
          <t>卸A</t>
        </is>
      </c>
      <c r="E587" s="4" t="n">
        <v>252</v>
      </c>
      <c r="F587" s="4" t="n">
        <v>1342204</v>
      </c>
    </row>
    <row r="588">
      <c r="A588" s="5" t="inlineStr">
        <is>
          <t>2025-08</t>
        </is>
      </c>
      <c r="B588" s="5" t="inlineStr">
        <is>
          <t>SKU0301</t>
        </is>
      </c>
      <c r="C588" s="5" t="inlineStr">
        <is>
          <t>フィルグラスチムBS注「サンド」</t>
        </is>
      </c>
      <c r="D588" s="5" t="inlineStr">
        <is>
          <t>卸B</t>
        </is>
      </c>
      <c r="E588" s="5" t="n">
        <v>213</v>
      </c>
      <c r="F588" s="5" t="n">
        <v>1132857</v>
      </c>
    </row>
    <row r="589">
      <c r="A589" s="4" t="inlineStr">
        <is>
          <t>2025-08</t>
        </is>
      </c>
      <c r="B589" s="4" t="inlineStr">
        <is>
          <t>SKU0301</t>
        </is>
      </c>
      <c r="C589" s="4" t="inlineStr">
        <is>
          <t>フィルグラスチムBS注「サンド」</t>
        </is>
      </c>
      <c r="D589" s="4" t="inlineStr">
        <is>
          <t>卸C</t>
        </is>
      </c>
      <c r="E589" s="4" t="n">
        <v>164</v>
      </c>
      <c r="F589" s="4" t="n">
        <v>872237</v>
      </c>
    </row>
    <row r="590">
      <c r="A590" s="5" t="inlineStr">
        <is>
          <t>2025-09</t>
        </is>
      </c>
      <c r="B590" s="5" t="inlineStr">
        <is>
          <t>SKU0301</t>
        </is>
      </c>
      <c r="C590" s="5" t="inlineStr">
        <is>
          <t>フィルグラスチムBS注「サンド」</t>
        </is>
      </c>
      <c r="D590" s="5" t="inlineStr">
        <is>
          <t>卸A</t>
        </is>
      </c>
      <c r="E590" s="5" t="n">
        <v>271</v>
      </c>
      <c r="F590" s="5" t="n">
        <v>1440302</v>
      </c>
    </row>
    <row r="591">
      <c r="A591" s="4" t="inlineStr">
        <is>
          <t>2025-09</t>
        </is>
      </c>
      <c r="B591" s="4" t="inlineStr">
        <is>
          <t>SKU0301</t>
        </is>
      </c>
      <c r="C591" s="4" t="inlineStr">
        <is>
          <t>フィルグラスチムBS注「サンド」</t>
        </is>
      </c>
      <c r="D591" s="4" t="inlineStr">
        <is>
          <t>卸B</t>
        </is>
      </c>
      <c r="E591" s="4" t="n">
        <v>218</v>
      </c>
      <c r="F591" s="4" t="n">
        <v>1158315</v>
      </c>
    </row>
    <row r="592">
      <c r="A592" s="5" t="inlineStr">
        <is>
          <t>2025-09</t>
        </is>
      </c>
      <c r="B592" s="5" t="inlineStr">
        <is>
          <t>SKU0301</t>
        </is>
      </c>
      <c r="C592" s="5" t="inlineStr">
        <is>
          <t>フィルグラスチムBS注「サンド」</t>
        </is>
      </c>
      <c r="D592" s="5" t="inlineStr">
        <is>
          <t>卸C</t>
        </is>
      </c>
      <c r="E592" s="5" t="n">
        <v>164</v>
      </c>
      <c r="F592" s="5" t="n">
        <v>871388</v>
      </c>
    </row>
    <row r="593">
      <c r="A593" s="4" t="inlineStr">
        <is>
          <t>2025-10</t>
        </is>
      </c>
      <c r="B593" s="4" t="inlineStr">
        <is>
          <t>SKU0301</t>
        </is>
      </c>
      <c r="C593" s="4" t="inlineStr">
        <is>
          <t>フィルグラスチムBS注「サンド」</t>
        </is>
      </c>
      <c r="D593" s="4" t="inlineStr">
        <is>
          <t>卸A</t>
        </is>
      </c>
      <c r="E593" s="4" t="n">
        <v>286</v>
      </c>
      <c r="F593" s="4" t="n">
        <v>1523136</v>
      </c>
    </row>
    <row r="594">
      <c r="A594" s="5" t="inlineStr">
        <is>
          <t>2025-10</t>
        </is>
      </c>
      <c r="B594" s="5" t="inlineStr">
        <is>
          <t>SKU0301</t>
        </is>
      </c>
      <c r="C594" s="5" t="inlineStr">
        <is>
          <t>フィルグラスチムBS注「サンド」</t>
        </is>
      </c>
      <c r="D594" s="5" t="inlineStr">
        <is>
          <t>卸B</t>
        </is>
      </c>
      <c r="E594" s="5" t="n">
        <v>270</v>
      </c>
      <c r="F594" s="5" t="n">
        <v>1437799</v>
      </c>
    </row>
    <row r="595">
      <c r="A595" s="4" t="inlineStr">
        <is>
          <t>2025-10</t>
        </is>
      </c>
      <c r="B595" s="4" t="inlineStr">
        <is>
          <t>SKU0301</t>
        </is>
      </c>
      <c r="C595" s="4" t="inlineStr">
        <is>
          <t>フィルグラスチムBS注「サンド」</t>
        </is>
      </c>
      <c r="D595" s="4" t="inlineStr">
        <is>
          <t>卸C</t>
        </is>
      </c>
      <c r="E595" s="4" t="n">
        <v>171</v>
      </c>
      <c r="F595" s="4" t="n">
        <v>906701</v>
      </c>
    </row>
    <row r="596">
      <c r="A596" s="5" t="inlineStr">
        <is>
          <t>2025-11</t>
        </is>
      </c>
      <c r="B596" s="5" t="inlineStr">
        <is>
          <t>SKU0301</t>
        </is>
      </c>
      <c r="C596" s="5" t="inlineStr">
        <is>
          <t>フィルグラスチムBS注「サンド」</t>
        </is>
      </c>
      <c r="D596" s="5" t="inlineStr">
        <is>
          <t>卸A</t>
        </is>
      </c>
      <c r="E596" s="5" t="n">
        <v>282</v>
      </c>
      <c r="F596" s="5" t="n">
        <v>1501459</v>
      </c>
    </row>
    <row r="597">
      <c r="A597" s="4" t="inlineStr">
        <is>
          <t>2025-11</t>
        </is>
      </c>
      <c r="B597" s="4" t="inlineStr">
        <is>
          <t>SKU0301</t>
        </is>
      </c>
      <c r="C597" s="4" t="inlineStr">
        <is>
          <t>フィルグラスチムBS注「サンド」</t>
        </is>
      </c>
      <c r="D597" s="4" t="inlineStr">
        <is>
          <t>卸B</t>
        </is>
      </c>
      <c r="E597" s="4" t="n">
        <v>208</v>
      </c>
      <c r="F597" s="4" t="n">
        <v>1104611</v>
      </c>
    </row>
    <row r="598">
      <c r="A598" s="5" t="inlineStr">
        <is>
          <t>2025-11</t>
        </is>
      </c>
      <c r="B598" s="5" t="inlineStr">
        <is>
          <t>SKU0301</t>
        </is>
      </c>
      <c r="C598" s="5" t="inlineStr">
        <is>
          <t>フィルグラスチムBS注「サンド」</t>
        </is>
      </c>
      <c r="D598" s="5" t="inlineStr">
        <is>
          <t>卸C</t>
        </is>
      </c>
      <c r="E598" s="5" t="n">
        <v>176</v>
      </c>
      <c r="F598" s="5" t="n">
        <v>934243</v>
      </c>
    </row>
    <row r="599">
      <c r="A599" s="4" t="inlineStr">
        <is>
          <t>2025-12</t>
        </is>
      </c>
      <c r="B599" s="4" t="inlineStr">
        <is>
          <t>SKU0301</t>
        </is>
      </c>
      <c r="C599" s="4" t="inlineStr">
        <is>
          <t>フィルグラスチムBS注「サンド」</t>
        </is>
      </c>
      <c r="D599" s="4" t="inlineStr">
        <is>
          <t>卸A</t>
        </is>
      </c>
      <c r="E599" s="4" t="n">
        <v>361</v>
      </c>
      <c r="F599" s="4" t="n">
        <v>1920628</v>
      </c>
    </row>
    <row r="600">
      <c r="A600" s="5" t="inlineStr">
        <is>
          <t>2025-12</t>
        </is>
      </c>
      <c r="B600" s="5" t="inlineStr">
        <is>
          <t>SKU0301</t>
        </is>
      </c>
      <c r="C600" s="5" t="inlineStr">
        <is>
          <t>フィルグラスチムBS注「サンド」</t>
        </is>
      </c>
      <c r="D600" s="5" t="inlineStr">
        <is>
          <t>卸B</t>
        </is>
      </c>
      <c r="E600" s="5" t="n">
        <v>278</v>
      </c>
      <c r="F600" s="5" t="n">
        <v>1475645</v>
      </c>
    </row>
    <row r="601">
      <c r="A601" s="4" t="inlineStr">
        <is>
          <t>2025-12</t>
        </is>
      </c>
      <c r="B601" s="4" t="inlineStr">
        <is>
          <t>SKU0301</t>
        </is>
      </c>
      <c r="C601" s="4" t="inlineStr">
        <is>
          <t>フィルグラスチムBS注「サンド」</t>
        </is>
      </c>
      <c r="D601" s="4" t="inlineStr">
        <is>
          <t>卸C</t>
        </is>
      </c>
      <c r="E601" s="4" t="n">
        <v>183</v>
      </c>
      <c r="F601" s="4" t="n">
        <v>975259</v>
      </c>
    </row>
    <row r="602">
      <c r="A602" s="5" t="inlineStr">
        <is>
          <t>2026-01</t>
        </is>
      </c>
      <c r="B602" s="5" t="inlineStr">
        <is>
          <t>SKU0301</t>
        </is>
      </c>
      <c r="C602" s="5" t="inlineStr">
        <is>
          <t>フィルグラスチムBS注「サンド」</t>
        </is>
      </c>
      <c r="D602" s="5" t="inlineStr">
        <is>
          <t>卸A</t>
        </is>
      </c>
      <c r="E602" s="5" t="n">
        <v>294</v>
      </c>
      <c r="F602" s="5" t="n">
        <v>1561366</v>
      </c>
    </row>
    <row r="603">
      <c r="A603" s="4" t="inlineStr">
        <is>
          <t>2026-01</t>
        </is>
      </c>
      <c r="B603" s="4" t="inlineStr">
        <is>
          <t>SKU0301</t>
        </is>
      </c>
      <c r="C603" s="4" t="inlineStr">
        <is>
          <t>フィルグラスチムBS注「サンド」</t>
        </is>
      </c>
      <c r="D603" s="4" t="inlineStr">
        <is>
          <t>卸B</t>
        </is>
      </c>
      <c r="E603" s="4" t="n">
        <v>289</v>
      </c>
      <c r="F603" s="4" t="n">
        <v>1536208</v>
      </c>
    </row>
    <row r="604">
      <c r="A604" s="5" t="inlineStr">
        <is>
          <t>2026-01</t>
        </is>
      </c>
      <c r="B604" s="5" t="inlineStr">
        <is>
          <t>SKU0301</t>
        </is>
      </c>
      <c r="C604" s="5" t="inlineStr">
        <is>
          <t>フィルグラスチムBS注「サンド」</t>
        </is>
      </c>
      <c r="D604" s="5" t="inlineStr">
        <is>
          <t>卸C</t>
        </is>
      </c>
      <c r="E604" s="5" t="n">
        <v>201</v>
      </c>
      <c r="F604" s="5" t="n">
        <v>1067182</v>
      </c>
    </row>
    <row r="605">
      <c r="A605" s="4" t="inlineStr">
        <is>
          <t>2026-02</t>
        </is>
      </c>
      <c r="B605" s="4" t="inlineStr">
        <is>
          <t>SKU0301</t>
        </is>
      </c>
      <c r="C605" s="4" t="inlineStr">
        <is>
          <t>フィルグラスチムBS注「サンド」</t>
        </is>
      </c>
      <c r="D605" s="4" t="inlineStr">
        <is>
          <t>卸A</t>
        </is>
      </c>
      <c r="E605" s="4" t="n">
        <v>280</v>
      </c>
      <c r="F605" s="4" t="n">
        <v>1487887</v>
      </c>
    </row>
    <row r="606">
      <c r="A606" s="5" t="inlineStr">
        <is>
          <t>2026-02</t>
        </is>
      </c>
      <c r="B606" s="5" t="inlineStr">
        <is>
          <t>SKU0301</t>
        </is>
      </c>
      <c r="C606" s="5" t="inlineStr">
        <is>
          <t>フィルグラスチムBS注「サンド」</t>
        </is>
      </c>
      <c r="D606" s="5" t="inlineStr">
        <is>
          <t>卸B</t>
        </is>
      </c>
      <c r="E606" s="5" t="n">
        <v>270</v>
      </c>
      <c r="F606" s="5" t="n">
        <v>1437743</v>
      </c>
    </row>
    <row r="607">
      <c r="A607" s="4" t="inlineStr">
        <is>
          <t>2026-02</t>
        </is>
      </c>
      <c r="B607" s="4" t="inlineStr">
        <is>
          <t>SKU0301</t>
        </is>
      </c>
      <c r="C607" s="4" t="inlineStr">
        <is>
          <t>フィルグラスチムBS注「サンド」</t>
        </is>
      </c>
      <c r="D607" s="4" t="inlineStr">
        <is>
          <t>卸C</t>
        </is>
      </c>
      <c r="E607" s="4" t="n">
        <v>199</v>
      </c>
      <c r="F607" s="4" t="n">
        <v>1056846</v>
      </c>
    </row>
    <row r="608">
      <c r="A608" s="5" t="inlineStr">
        <is>
          <t>2026-03</t>
        </is>
      </c>
      <c r="B608" s="5" t="inlineStr">
        <is>
          <t>SKU0301</t>
        </is>
      </c>
      <c r="C608" s="5" t="inlineStr">
        <is>
          <t>フィルグラスチムBS注「サンド」</t>
        </is>
      </c>
      <c r="D608" s="5" t="inlineStr">
        <is>
          <t>卸A</t>
        </is>
      </c>
      <c r="E608" s="5" t="n">
        <v>385</v>
      </c>
      <c r="F608" s="5" t="n">
        <v>2048667</v>
      </c>
    </row>
    <row r="609">
      <c r="A609" s="4" t="inlineStr">
        <is>
          <t>2026-03</t>
        </is>
      </c>
      <c r="B609" s="4" t="inlineStr">
        <is>
          <t>SKU0301</t>
        </is>
      </c>
      <c r="C609" s="4" t="inlineStr">
        <is>
          <t>フィルグラスチムBS注「サンド」</t>
        </is>
      </c>
      <c r="D609" s="4" t="inlineStr">
        <is>
          <t>卸B</t>
        </is>
      </c>
      <c r="E609" s="4" t="n">
        <v>407</v>
      </c>
      <c r="F609" s="4" t="n">
        <v>2165741</v>
      </c>
    </row>
    <row r="610">
      <c r="A610" s="5" t="inlineStr">
        <is>
          <t>2026-03</t>
        </is>
      </c>
      <c r="B610" s="5" t="inlineStr">
        <is>
          <t>SKU0301</t>
        </is>
      </c>
      <c r="C610" s="5" t="inlineStr">
        <is>
          <t>フィルグラスチムBS注「サンド」</t>
        </is>
      </c>
      <c r="D610" s="5" t="inlineStr">
        <is>
          <t>卸C</t>
        </is>
      </c>
      <c r="E610" s="5" t="n">
        <v>262</v>
      </c>
      <c r="F610" s="5" t="n">
        <v>1390846</v>
      </c>
    </row>
    <row r="611">
      <c r="A611" s="4" t="inlineStr">
        <is>
          <t>2026-04</t>
        </is>
      </c>
      <c r="B611" s="4" t="inlineStr">
        <is>
          <t>SKU0301</t>
        </is>
      </c>
      <c r="C611" s="4" t="inlineStr">
        <is>
          <t>フィルグラスチムBS注「サンド」</t>
        </is>
      </c>
      <c r="D611" s="4" t="inlineStr">
        <is>
          <t>卸A</t>
        </is>
      </c>
      <c r="E611" s="4" t="n">
        <v>259</v>
      </c>
      <c r="F611" s="4" t="n">
        <v>1294372</v>
      </c>
    </row>
    <row r="612">
      <c r="A612" s="5" t="inlineStr">
        <is>
          <t>2026-04</t>
        </is>
      </c>
      <c r="B612" s="5" t="inlineStr">
        <is>
          <t>SKU0301</t>
        </is>
      </c>
      <c r="C612" s="5" t="inlineStr">
        <is>
          <t>フィルグラスチムBS注「サンド」</t>
        </is>
      </c>
      <c r="D612" s="5" t="inlineStr">
        <is>
          <t>卸B</t>
        </is>
      </c>
      <c r="E612" s="5" t="n">
        <v>200</v>
      </c>
      <c r="F612" s="5" t="n">
        <v>1001466</v>
      </c>
    </row>
    <row r="613">
      <c r="A613" s="4" t="inlineStr">
        <is>
          <t>2026-04</t>
        </is>
      </c>
      <c r="B613" s="4" t="inlineStr">
        <is>
          <t>SKU0301</t>
        </is>
      </c>
      <c r="C613" s="4" t="inlineStr">
        <is>
          <t>フィルグラスチムBS注「サンド」</t>
        </is>
      </c>
      <c r="D613" s="4" t="inlineStr">
        <is>
          <t>卸C</t>
        </is>
      </c>
      <c r="E613" s="4" t="n">
        <v>138</v>
      </c>
      <c r="F613" s="4" t="n">
        <v>689506</v>
      </c>
    </row>
    <row r="614">
      <c r="A614" s="5" t="inlineStr">
        <is>
          <t>2026-05</t>
        </is>
      </c>
      <c r="B614" s="5" t="inlineStr">
        <is>
          <t>SKU0301</t>
        </is>
      </c>
      <c r="C614" s="5" t="inlineStr">
        <is>
          <t>フィルグラスチムBS注「サンド」</t>
        </is>
      </c>
      <c r="D614" s="5" t="inlineStr">
        <is>
          <t>卸A</t>
        </is>
      </c>
      <c r="E614" s="5" t="n">
        <v>283</v>
      </c>
      <c r="F614" s="5" t="n">
        <v>1412824</v>
      </c>
    </row>
    <row r="615">
      <c r="A615" s="4" t="inlineStr">
        <is>
          <t>2026-05</t>
        </is>
      </c>
      <c r="B615" s="4" t="inlineStr">
        <is>
          <t>SKU0301</t>
        </is>
      </c>
      <c r="C615" s="4" t="inlineStr">
        <is>
          <t>フィルグラスチムBS注「サンド」</t>
        </is>
      </c>
      <c r="D615" s="4" t="inlineStr">
        <is>
          <t>卸B</t>
        </is>
      </c>
      <c r="E615" s="4" t="n">
        <v>252</v>
      </c>
      <c r="F615" s="4" t="n">
        <v>1258994</v>
      </c>
    </row>
    <row r="616">
      <c r="A616" s="5" t="inlineStr">
        <is>
          <t>2026-05</t>
        </is>
      </c>
      <c r="B616" s="5" t="inlineStr">
        <is>
          <t>SKU0301</t>
        </is>
      </c>
      <c r="C616" s="5" t="inlineStr">
        <is>
          <t>フィルグラスチムBS注「サンド」</t>
        </is>
      </c>
      <c r="D616" s="5" t="inlineStr">
        <is>
          <t>卸C</t>
        </is>
      </c>
      <c r="E616" s="5" t="n">
        <v>154</v>
      </c>
      <c r="F616" s="5" t="n">
        <v>771789</v>
      </c>
    </row>
    <row r="617">
      <c r="A617" s="4" t="inlineStr">
        <is>
          <t>2023-01</t>
        </is>
      </c>
      <c r="B617" s="4" t="inlineStr">
        <is>
          <t>SKU0302</t>
        </is>
      </c>
      <c r="C617" s="4" t="inlineStr">
        <is>
          <t>フィルグラスチムBS注「サンド」</t>
        </is>
      </c>
      <c r="D617" s="4" t="inlineStr">
        <is>
          <t>卸A</t>
        </is>
      </c>
      <c r="E617" s="4" t="n">
        <v>5</v>
      </c>
      <c r="F617" s="4" t="n">
        <v>55672</v>
      </c>
    </row>
    <row r="618">
      <c r="A618" s="5" t="inlineStr">
        <is>
          <t>2023-01</t>
        </is>
      </c>
      <c r="B618" s="5" t="inlineStr">
        <is>
          <t>SKU0302</t>
        </is>
      </c>
      <c r="C618" s="5" t="inlineStr">
        <is>
          <t>フィルグラスチムBS注「サンド」</t>
        </is>
      </c>
      <c r="D618" s="5" t="inlineStr">
        <is>
          <t>卸B</t>
        </is>
      </c>
      <c r="E618" s="5" t="n">
        <v>5</v>
      </c>
      <c r="F618" s="5" t="n">
        <v>49739</v>
      </c>
    </row>
    <row r="619">
      <c r="A619" s="4" t="inlineStr">
        <is>
          <t>2023-01</t>
        </is>
      </c>
      <c r="B619" s="4" t="inlineStr">
        <is>
          <t>SKU0302</t>
        </is>
      </c>
      <c r="C619" s="4" t="inlineStr">
        <is>
          <t>フィルグラスチムBS注「サンド」</t>
        </is>
      </c>
      <c r="D619" s="4" t="inlineStr">
        <is>
          <t>卸C</t>
        </is>
      </c>
      <c r="E619" s="4" t="n">
        <v>4</v>
      </c>
      <c r="F619" s="4" t="n">
        <v>39712</v>
      </c>
    </row>
    <row r="620">
      <c r="A620" s="5" t="inlineStr">
        <is>
          <t>2023-02</t>
        </is>
      </c>
      <c r="B620" s="5" t="inlineStr">
        <is>
          <t>SKU0302</t>
        </is>
      </c>
      <c r="C620" s="5" t="inlineStr">
        <is>
          <t>フィルグラスチムBS注「サンド」</t>
        </is>
      </c>
      <c r="D620" s="5" t="inlineStr">
        <is>
          <t>卸A</t>
        </is>
      </c>
      <c r="E620" s="5" t="n">
        <v>7</v>
      </c>
      <c r="F620" s="5" t="n">
        <v>67024</v>
      </c>
    </row>
    <row r="621">
      <c r="A621" s="4" t="inlineStr">
        <is>
          <t>2023-02</t>
        </is>
      </c>
      <c r="B621" s="4" t="inlineStr">
        <is>
          <t>SKU0302</t>
        </is>
      </c>
      <c r="C621" s="4" t="inlineStr">
        <is>
          <t>フィルグラスチムBS注「サンド」</t>
        </is>
      </c>
      <c r="D621" s="4" t="inlineStr">
        <is>
          <t>卸B</t>
        </is>
      </c>
      <c r="E621" s="4" t="n">
        <v>5</v>
      </c>
      <c r="F621" s="4" t="n">
        <v>51079</v>
      </c>
    </row>
    <row r="622">
      <c r="A622" s="5" t="inlineStr">
        <is>
          <t>2023-02</t>
        </is>
      </c>
      <c r="B622" s="5" t="inlineStr">
        <is>
          <t>SKU0302</t>
        </is>
      </c>
      <c r="C622" s="5" t="inlineStr">
        <is>
          <t>フィルグラスチムBS注「サンド」</t>
        </is>
      </c>
      <c r="D622" s="5" t="inlineStr">
        <is>
          <t>卸C</t>
        </is>
      </c>
      <c r="E622" s="5" t="n">
        <v>3</v>
      </c>
      <c r="F622" s="5" t="n">
        <v>35460</v>
      </c>
    </row>
    <row r="623">
      <c r="A623" s="4" t="inlineStr">
        <is>
          <t>2023-03</t>
        </is>
      </c>
      <c r="B623" s="4" t="inlineStr">
        <is>
          <t>SKU0302</t>
        </is>
      </c>
      <c r="C623" s="4" t="inlineStr">
        <is>
          <t>フィルグラスチムBS注「サンド」</t>
        </is>
      </c>
      <c r="D623" s="4" t="inlineStr">
        <is>
          <t>卸A</t>
        </is>
      </c>
      <c r="E623" s="4" t="n">
        <v>9</v>
      </c>
      <c r="F623" s="4" t="n">
        <v>88670</v>
      </c>
    </row>
    <row r="624">
      <c r="A624" s="5" t="inlineStr">
        <is>
          <t>2023-03</t>
        </is>
      </c>
      <c r="B624" s="5" t="inlineStr">
        <is>
          <t>SKU0302</t>
        </is>
      </c>
      <c r="C624" s="5" t="inlineStr">
        <is>
          <t>フィルグラスチムBS注「サンド」</t>
        </is>
      </c>
      <c r="D624" s="5" t="inlineStr">
        <is>
          <t>卸B</t>
        </is>
      </c>
      <c r="E624" s="5" t="n">
        <v>9</v>
      </c>
      <c r="F624" s="5" t="n">
        <v>87319</v>
      </c>
    </row>
    <row r="625">
      <c r="A625" s="4" t="inlineStr">
        <is>
          <t>2023-03</t>
        </is>
      </c>
      <c r="B625" s="4" t="inlineStr">
        <is>
          <t>SKU0302</t>
        </is>
      </c>
      <c r="C625" s="4" t="inlineStr">
        <is>
          <t>フィルグラスチムBS注「サンド」</t>
        </is>
      </c>
      <c r="D625" s="4" t="inlineStr">
        <is>
          <t>卸C</t>
        </is>
      </c>
      <c r="E625" s="4" t="n">
        <v>6</v>
      </c>
      <c r="F625" s="4" t="n">
        <v>62354</v>
      </c>
    </row>
    <row r="626">
      <c r="A626" s="5" t="inlineStr">
        <is>
          <t>2023-04</t>
        </is>
      </c>
      <c r="B626" s="5" t="inlineStr">
        <is>
          <t>SKU0302</t>
        </is>
      </c>
      <c r="C626" s="5" t="inlineStr">
        <is>
          <t>フィルグラスチムBS注「サンド」</t>
        </is>
      </c>
      <c r="D626" s="5" t="inlineStr">
        <is>
          <t>卸A</t>
        </is>
      </c>
      <c r="E626" s="5" t="n">
        <v>10</v>
      </c>
      <c r="F626" s="5" t="n">
        <v>102190</v>
      </c>
    </row>
    <row r="627">
      <c r="A627" s="4" t="inlineStr">
        <is>
          <t>2023-04</t>
        </is>
      </c>
      <c r="B627" s="4" t="inlineStr">
        <is>
          <t>SKU0302</t>
        </is>
      </c>
      <c r="C627" s="4" t="inlineStr">
        <is>
          <t>フィルグラスチムBS注「サンド」</t>
        </is>
      </c>
      <c r="D627" s="4" t="inlineStr">
        <is>
          <t>卸B</t>
        </is>
      </c>
      <c r="E627" s="4" t="n">
        <v>8</v>
      </c>
      <c r="F627" s="4" t="n">
        <v>84822</v>
      </c>
    </row>
    <row r="628">
      <c r="A628" s="5" t="inlineStr">
        <is>
          <t>2023-04</t>
        </is>
      </c>
      <c r="B628" s="5" t="inlineStr">
        <is>
          <t>SKU0302</t>
        </is>
      </c>
      <c r="C628" s="5" t="inlineStr">
        <is>
          <t>フィルグラスチムBS注「サンド」</t>
        </is>
      </c>
      <c r="D628" s="5" t="inlineStr">
        <is>
          <t>卸C</t>
        </is>
      </c>
      <c r="E628" s="5" t="n">
        <v>6</v>
      </c>
      <c r="F628" s="5" t="n">
        <v>60274</v>
      </c>
    </row>
    <row r="629">
      <c r="A629" s="4" t="inlineStr">
        <is>
          <t>2023-05</t>
        </is>
      </c>
      <c r="B629" s="4" t="inlineStr">
        <is>
          <t>SKU0302</t>
        </is>
      </c>
      <c r="C629" s="4" t="inlineStr">
        <is>
          <t>フィルグラスチムBS注「サンド」</t>
        </is>
      </c>
      <c r="D629" s="4" t="inlineStr">
        <is>
          <t>卸A</t>
        </is>
      </c>
      <c r="E629" s="4" t="n">
        <v>12</v>
      </c>
      <c r="F629" s="4" t="n">
        <v>126104</v>
      </c>
    </row>
    <row r="630">
      <c r="A630" s="5" t="inlineStr">
        <is>
          <t>2023-05</t>
        </is>
      </c>
      <c r="B630" s="5" t="inlineStr">
        <is>
          <t>SKU0302</t>
        </is>
      </c>
      <c r="C630" s="5" t="inlineStr">
        <is>
          <t>フィルグラスチムBS注「サンド」</t>
        </is>
      </c>
      <c r="D630" s="5" t="inlineStr">
        <is>
          <t>卸B</t>
        </is>
      </c>
      <c r="E630" s="5" t="n">
        <v>12</v>
      </c>
      <c r="F630" s="5" t="n">
        <v>126672</v>
      </c>
    </row>
    <row r="631">
      <c r="A631" s="4" t="inlineStr">
        <is>
          <t>2023-05</t>
        </is>
      </c>
      <c r="B631" s="4" t="inlineStr">
        <is>
          <t>SKU0302</t>
        </is>
      </c>
      <c r="C631" s="4" t="inlineStr">
        <is>
          <t>フィルグラスチムBS注「サンド」</t>
        </is>
      </c>
      <c r="D631" s="4" t="inlineStr">
        <is>
          <t>卸C</t>
        </is>
      </c>
      <c r="E631" s="4" t="n">
        <v>8</v>
      </c>
      <c r="F631" s="4" t="n">
        <v>84373</v>
      </c>
    </row>
    <row r="632">
      <c r="A632" s="5" t="inlineStr">
        <is>
          <t>2023-06</t>
        </is>
      </c>
      <c r="B632" s="5" t="inlineStr">
        <is>
          <t>SKU0302</t>
        </is>
      </c>
      <c r="C632" s="5" t="inlineStr">
        <is>
          <t>フィルグラスチムBS注「サンド」</t>
        </is>
      </c>
      <c r="D632" s="5" t="inlineStr">
        <is>
          <t>卸A</t>
        </is>
      </c>
      <c r="E632" s="5" t="n">
        <v>17</v>
      </c>
      <c r="F632" s="5" t="n">
        <v>173277</v>
      </c>
    </row>
    <row r="633">
      <c r="A633" s="4" t="inlineStr">
        <is>
          <t>2023-06</t>
        </is>
      </c>
      <c r="B633" s="4" t="inlineStr">
        <is>
          <t>SKU0302</t>
        </is>
      </c>
      <c r="C633" s="4" t="inlineStr">
        <is>
          <t>フィルグラスチムBS注「サンド」</t>
        </is>
      </c>
      <c r="D633" s="4" t="inlineStr">
        <is>
          <t>卸B</t>
        </is>
      </c>
      <c r="E633" s="4" t="n">
        <v>14</v>
      </c>
      <c r="F633" s="4" t="n">
        <v>141907</v>
      </c>
    </row>
    <row r="634">
      <c r="A634" s="5" t="inlineStr">
        <is>
          <t>2023-06</t>
        </is>
      </c>
      <c r="B634" s="5" t="inlineStr">
        <is>
          <t>SKU0302</t>
        </is>
      </c>
      <c r="C634" s="5" t="inlineStr">
        <is>
          <t>フィルグラスチムBS注「サンド」</t>
        </is>
      </c>
      <c r="D634" s="5" t="inlineStr">
        <is>
          <t>卸C</t>
        </is>
      </c>
      <c r="E634" s="5" t="n">
        <v>11</v>
      </c>
      <c r="F634" s="5" t="n">
        <v>112589</v>
      </c>
    </row>
    <row r="635">
      <c r="A635" s="4" t="inlineStr">
        <is>
          <t>2023-07</t>
        </is>
      </c>
      <c r="B635" s="4" t="inlineStr">
        <is>
          <t>SKU0302</t>
        </is>
      </c>
      <c r="C635" s="4" t="inlineStr">
        <is>
          <t>フィルグラスチムBS注「サンド」</t>
        </is>
      </c>
      <c r="D635" s="4" t="inlineStr">
        <is>
          <t>卸A</t>
        </is>
      </c>
      <c r="E635" s="4" t="n">
        <v>23</v>
      </c>
      <c r="F635" s="4" t="n">
        <v>229812</v>
      </c>
    </row>
    <row r="636">
      <c r="A636" s="5" t="inlineStr">
        <is>
          <t>2023-07</t>
        </is>
      </c>
      <c r="B636" s="5" t="inlineStr">
        <is>
          <t>SKU0302</t>
        </is>
      </c>
      <c r="C636" s="5" t="inlineStr">
        <is>
          <t>フィルグラスチムBS注「サンド」</t>
        </is>
      </c>
      <c r="D636" s="5" t="inlineStr">
        <is>
          <t>卸B</t>
        </is>
      </c>
      <c r="E636" s="5" t="n">
        <v>21</v>
      </c>
      <c r="F636" s="5" t="n">
        <v>210035</v>
      </c>
    </row>
    <row r="637">
      <c r="A637" s="4" t="inlineStr">
        <is>
          <t>2023-07</t>
        </is>
      </c>
      <c r="B637" s="4" t="inlineStr">
        <is>
          <t>SKU0302</t>
        </is>
      </c>
      <c r="C637" s="4" t="inlineStr">
        <is>
          <t>フィルグラスチムBS注「サンド」</t>
        </is>
      </c>
      <c r="D637" s="4" t="inlineStr">
        <is>
          <t>卸C</t>
        </is>
      </c>
      <c r="E637" s="4" t="n">
        <v>14</v>
      </c>
      <c r="F637" s="4" t="n">
        <v>142769</v>
      </c>
    </row>
    <row r="638">
      <c r="A638" s="5" t="inlineStr">
        <is>
          <t>2023-08</t>
        </is>
      </c>
      <c r="B638" s="5" t="inlineStr">
        <is>
          <t>SKU0302</t>
        </is>
      </c>
      <c r="C638" s="5" t="inlineStr">
        <is>
          <t>フィルグラスチムBS注「サンド」</t>
        </is>
      </c>
      <c r="D638" s="5" t="inlineStr">
        <is>
          <t>卸A</t>
        </is>
      </c>
      <c r="E638" s="5" t="n">
        <v>21</v>
      </c>
      <c r="F638" s="5" t="n">
        <v>212687</v>
      </c>
    </row>
    <row r="639">
      <c r="A639" s="4" t="inlineStr">
        <is>
          <t>2023-08</t>
        </is>
      </c>
      <c r="B639" s="4" t="inlineStr">
        <is>
          <t>SKU0302</t>
        </is>
      </c>
      <c r="C639" s="4" t="inlineStr">
        <is>
          <t>フィルグラスチムBS注「サンド」</t>
        </is>
      </c>
      <c r="D639" s="4" t="inlineStr">
        <is>
          <t>卸B</t>
        </is>
      </c>
      <c r="E639" s="4" t="n">
        <v>21</v>
      </c>
      <c r="F639" s="4" t="n">
        <v>213014</v>
      </c>
    </row>
    <row r="640">
      <c r="A640" s="5" t="inlineStr">
        <is>
          <t>2023-08</t>
        </is>
      </c>
      <c r="B640" s="5" t="inlineStr">
        <is>
          <t>SKU0302</t>
        </is>
      </c>
      <c r="C640" s="5" t="inlineStr">
        <is>
          <t>フィルグラスチムBS注「サンド」</t>
        </is>
      </c>
      <c r="D640" s="5" t="inlineStr">
        <is>
          <t>卸C</t>
        </is>
      </c>
      <c r="E640" s="5" t="n">
        <v>13</v>
      </c>
      <c r="F640" s="5" t="n">
        <v>137426</v>
      </c>
    </row>
    <row r="641">
      <c r="A641" s="4" t="inlineStr">
        <is>
          <t>2023-09</t>
        </is>
      </c>
      <c r="B641" s="4" t="inlineStr">
        <is>
          <t>SKU0302</t>
        </is>
      </c>
      <c r="C641" s="4" t="inlineStr">
        <is>
          <t>フィルグラスチムBS注「サンド」</t>
        </is>
      </c>
      <c r="D641" s="4" t="inlineStr">
        <is>
          <t>卸A</t>
        </is>
      </c>
      <c r="E641" s="4" t="n">
        <v>27</v>
      </c>
      <c r="F641" s="4" t="n">
        <v>272012</v>
      </c>
    </row>
    <row r="642">
      <c r="A642" s="5" t="inlineStr">
        <is>
          <t>2023-09</t>
        </is>
      </c>
      <c r="B642" s="5" t="inlineStr">
        <is>
          <t>SKU0302</t>
        </is>
      </c>
      <c r="C642" s="5" t="inlineStr">
        <is>
          <t>フィルグラスチムBS注「サンド」</t>
        </is>
      </c>
      <c r="D642" s="5" t="inlineStr">
        <is>
          <t>卸B</t>
        </is>
      </c>
      <c r="E642" s="5" t="n">
        <v>22</v>
      </c>
      <c r="F642" s="5" t="n">
        <v>221552</v>
      </c>
    </row>
    <row r="643">
      <c r="A643" s="4" t="inlineStr">
        <is>
          <t>2023-09</t>
        </is>
      </c>
      <c r="B643" s="4" t="inlineStr">
        <is>
          <t>SKU0302</t>
        </is>
      </c>
      <c r="C643" s="4" t="inlineStr">
        <is>
          <t>フィルグラスチムBS注「サンド」</t>
        </is>
      </c>
      <c r="D643" s="4" t="inlineStr">
        <is>
          <t>卸C</t>
        </is>
      </c>
      <c r="E643" s="4" t="n">
        <v>14</v>
      </c>
      <c r="F643" s="4" t="n">
        <v>145240</v>
      </c>
    </row>
    <row r="644">
      <c r="A644" s="5" t="inlineStr">
        <is>
          <t>2023-10</t>
        </is>
      </c>
      <c r="B644" s="5" t="inlineStr">
        <is>
          <t>SKU0302</t>
        </is>
      </c>
      <c r="C644" s="5" t="inlineStr">
        <is>
          <t>フィルグラスチムBS注「サンド」</t>
        </is>
      </c>
      <c r="D644" s="5" t="inlineStr">
        <is>
          <t>卸A</t>
        </is>
      </c>
      <c r="E644" s="5" t="n">
        <v>30</v>
      </c>
      <c r="F644" s="5" t="n">
        <v>302283</v>
      </c>
    </row>
    <row r="645">
      <c r="A645" s="4" t="inlineStr">
        <is>
          <t>2023-10</t>
        </is>
      </c>
      <c r="B645" s="4" t="inlineStr">
        <is>
          <t>SKU0302</t>
        </is>
      </c>
      <c r="C645" s="4" t="inlineStr">
        <is>
          <t>フィルグラスチムBS注「サンド」</t>
        </is>
      </c>
      <c r="D645" s="4" t="inlineStr">
        <is>
          <t>卸B</t>
        </is>
      </c>
      <c r="E645" s="4" t="n">
        <v>28</v>
      </c>
      <c r="F645" s="4" t="n">
        <v>284178</v>
      </c>
    </row>
    <row r="646">
      <c r="A646" s="5" t="inlineStr">
        <is>
          <t>2023-10</t>
        </is>
      </c>
      <c r="B646" s="5" t="inlineStr">
        <is>
          <t>SKU0302</t>
        </is>
      </c>
      <c r="C646" s="5" t="inlineStr">
        <is>
          <t>フィルグラスチムBS注「サンド」</t>
        </is>
      </c>
      <c r="D646" s="5" t="inlineStr">
        <is>
          <t>卸C</t>
        </is>
      </c>
      <c r="E646" s="5" t="n">
        <v>20</v>
      </c>
      <c r="F646" s="5" t="n">
        <v>201038</v>
      </c>
    </row>
    <row r="647">
      <c r="A647" s="4" t="inlineStr">
        <is>
          <t>2023-11</t>
        </is>
      </c>
      <c r="B647" s="4" t="inlineStr">
        <is>
          <t>SKU0302</t>
        </is>
      </c>
      <c r="C647" s="4" t="inlineStr">
        <is>
          <t>フィルグラスチムBS注「サンド」</t>
        </is>
      </c>
      <c r="D647" s="4" t="inlineStr">
        <is>
          <t>卸A</t>
        </is>
      </c>
      <c r="E647" s="4" t="n">
        <v>41</v>
      </c>
      <c r="F647" s="4" t="n">
        <v>413144</v>
      </c>
    </row>
    <row r="648">
      <c r="A648" s="5" t="inlineStr">
        <is>
          <t>2023-11</t>
        </is>
      </c>
      <c r="B648" s="5" t="inlineStr">
        <is>
          <t>SKU0302</t>
        </is>
      </c>
      <c r="C648" s="5" t="inlineStr">
        <is>
          <t>フィルグラスチムBS注「サンド」</t>
        </is>
      </c>
      <c r="D648" s="5" t="inlineStr">
        <is>
          <t>卸B</t>
        </is>
      </c>
      <c r="E648" s="5" t="n">
        <v>37</v>
      </c>
      <c r="F648" s="5" t="n">
        <v>375055</v>
      </c>
    </row>
    <row r="649">
      <c r="A649" s="4" t="inlineStr">
        <is>
          <t>2023-11</t>
        </is>
      </c>
      <c r="B649" s="4" t="inlineStr">
        <is>
          <t>SKU0302</t>
        </is>
      </c>
      <c r="C649" s="4" t="inlineStr">
        <is>
          <t>フィルグラスチムBS注「サンド」</t>
        </is>
      </c>
      <c r="D649" s="4" t="inlineStr">
        <is>
          <t>卸C</t>
        </is>
      </c>
      <c r="E649" s="4" t="n">
        <v>25</v>
      </c>
      <c r="F649" s="4" t="n">
        <v>257236</v>
      </c>
    </row>
    <row r="650">
      <c r="A650" s="5" t="inlineStr">
        <is>
          <t>2023-12</t>
        </is>
      </c>
      <c r="B650" s="5" t="inlineStr">
        <is>
          <t>SKU0302</t>
        </is>
      </c>
      <c r="C650" s="5" t="inlineStr">
        <is>
          <t>フィルグラスチムBS注「サンド」</t>
        </is>
      </c>
      <c r="D650" s="5" t="inlineStr">
        <is>
          <t>卸A</t>
        </is>
      </c>
      <c r="E650" s="5" t="n">
        <v>36</v>
      </c>
      <c r="F650" s="5" t="n">
        <v>370246</v>
      </c>
    </row>
    <row r="651">
      <c r="A651" s="4" t="inlineStr">
        <is>
          <t>2023-12</t>
        </is>
      </c>
      <c r="B651" s="4" t="inlineStr">
        <is>
          <t>SKU0302</t>
        </is>
      </c>
      <c r="C651" s="4" t="inlineStr">
        <is>
          <t>フィルグラスチムBS注「サンド」</t>
        </is>
      </c>
      <c r="D651" s="4" t="inlineStr">
        <is>
          <t>卸B</t>
        </is>
      </c>
      <c r="E651" s="4" t="n">
        <v>36</v>
      </c>
      <c r="F651" s="4" t="n">
        <v>369193</v>
      </c>
    </row>
    <row r="652">
      <c r="A652" s="5" t="inlineStr">
        <is>
          <t>2023-12</t>
        </is>
      </c>
      <c r="B652" s="5" t="inlineStr">
        <is>
          <t>SKU0302</t>
        </is>
      </c>
      <c r="C652" s="5" t="inlineStr">
        <is>
          <t>フィルグラスチムBS注「サンド」</t>
        </is>
      </c>
      <c r="D652" s="5" t="inlineStr">
        <is>
          <t>卸C</t>
        </is>
      </c>
      <c r="E652" s="5" t="n">
        <v>23</v>
      </c>
      <c r="F652" s="5" t="n">
        <v>238234</v>
      </c>
    </row>
    <row r="653">
      <c r="A653" s="4" t="inlineStr">
        <is>
          <t>2024-01</t>
        </is>
      </c>
      <c r="B653" s="4" t="inlineStr">
        <is>
          <t>SKU0302</t>
        </is>
      </c>
      <c r="C653" s="4" t="inlineStr">
        <is>
          <t>フィルグラスチムBS注「サンド」</t>
        </is>
      </c>
      <c r="D653" s="4" t="inlineStr">
        <is>
          <t>卸A</t>
        </is>
      </c>
      <c r="E653" s="4" t="n">
        <v>52</v>
      </c>
      <c r="F653" s="4" t="n">
        <v>526825</v>
      </c>
    </row>
    <row r="654">
      <c r="A654" s="5" t="inlineStr">
        <is>
          <t>2024-01</t>
        </is>
      </c>
      <c r="B654" s="5" t="inlineStr">
        <is>
          <t>SKU0302</t>
        </is>
      </c>
      <c r="C654" s="5" t="inlineStr">
        <is>
          <t>フィルグラスチムBS注「サンド」</t>
        </is>
      </c>
      <c r="D654" s="5" t="inlineStr">
        <is>
          <t>卸B</t>
        </is>
      </c>
      <c r="E654" s="5" t="n">
        <v>44</v>
      </c>
      <c r="F654" s="5" t="n">
        <v>452116</v>
      </c>
    </row>
    <row r="655">
      <c r="A655" s="4" t="inlineStr">
        <is>
          <t>2024-01</t>
        </is>
      </c>
      <c r="B655" s="4" t="inlineStr">
        <is>
          <t>SKU0302</t>
        </is>
      </c>
      <c r="C655" s="4" t="inlineStr">
        <is>
          <t>フィルグラスチムBS注「サンド」</t>
        </is>
      </c>
      <c r="D655" s="4" t="inlineStr">
        <is>
          <t>卸C</t>
        </is>
      </c>
      <c r="E655" s="4" t="n">
        <v>31</v>
      </c>
      <c r="F655" s="4" t="n">
        <v>311550</v>
      </c>
    </row>
    <row r="656">
      <c r="A656" s="5" t="inlineStr">
        <is>
          <t>2024-02</t>
        </is>
      </c>
      <c r="B656" s="5" t="inlineStr">
        <is>
          <t>SKU0302</t>
        </is>
      </c>
      <c r="C656" s="5" t="inlineStr">
        <is>
          <t>フィルグラスチムBS注「サンド」</t>
        </is>
      </c>
      <c r="D656" s="5" t="inlineStr">
        <is>
          <t>卸A</t>
        </is>
      </c>
      <c r="E656" s="5" t="n">
        <v>58</v>
      </c>
      <c r="F656" s="5" t="n">
        <v>586710</v>
      </c>
    </row>
    <row r="657">
      <c r="A657" s="4" t="inlineStr">
        <is>
          <t>2024-02</t>
        </is>
      </c>
      <c r="B657" s="4" t="inlineStr">
        <is>
          <t>SKU0302</t>
        </is>
      </c>
      <c r="C657" s="4" t="inlineStr">
        <is>
          <t>フィルグラスチムBS注「サンド」</t>
        </is>
      </c>
      <c r="D657" s="4" t="inlineStr">
        <is>
          <t>卸B</t>
        </is>
      </c>
      <c r="E657" s="4" t="n">
        <v>48</v>
      </c>
      <c r="F657" s="4" t="n">
        <v>492663</v>
      </c>
    </row>
    <row r="658">
      <c r="A658" s="5" t="inlineStr">
        <is>
          <t>2024-02</t>
        </is>
      </c>
      <c r="B658" s="5" t="inlineStr">
        <is>
          <t>SKU0302</t>
        </is>
      </c>
      <c r="C658" s="5" t="inlineStr">
        <is>
          <t>フィルグラスチムBS注「サンド」</t>
        </is>
      </c>
      <c r="D658" s="5" t="inlineStr">
        <is>
          <t>卸C</t>
        </is>
      </c>
      <c r="E658" s="5" t="n">
        <v>36</v>
      </c>
      <c r="F658" s="5" t="n">
        <v>367345</v>
      </c>
    </row>
    <row r="659">
      <c r="A659" s="4" t="inlineStr">
        <is>
          <t>2024-03</t>
        </is>
      </c>
      <c r="B659" s="4" t="inlineStr">
        <is>
          <t>SKU0302</t>
        </is>
      </c>
      <c r="C659" s="4" t="inlineStr">
        <is>
          <t>フィルグラスチムBS注「サンド」</t>
        </is>
      </c>
      <c r="D659" s="4" t="inlineStr">
        <is>
          <t>卸A</t>
        </is>
      </c>
      <c r="E659" s="4" t="n">
        <v>102</v>
      </c>
      <c r="F659" s="4" t="n">
        <v>1039239</v>
      </c>
    </row>
    <row r="660">
      <c r="A660" s="5" t="inlineStr">
        <is>
          <t>2024-03</t>
        </is>
      </c>
      <c r="B660" s="5" t="inlineStr">
        <is>
          <t>SKU0302</t>
        </is>
      </c>
      <c r="C660" s="5" t="inlineStr">
        <is>
          <t>フィルグラスチムBS注「サンド」</t>
        </is>
      </c>
      <c r="D660" s="5" t="inlineStr">
        <is>
          <t>卸B</t>
        </is>
      </c>
      <c r="E660" s="5" t="n">
        <v>87</v>
      </c>
      <c r="F660" s="5" t="n">
        <v>889044</v>
      </c>
    </row>
    <row r="661">
      <c r="A661" s="4" t="inlineStr">
        <is>
          <t>2024-03</t>
        </is>
      </c>
      <c r="B661" s="4" t="inlineStr">
        <is>
          <t>SKU0302</t>
        </is>
      </c>
      <c r="C661" s="4" t="inlineStr">
        <is>
          <t>フィルグラスチムBS注「サンド」</t>
        </is>
      </c>
      <c r="D661" s="4" t="inlineStr">
        <is>
          <t>卸C</t>
        </is>
      </c>
      <c r="E661" s="4" t="n">
        <v>64</v>
      </c>
      <c r="F661" s="4" t="n">
        <v>650581</v>
      </c>
    </row>
    <row r="662">
      <c r="A662" s="5" t="inlineStr">
        <is>
          <t>2024-04</t>
        </is>
      </c>
      <c r="B662" s="5" t="inlineStr">
        <is>
          <t>SKU0302</t>
        </is>
      </c>
      <c r="C662" s="5" t="inlineStr">
        <is>
          <t>フィルグラスチムBS注「サンド」</t>
        </is>
      </c>
      <c r="D662" s="5" t="inlineStr">
        <is>
          <t>卸A</t>
        </is>
      </c>
      <c r="E662" s="5" t="n">
        <v>46</v>
      </c>
      <c r="F662" s="5" t="n">
        <v>443269</v>
      </c>
    </row>
    <row r="663">
      <c r="A663" s="4" t="inlineStr">
        <is>
          <t>2024-04</t>
        </is>
      </c>
      <c r="B663" s="4" t="inlineStr">
        <is>
          <t>SKU0302</t>
        </is>
      </c>
      <c r="C663" s="4" t="inlineStr">
        <is>
          <t>フィルグラスチムBS注「サンド」</t>
        </is>
      </c>
      <c r="D663" s="4" t="inlineStr">
        <is>
          <t>卸B</t>
        </is>
      </c>
      <c r="E663" s="4" t="n">
        <v>43</v>
      </c>
      <c r="F663" s="4" t="n">
        <v>414347</v>
      </c>
    </row>
    <row r="664">
      <c r="A664" s="5" t="inlineStr">
        <is>
          <t>2024-04</t>
        </is>
      </c>
      <c r="B664" s="5" t="inlineStr">
        <is>
          <t>SKU0302</t>
        </is>
      </c>
      <c r="C664" s="5" t="inlineStr">
        <is>
          <t>フィルグラスチムBS注「サンド」</t>
        </is>
      </c>
      <c r="D664" s="5" t="inlineStr">
        <is>
          <t>卸C</t>
        </is>
      </c>
      <c r="E664" s="5" t="n">
        <v>31</v>
      </c>
      <c r="F664" s="5" t="n">
        <v>295759</v>
      </c>
    </row>
    <row r="665">
      <c r="A665" s="4" t="inlineStr">
        <is>
          <t>2024-05</t>
        </is>
      </c>
      <c r="B665" s="4" t="inlineStr">
        <is>
          <t>SKU0302</t>
        </is>
      </c>
      <c r="C665" s="4" t="inlineStr">
        <is>
          <t>フィルグラスチムBS注「サンド」</t>
        </is>
      </c>
      <c r="D665" s="4" t="inlineStr">
        <is>
          <t>卸A</t>
        </is>
      </c>
      <c r="E665" s="4" t="n">
        <v>65</v>
      </c>
      <c r="F665" s="4" t="n">
        <v>630979</v>
      </c>
    </row>
    <row r="666">
      <c r="A666" s="5" t="inlineStr">
        <is>
          <t>2024-05</t>
        </is>
      </c>
      <c r="B666" s="5" t="inlineStr">
        <is>
          <t>SKU0302</t>
        </is>
      </c>
      <c r="C666" s="5" t="inlineStr">
        <is>
          <t>フィルグラスチムBS注「サンド」</t>
        </is>
      </c>
      <c r="D666" s="5" t="inlineStr">
        <is>
          <t>卸B</t>
        </is>
      </c>
      <c r="E666" s="5" t="n">
        <v>52</v>
      </c>
      <c r="F666" s="5" t="n">
        <v>501204</v>
      </c>
    </row>
    <row r="667">
      <c r="A667" s="4" t="inlineStr">
        <is>
          <t>2024-05</t>
        </is>
      </c>
      <c r="B667" s="4" t="inlineStr">
        <is>
          <t>SKU0302</t>
        </is>
      </c>
      <c r="C667" s="4" t="inlineStr">
        <is>
          <t>フィルグラスチムBS注「サンド」</t>
        </is>
      </c>
      <c r="D667" s="4" t="inlineStr">
        <is>
          <t>卸C</t>
        </is>
      </c>
      <c r="E667" s="4" t="n">
        <v>34</v>
      </c>
      <c r="F667" s="4" t="n">
        <v>327714</v>
      </c>
    </row>
    <row r="668">
      <c r="A668" s="5" t="inlineStr">
        <is>
          <t>2024-06</t>
        </is>
      </c>
      <c r="B668" s="5" t="inlineStr">
        <is>
          <t>SKU0302</t>
        </is>
      </c>
      <c r="C668" s="5" t="inlineStr">
        <is>
          <t>フィルグラスチムBS注「サンド」</t>
        </is>
      </c>
      <c r="D668" s="5" t="inlineStr">
        <is>
          <t>卸A</t>
        </is>
      </c>
      <c r="E668" s="5" t="n">
        <v>82</v>
      </c>
      <c r="F668" s="5" t="n">
        <v>790880</v>
      </c>
    </row>
    <row r="669">
      <c r="A669" s="4" t="inlineStr">
        <is>
          <t>2024-06</t>
        </is>
      </c>
      <c r="B669" s="4" t="inlineStr">
        <is>
          <t>SKU0302</t>
        </is>
      </c>
      <c r="C669" s="4" t="inlineStr">
        <is>
          <t>フィルグラスチムBS注「サンド」</t>
        </is>
      </c>
      <c r="D669" s="4" t="inlineStr">
        <is>
          <t>卸B</t>
        </is>
      </c>
      <c r="E669" s="4" t="n">
        <v>76</v>
      </c>
      <c r="F669" s="4" t="n">
        <v>728027</v>
      </c>
    </row>
    <row r="670">
      <c r="A670" s="5" t="inlineStr">
        <is>
          <t>2024-06</t>
        </is>
      </c>
      <c r="B670" s="5" t="inlineStr">
        <is>
          <t>SKU0302</t>
        </is>
      </c>
      <c r="C670" s="5" t="inlineStr">
        <is>
          <t>フィルグラスチムBS注「サンド」</t>
        </is>
      </c>
      <c r="D670" s="5" t="inlineStr">
        <is>
          <t>卸C</t>
        </is>
      </c>
      <c r="E670" s="5" t="n">
        <v>51</v>
      </c>
      <c r="F670" s="5" t="n">
        <v>490770</v>
      </c>
    </row>
    <row r="671">
      <c r="A671" s="4" t="inlineStr">
        <is>
          <t>2024-07</t>
        </is>
      </c>
      <c r="B671" s="4" t="inlineStr">
        <is>
          <t>SKU0302</t>
        </is>
      </c>
      <c r="C671" s="4" t="inlineStr">
        <is>
          <t>フィルグラスチムBS注「サンド」</t>
        </is>
      </c>
      <c r="D671" s="4" t="inlineStr">
        <is>
          <t>卸A</t>
        </is>
      </c>
      <c r="E671" s="4" t="n">
        <v>117</v>
      </c>
      <c r="F671" s="4" t="n">
        <v>1125458</v>
      </c>
    </row>
    <row r="672">
      <c r="A672" s="5" t="inlineStr">
        <is>
          <t>2024-07</t>
        </is>
      </c>
      <c r="B672" s="5" t="inlineStr">
        <is>
          <t>SKU0302</t>
        </is>
      </c>
      <c r="C672" s="5" t="inlineStr">
        <is>
          <t>フィルグラスチムBS注「サンド」</t>
        </is>
      </c>
      <c r="D672" s="5" t="inlineStr">
        <is>
          <t>卸B</t>
        </is>
      </c>
      <c r="E672" s="5" t="n">
        <v>109</v>
      </c>
      <c r="F672" s="5" t="n">
        <v>1048339</v>
      </c>
    </row>
    <row r="673">
      <c r="A673" s="4" t="inlineStr">
        <is>
          <t>2024-07</t>
        </is>
      </c>
      <c r="B673" s="4" t="inlineStr">
        <is>
          <t>SKU0302</t>
        </is>
      </c>
      <c r="C673" s="4" t="inlineStr">
        <is>
          <t>フィルグラスチムBS注「サンド」</t>
        </is>
      </c>
      <c r="D673" s="4" t="inlineStr">
        <is>
          <t>卸C</t>
        </is>
      </c>
      <c r="E673" s="4" t="n">
        <v>65</v>
      </c>
      <c r="F673" s="4" t="n">
        <v>631238</v>
      </c>
    </row>
    <row r="674">
      <c r="A674" s="5" t="inlineStr">
        <is>
          <t>2024-08</t>
        </is>
      </c>
      <c r="B674" s="5" t="inlineStr">
        <is>
          <t>SKU0302</t>
        </is>
      </c>
      <c r="C674" s="5" t="inlineStr">
        <is>
          <t>フィルグラスチムBS注「サンド」</t>
        </is>
      </c>
      <c r="D674" s="5" t="inlineStr">
        <is>
          <t>卸A</t>
        </is>
      </c>
      <c r="E674" s="5" t="n">
        <v>114</v>
      </c>
      <c r="F674" s="5" t="n">
        <v>1100892</v>
      </c>
    </row>
    <row r="675">
      <c r="A675" s="4" t="inlineStr">
        <is>
          <t>2024-08</t>
        </is>
      </c>
      <c r="B675" s="4" t="inlineStr">
        <is>
          <t>SKU0302</t>
        </is>
      </c>
      <c r="C675" s="4" t="inlineStr">
        <is>
          <t>フィルグラスチムBS注「サンド」</t>
        </is>
      </c>
      <c r="D675" s="4" t="inlineStr">
        <is>
          <t>卸B</t>
        </is>
      </c>
      <c r="E675" s="4" t="n">
        <v>102</v>
      </c>
      <c r="F675" s="4" t="n">
        <v>983354</v>
      </c>
    </row>
    <row r="676">
      <c r="A676" s="5" t="inlineStr">
        <is>
          <t>2024-08</t>
        </is>
      </c>
      <c r="B676" s="5" t="inlineStr">
        <is>
          <t>SKU0302</t>
        </is>
      </c>
      <c r="C676" s="5" t="inlineStr">
        <is>
          <t>フィルグラスチムBS注「サンド」</t>
        </is>
      </c>
      <c r="D676" s="5" t="inlineStr">
        <is>
          <t>卸C</t>
        </is>
      </c>
      <c r="E676" s="5" t="n">
        <v>69</v>
      </c>
      <c r="F676" s="5" t="n">
        <v>668765</v>
      </c>
    </row>
    <row r="677">
      <c r="A677" s="4" t="inlineStr">
        <is>
          <t>2024-09</t>
        </is>
      </c>
      <c r="B677" s="4" t="inlineStr">
        <is>
          <t>SKU0302</t>
        </is>
      </c>
      <c r="C677" s="4" t="inlineStr">
        <is>
          <t>フィルグラスチムBS注「サンド」</t>
        </is>
      </c>
      <c r="D677" s="4" t="inlineStr">
        <is>
          <t>卸A</t>
        </is>
      </c>
      <c r="E677" s="4" t="n">
        <v>118</v>
      </c>
      <c r="F677" s="4" t="n">
        <v>1137817</v>
      </c>
    </row>
    <row r="678">
      <c r="A678" s="5" t="inlineStr">
        <is>
          <t>2024-09</t>
        </is>
      </c>
      <c r="B678" s="5" t="inlineStr">
        <is>
          <t>SKU0302</t>
        </is>
      </c>
      <c r="C678" s="5" t="inlineStr">
        <is>
          <t>フィルグラスチムBS注「サンド」</t>
        </is>
      </c>
      <c r="D678" s="5" t="inlineStr">
        <is>
          <t>卸B</t>
        </is>
      </c>
      <c r="E678" s="5" t="n">
        <v>108</v>
      </c>
      <c r="F678" s="5" t="n">
        <v>1045065</v>
      </c>
    </row>
    <row r="679">
      <c r="A679" s="4" t="inlineStr">
        <is>
          <t>2024-09</t>
        </is>
      </c>
      <c r="B679" s="4" t="inlineStr">
        <is>
          <t>SKU0302</t>
        </is>
      </c>
      <c r="C679" s="4" t="inlineStr">
        <is>
          <t>フィルグラスチムBS注「サンド」</t>
        </is>
      </c>
      <c r="D679" s="4" t="inlineStr">
        <is>
          <t>卸C</t>
        </is>
      </c>
      <c r="E679" s="4" t="n">
        <v>66</v>
      </c>
      <c r="F679" s="4" t="n">
        <v>640699</v>
      </c>
    </row>
    <row r="680">
      <c r="A680" s="5" t="inlineStr">
        <is>
          <t>2024-10</t>
        </is>
      </c>
      <c r="B680" s="5" t="inlineStr">
        <is>
          <t>SKU0302</t>
        </is>
      </c>
      <c r="C680" s="5" t="inlineStr">
        <is>
          <t>フィルグラスチムBS注「サンド」</t>
        </is>
      </c>
      <c r="D680" s="5" t="inlineStr">
        <is>
          <t>卸A</t>
        </is>
      </c>
      <c r="E680" s="5" t="n">
        <v>140</v>
      </c>
      <c r="F680" s="5" t="n">
        <v>1352884</v>
      </c>
    </row>
    <row r="681">
      <c r="A681" s="4" t="inlineStr">
        <is>
          <t>2024-10</t>
        </is>
      </c>
      <c r="B681" s="4" t="inlineStr">
        <is>
          <t>SKU0302</t>
        </is>
      </c>
      <c r="C681" s="4" t="inlineStr">
        <is>
          <t>フィルグラスチムBS注「サンド」</t>
        </is>
      </c>
      <c r="D681" s="4" t="inlineStr">
        <is>
          <t>卸B</t>
        </is>
      </c>
      <c r="E681" s="4" t="n">
        <v>116</v>
      </c>
      <c r="F681" s="4" t="n">
        <v>1115358</v>
      </c>
    </row>
    <row r="682">
      <c r="A682" s="5" t="inlineStr">
        <is>
          <t>2024-10</t>
        </is>
      </c>
      <c r="B682" s="5" t="inlineStr">
        <is>
          <t>SKU0302</t>
        </is>
      </c>
      <c r="C682" s="5" t="inlineStr">
        <is>
          <t>フィルグラスチムBS注「サンド」</t>
        </is>
      </c>
      <c r="D682" s="5" t="inlineStr">
        <is>
          <t>卸C</t>
        </is>
      </c>
      <c r="E682" s="5" t="n">
        <v>83</v>
      </c>
      <c r="F682" s="5" t="n">
        <v>798254</v>
      </c>
    </row>
    <row r="683">
      <c r="A683" s="4" t="inlineStr">
        <is>
          <t>2024-11</t>
        </is>
      </c>
      <c r="B683" s="4" t="inlineStr">
        <is>
          <t>SKU0302</t>
        </is>
      </c>
      <c r="C683" s="4" t="inlineStr">
        <is>
          <t>フィルグラスチムBS注「サンド」</t>
        </is>
      </c>
      <c r="D683" s="4" t="inlineStr">
        <is>
          <t>卸A</t>
        </is>
      </c>
      <c r="E683" s="4" t="n">
        <v>151</v>
      </c>
      <c r="F683" s="4" t="n">
        <v>1453562</v>
      </c>
    </row>
    <row r="684">
      <c r="A684" s="5" t="inlineStr">
        <is>
          <t>2024-11</t>
        </is>
      </c>
      <c r="B684" s="5" t="inlineStr">
        <is>
          <t>SKU0302</t>
        </is>
      </c>
      <c r="C684" s="5" t="inlineStr">
        <is>
          <t>フィルグラスチムBS注「サンド」</t>
        </is>
      </c>
      <c r="D684" s="5" t="inlineStr">
        <is>
          <t>卸B</t>
        </is>
      </c>
      <c r="E684" s="5" t="n">
        <v>120</v>
      </c>
      <c r="F684" s="5" t="n">
        <v>1156084</v>
      </c>
    </row>
    <row r="685">
      <c r="A685" s="4" t="inlineStr">
        <is>
          <t>2024-11</t>
        </is>
      </c>
      <c r="B685" s="4" t="inlineStr">
        <is>
          <t>SKU0302</t>
        </is>
      </c>
      <c r="C685" s="4" t="inlineStr">
        <is>
          <t>フィルグラスチムBS注「サンド」</t>
        </is>
      </c>
      <c r="D685" s="4" t="inlineStr">
        <is>
          <t>卸C</t>
        </is>
      </c>
      <c r="E685" s="4" t="n">
        <v>94</v>
      </c>
      <c r="F685" s="4" t="n">
        <v>904278</v>
      </c>
    </row>
    <row r="686">
      <c r="A686" s="5" t="inlineStr">
        <is>
          <t>2024-12</t>
        </is>
      </c>
      <c r="B686" s="5" t="inlineStr">
        <is>
          <t>SKU0302</t>
        </is>
      </c>
      <c r="C686" s="5" t="inlineStr">
        <is>
          <t>フィルグラスチムBS注「サンド」</t>
        </is>
      </c>
      <c r="D686" s="5" t="inlineStr">
        <is>
          <t>卸A</t>
        </is>
      </c>
      <c r="E686" s="5" t="n">
        <v>179</v>
      </c>
      <c r="F686" s="5" t="n">
        <v>1720767</v>
      </c>
    </row>
    <row r="687">
      <c r="A687" s="4" t="inlineStr">
        <is>
          <t>2024-12</t>
        </is>
      </c>
      <c r="B687" s="4" t="inlineStr">
        <is>
          <t>SKU0302</t>
        </is>
      </c>
      <c r="C687" s="4" t="inlineStr">
        <is>
          <t>フィルグラスチムBS注「サンド」</t>
        </is>
      </c>
      <c r="D687" s="4" t="inlineStr">
        <is>
          <t>卸B</t>
        </is>
      </c>
      <c r="E687" s="4" t="n">
        <v>156</v>
      </c>
      <c r="F687" s="4" t="n">
        <v>1502724</v>
      </c>
    </row>
    <row r="688">
      <c r="A688" s="5" t="inlineStr">
        <is>
          <t>2024-12</t>
        </is>
      </c>
      <c r="B688" s="5" t="inlineStr">
        <is>
          <t>SKU0302</t>
        </is>
      </c>
      <c r="C688" s="5" t="inlineStr">
        <is>
          <t>フィルグラスチムBS注「サンド」</t>
        </is>
      </c>
      <c r="D688" s="5" t="inlineStr">
        <is>
          <t>卸C</t>
        </is>
      </c>
      <c r="E688" s="5" t="n">
        <v>107</v>
      </c>
      <c r="F688" s="5" t="n">
        <v>1030010</v>
      </c>
    </row>
    <row r="689">
      <c r="A689" s="4" t="inlineStr">
        <is>
          <t>2025-01</t>
        </is>
      </c>
      <c r="B689" s="4" t="inlineStr">
        <is>
          <t>SKU0302</t>
        </is>
      </c>
      <c r="C689" s="4" t="inlineStr">
        <is>
          <t>フィルグラスチムBS注「サンド」</t>
        </is>
      </c>
      <c r="D689" s="4" t="inlineStr">
        <is>
          <t>卸A</t>
        </is>
      </c>
      <c r="E689" s="4" t="n">
        <v>178</v>
      </c>
      <c r="F689" s="4" t="n">
        <v>1711769</v>
      </c>
    </row>
    <row r="690">
      <c r="A690" s="5" t="inlineStr">
        <is>
          <t>2025-01</t>
        </is>
      </c>
      <c r="B690" s="5" t="inlineStr">
        <is>
          <t>SKU0302</t>
        </is>
      </c>
      <c r="C690" s="5" t="inlineStr">
        <is>
          <t>フィルグラスチムBS注「サンド」</t>
        </is>
      </c>
      <c r="D690" s="5" t="inlineStr">
        <is>
          <t>卸B</t>
        </is>
      </c>
      <c r="E690" s="5" t="n">
        <v>172</v>
      </c>
      <c r="F690" s="5" t="n">
        <v>1661852</v>
      </c>
    </row>
    <row r="691">
      <c r="A691" s="4" t="inlineStr">
        <is>
          <t>2025-01</t>
        </is>
      </c>
      <c r="B691" s="4" t="inlineStr">
        <is>
          <t>SKU0302</t>
        </is>
      </c>
      <c r="C691" s="4" t="inlineStr">
        <is>
          <t>フィルグラスチムBS注「サンド」</t>
        </is>
      </c>
      <c r="D691" s="4" t="inlineStr">
        <is>
          <t>卸C</t>
        </is>
      </c>
      <c r="E691" s="4" t="n">
        <v>98</v>
      </c>
      <c r="F691" s="4" t="n">
        <v>942097</v>
      </c>
    </row>
    <row r="692">
      <c r="A692" s="5" t="inlineStr">
        <is>
          <t>2025-02</t>
        </is>
      </c>
      <c r="B692" s="5" t="inlineStr">
        <is>
          <t>SKU0302</t>
        </is>
      </c>
      <c r="C692" s="5" t="inlineStr">
        <is>
          <t>フィルグラスチムBS注「サンド」</t>
        </is>
      </c>
      <c r="D692" s="5" t="inlineStr">
        <is>
          <t>卸A</t>
        </is>
      </c>
      <c r="E692" s="5" t="n">
        <v>209</v>
      </c>
      <c r="F692" s="5" t="n">
        <v>2012817</v>
      </c>
    </row>
    <row r="693">
      <c r="A693" s="4" t="inlineStr">
        <is>
          <t>2025-02</t>
        </is>
      </c>
      <c r="B693" s="4" t="inlineStr">
        <is>
          <t>SKU0302</t>
        </is>
      </c>
      <c r="C693" s="4" t="inlineStr">
        <is>
          <t>フィルグラスチムBS注「サンド」</t>
        </is>
      </c>
      <c r="D693" s="4" t="inlineStr">
        <is>
          <t>卸B</t>
        </is>
      </c>
      <c r="E693" s="4" t="n">
        <v>171</v>
      </c>
      <c r="F693" s="4" t="n">
        <v>1647217</v>
      </c>
    </row>
    <row r="694">
      <c r="A694" s="5" t="inlineStr">
        <is>
          <t>2025-02</t>
        </is>
      </c>
      <c r="B694" s="5" t="inlineStr">
        <is>
          <t>SKU0302</t>
        </is>
      </c>
      <c r="C694" s="5" t="inlineStr">
        <is>
          <t>フィルグラスチムBS注「サンド」</t>
        </is>
      </c>
      <c r="D694" s="5" t="inlineStr">
        <is>
          <t>卸C</t>
        </is>
      </c>
      <c r="E694" s="5" t="n">
        <v>120</v>
      </c>
      <c r="F694" s="5" t="n">
        <v>1153843</v>
      </c>
    </row>
    <row r="695">
      <c r="A695" s="4" t="inlineStr">
        <is>
          <t>2025-03</t>
        </is>
      </c>
      <c r="B695" s="4" t="inlineStr">
        <is>
          <t>SKU0302</t>
        </is>
      </c>
      <c r="C695" s="4" t="inlineStr">
        <is>
          <t>フィルグラスチムBS注「サンド」</t>
        </is>
      </c>
      <c r="D695" s="4" t="inlineStr">
        <is>
          <t>卸A</t>
        </is>
      </c>
      <c r="E695" s="4" t="n">
        <v>282</v>
      </c>
      <c r="F695" s="4" t="n">
        <v>2720053</v>
      </c>
    </row>
    <row r="696">
      <c r="A696" s="5" t="inlineStr">
        <is>
          <t>2025-03</t>
        </is>
      </c>
      <c r="B696" s="5" t="inlineStr">
        <is>
          <t>SKU0302</t>
        </is>
      </c>
      <c r="C696" s="5" t="inlineStr">
        <is>
          <t>フィルグラスチムBS注「サンド」</t>
        </is>
      </c>
      <c r="D696" s="5" t="inlineStr">
        <is>
          <t>卸B</t>
        </is>
      </c>
      <c r="E696" s="5" t="n">
        <v>295</v>
      </c>
      <c r="F696" s="5" t="n">
        <v>2845824</v>
      </c>
    </row>
    <row r="697">
      <c r="A697" s="4" t="inlineStr">
        <is>
          <t>2025-03</t>
        </is>
      </c>
      <c r="B697" s="4" t="inlineStr">
        <is>
          <t>SKU0302</t>
        </is>
      </c>
      <c r="C697" s="4" t="inlineStr">
        <is>
          <t>フィルグラスチムBS注「サンド」</t>
        </is>
      </c>
      <c r="D697" s="4" t="inlineStr">
        <is>
          <t>卸C</t>
        </is>
      </c>
      <c r="E697" s="4" t="n">
        <v>206</v>
      </c>
      <c r="F697" s="4" t="n">
        <v>1984412</v>
      </c>
    </row>
    <row r="698">
      <c r="A698" s="5" t="inlineStr">
        <is>
          <t>2025-04</t>
        </is>
      </c>
      <c r="B698" s="5" t="inlineStr">
        <is>
          <t>SKU0302</t>
        </is>
      </c>
      <c r="C698" s="5" t="inlineStr">
        <is>
          <t>フィルグラスチムBS注「サンド」</t>
        </is>
      </c>
      <c r="D698" s="5" t="inlineStr">
        <is>
          <t>卸A</t>
        </is>
      </c>
      <c r="E698" s="5" t="n">
        <v>143</v>
      </c>
      <c r="F698" s="5" t="n">
        <v>1336651</v>
      </c>
    </row>
    <row r="699">
      <c r="A699" s="4" t="inlineStr">
        <is>
          <t>2025-04</t>
        </is>
      </c>
      <c r="B699" s="4" t="inlineStr">
        <is>
          <t>SKU0302</t>
        </is>
      </c>
      <c r="C699" s="4" t="inlineStr">
        <is>
          <t>フィルグラスチムBS注「サンド」</t>
        </is>
      </c>
      <c r="D699" s="4" t="inlineStr">
        <is>
          <t>卸B</t>
        </is>
      </c>
      <c r="E699" s="4" t="n">
        <v>117</v>
      </c>
      <c r="F699" s="4" t="n">
        <v>1093603</v>
      </c>
    </row>
    <row r="700">
      <c r="A700" s="5" t="inlineStr">
        <is>
          <t>2025-04</t>
        </is>
      </c>
      <c r="B700" s="5" t="inlineStr">
        <is>
          <t>SKU0302</t>
        </is>
      </c>
      <c r="C700" s="5" t="inlineStr">
        <is>
          <t>フィルグラスチムBS注「サンド」</t>
        </is>
      </c>
      <c r="D700" s="5" t="inlineStr">
        <is>
          <t>卸C</t>
        </is>
      </c>
      <c r="E700" s="5" t="n">
        <v>74</v>
      </c>
      <c r="F700" s="5" t="n">
        <v>692925</v>
      </c>
    </row>
    <row r="701">
      <c r="A701" s="4" t="inlineStr">
        <is>
          <t>2025-05</t>
        </is>
      </c>
      <c r="B701" s="4" t="inlineStr">
        <is>
          <t>SKU0302</t>
        </is>
      </c>
      <c r="C701" s="4" t="inlineStr">
        <is>
          <t>フィルグラスチムBS注「サンド」</t>
        </is>
      </c>
      <c r="D701" s="4" t="inlineStr">
        <is>
          <t>卸A</t>
        </is>
      </c>
      <c r="E701" s="4" t="n">
        <v>146</v>
      </c>
      <c r="F701" s="4" t="n">
        <v>1363156</v>
      </c>
    </row>
    <row r="702">
      <c r="A702" s="5" t="inlineStr">
        <is>
          <t>2025-05</t>
        </is>
      </c>
      <c r="B702" s="5" t="inlineStr">
        <is>
          <t>SKU0302</t>
        </is>
      </c>
      <c r="C702" s="5" t="inlineStr">
        <is>
          <t>フィルグラスチムBS注「サンド」</t>
        </is>
      </c>
      <c r="D702" s="5" t="inlineStr">
        <is>
          <t>卸B</t>
        </is>
      </c>
      <c r="E702" s="5" t="n">
        <v>134</v>
      </c>
      <c r="F702" s="5" t="n">
        <v>1250579</v>
      </c>
    </row>
    <row r="703">
      <c r="A703" s="4" t="inlineStr">
        <is>
          <t>2025-05</t>
        </is>
      </c>
      <c r="B703" s="4" t="inlineStr">
        <is>
          <t>SKU0302</t>
        </is>
      </c>
      <c r="C703" s="4" t="inlineStr">
        <is>
          <t>フィルグラスチムBS注「サンド」</t>
        </is>
      </c>
      <c r="D703" s="4" t="inlineStr">
        <is>
          <t>卸C</t>
        </is>
      </c>
      <c r="E703" s="4" t="n">
        <v>89</v>
      </c>
      <c r="F703" s="4" t="n">
        <v>829941</v>
      </c>
    </row>
    <row r="704">
      <c r="A704" s="5" t="inlineStr">
        <is>
          <t>2025-06</t>
        </is>
      </c>
      <c r="B704" s="5" t="inlineStr">
        <is>
          <t>SKU0302</t>
        </is>
      </c>
      <c r="C704" s="5" t="inlineStr">
        <is>
          <t>フィルグラスチムBS注「サンド」</t>
        </is>
      </c>
      <c r="D704" s="5" t="inlineStr">
        <is>
          <t>卸A</t>
        </is>
      </c>
      <c r="E704" s="5" t="n">
        <v>223</v>
      </c>
      <c r="F704" s="5" t="n">
        <v>2086361</v>
      </c>
    </row>
    <row r="705">
      <c r="A705" s="4" t="inlineStr">
        <is>
          <t>2025-06</t>
        </is>
      </c>
      <c r="B705" s="4" t="inlineStr">
        <is>
          <t>SKU0302</t>
        </is>
      </c>
      <c r="C705" s="4" t="inlineStr">
        <is>
          <t>フィルグラスチムBS注「サンド」</t>
        </is>
      </c>
      <c r="D705" s="4" t="inlineStr">
        <is>
          <t>卸B</t>
        </is>
      </c>
      <c r="E705" s="4" t="n">
        <v>193</v>
      </c>
      <c r="F705" s="4" t="n">
        <v>1799940</v>
      </c>
    </row>
    <row r="706">
      <c r="A706" s="5" t="inlineStr">
        <is>
          <t>2025-06</t>
        </is>
      </c>
      <c r="B706" s="5" t="inlineStr">
        <is>
          <t>SKU0302</t>
        </is>
      </c>
      <c r="C706" s="5" t="inlineStr">
        <is>
          <t>フィルグラスチムBS注「サンド」</t>
        </is>
      </c>
      <c r="D706" s="5" t="inlineStr">
        <is>
          <t>卸C</t>
        </is>
      </c>
      <c r="E706" s="5" t="n">
        <v>130</v>
      </c>
      <c r="F706" s="5" t="n">
        <v>1219204</v>
      </c>
    </row>
    <row r="707">
      <c r="A707" s="4" t="inlineStr">
        <is>
          <t>2025-07</t>
        </is>
      </c>
      <c r="B707" s="4" t="inlineStr">
        <is>
          <t>SKU0302</t>
        </is>
      </c>
      <c r="C707" s="4" t="inlineStr">
        <is>
          <t>フィルグラスチムBS注「サンド」</t>
        </is>
      </c>
      <c r="D707" s="4" t="inlineStr">
        <is>
          <t>卸A</t>
        </is>
      </c>
      <c r="E707" s="4" t="n">
        <v>230</v>
      </c>
      <c r="F707" s="4" t="n">
        <v>2151573</v>
      </c>
    </row>
    <row r="708">
      <c r="A708" s="5" t="inlineStr">
        <is>
          <t>2025-07</t>
        </is>
      </c>
      <c r="B708" s="5" t="inlineStr">
        <is>
          <t>SKU0302</t>
        </is>
      </c>
      <c r="C708" s="5" t="inlineStr">
        <is>
          <t>フィルグラスチムBS注「サンド」</t>
        </is>
      </c>
      <c r="D708" s="5" t="inlineStr">
        <is>
          <t>卸B</t>
        </is>
      </c>
      <c r="E708" s="5" t="n">
        <v>195</v>
      </c>
      <c r="F708" s="5" t="n">
        <v>1820017</v>
      </c>
    </row>
    <row r="709">
      <c r="A709" s="4" t="inlineStr">
        <is>
          <t>2025-07</t>
        </is>
      </c>
      <c r="B709" s="4" t="inlineStr">
        <is>
          <t>SKU0302</t>
        </is>
      </c>
      <c r="C709" s="4" t="inlineStr">
        <is>
          <t>フィルグラスチムBS注「サンド」</t>
        </is>
      </c>
      <c r="D709" s="4" t="inlineStr">
        <is>
          <t>卸C</t>
        </is>
      </c>
      <c r="E709" s="4" t="n">
        <v>157</v>
      </c>
      <c r="F709" s="4" t="n">
        <v>1471501</v>
      </c>
    </row>
    <row r="710">
      <c r="A710" s="5" t="inlineStr">
        <is>
          <t>2025-08</t>
        </is>
      </c>
      <c r="B710" s="5" t="inlineStr">
        <is>
          <t>SKU0302</t>
        </is>
      </c>
      <c r="C710" s="5" t="inlineStr">
        <is>
          <t>フィルグラスチムBS注「サンド」</t>
        </is>
      </c>
      <c r="D710" s="5" t="inlineStr">
        <is>
          <t>卸A</t>
        </is>
      </c>
      <c r="E710" s="5" t="n">
        <v>288</v>
      </c>
      <c r="F710" s="5" t="n">
        <v>2695667</v>
      </c>
    </row>
    <row r="711">
      <c r="A711" s="4" t="inlineStr">
        <is>
          <t>2025-08</t>
        </is>
      </c>
      <c r="B711" s="4" t="inlineStr">
        <is>
          <t>SKU0302</t>
        </is>
      </c>
      <c r="C711" s="4" t="inlineStr">
        <is>
          <t>フィルグラスチムBS注「サンド」</t>
        </is>
      </c>
      <c r="D711" s="4" t="inlineStr">
        <is>
          <t>卸B</t>
        </is>
      </c>
      <c r="E711" s="4" t="n">
        <v>261</v>
      </c>
      <c r="F711" s="4" t="n">
        <v>2440226</v>
      </c>
    </row>
    <row r="712">
      <c r="A712" s="5" t="inlineStr">
        <is>
          <t>2025-08</t>
        </is>
      </c>
      <c r="B712" s="5" t="inlineStr">
        <is>
          <t>SKU0302</t>
        </is>
      </c>
      <c r="C712" s="5" t="inlineStr">
        <is>
          <t>フィルグラスチムBS注「サンド」</t>
        </is>
      </c>
      <c r="D712" s="5" t="inlineStr">
        <is>
          <t>卸C</t>
        </is>
      </c>
      <c r="E712" s="5" t="n">
        <v>155</v>
      </c>
      <c r="F712" s="5" t="n">
        <v>1446347</v>
      </c>
    </row>
    <row r="713">
      <c r="A713" s="4" t="inlineStr">
        <is>
          <t>2025-09</t>
        </is>
      </c>
      <c r="B713" s="4" t="inlineStr">
        <is>
          <t>SKU0302</t>
        </is>
      </c>
      <c r="C713" s="4" t="inlineStr">
        <is>
          <t>フィルグラスチムBS注「サンド」</t>
        </is>
      </c>
      <c r="D713" s="4" t="inlineStr">
        <is>
          <t>卸A</t>
        </is>
      </c>
      <c r="E713" s="4" t="n">
        <v>260</v>
      </c>
      <c r="F713" s="4" t="n">
        <v>2428499</v>
      </c>
    </row>
    <row r="714">
      <c r="A714" s="5" t="inlineStr">
        <is>
          <t>2025-09</t>
        </is>
      </c>
      <c r="B714" s="5" t="inlineStr">
        <is>
          <t>SKU0302</t>
        </is>
      </c>
      <c r="C714" s="5" t="inlineStr">
        <is>
          <t>フィルグラスチムBS注「サンド」</t>
        </is>
      </c>
      <c r="D714" s="5" t="inlineStr">
        <is>
          <t>卸B</t>
        </is>
      </c>
      <c r="E714" s="5" t="n">
        <v>237</v>
      </c>
      <c r="F714" s="5" t="n">
        <v>2212782</v>
      </c>
    </row>
    <row r="715">
      <c r="A715" s="4" t="inlineStr">
        <is>
          <t>2025-09</t>
        </is>
      </c>
      <c r="B715" s="4" t="inlineStr">
        <is>
          <t>SKU0302</t>
        </is>
      </c>
      <c r="C715" s="4" t="inlineStr">
        <is>
          <t>フィルグラスチムBS注「サンド」</t>
        </is>
      </c>
      <c r="D715" s="4" t="inlineStr">
        <is>
          <t>卸C</t>
        </is>
      </c>
      <c r="E715" s="4" t="n">
        <v>169</v>
      </c>
      <c r="F715" s="4" t="n">
        <v>1575520</v>
      </c>
    </row>
    <row r="716">
      <c r="A716" s="5" t="inlineStr">
        <is>
          <t>2025-10</t>
        </is>
      </c>
      <c r="B716" s="5" t="inlineStr">
        <is>
          <t>SKU0302</t>
        </is>
      </c>
      <c r="C716" s="5" t="inlineStr">
        <is>
          <t>フィルグラスチムBS注「サンド」</t>
        </is>
      </c>
      <c r="D716" s="5" t="inlineStr">
        <is>
          <t>卸A</t>
        </is>
      </c>
      <c r="E716" s="5" t="n">
        <v>264</v>
      </c>
      <c r="F716" s="5" t="n">
        <v>2469371</v>
      </c>
    </row>
    <row r="717">
      <c r="A717" s="4" t="inlineStr">
        <is>
          <t>2025-10</t>
        </is>
      </c>
      <c r="B717" s="4" t="inlineStr">
        <is>
          <t>SKU0302</t>
        </is>
      </c>
      <c r="C717" s="4" t="inlineStr">
        <is>
          <t>フィルグラスチムBS注「サンド」</t>
        </is>
      </c>
      <c r="D717" s="4" t="inlineStr">
        <is>
          <t>卸B</t>
        </is>
      </c>
      <c r="E717" s="4" t="n">
        <v>246</v>
      </c>
      <c r="F717" s="4" t="n">
        <v>2297477</v>
      </c>
    </row>
    <row r="718">
      <c r="A718" s="5" t="inlineStr">
        <is>
          <t>2025-10</t>
        </is>
      </c>
      <c r="B718" s="5" t="inlineStr">
        <is>
          <t>SKU0302</t>
        </is>
      </c>
      <c r="C718" s="5" t="inlineStr">
        <is>
          <t>フィルグラスチムBS注「サンド」</t>
        </is>
      </c>
      <c r="D718" s="5" t="inlineStr">
        <is>
          <t>卸C</t>
        </is>
      </c>
      <c r="E718" s="5" t="n">
        <v>154</v>
      </c>
      <c r="F718" s="5" t="n">
        <v>1440030</v>
      </c>
    </row>
    <row r="719">
      <c r="A719" s="4" t="inlineStr">
        <is>
          <t>2025-11</t>
        </is>
      </c>
      <c r="B719" s="4" t="inlineStr">
        <is>
          <t>SKU0302</t>
        </is>
      </c>
      <c r="C719" s="4" t="inlineStr">
        <is>
          <t>フィルグラスチムBS注「サンド」</t>
        </is>
      </c>
      <c r="D719" s="4" t="inlineStr">
        <is>
          <t>卸A</t>
        </is>
      </c>
      <c r="E719" s="4" t="n">
        <v>265</v>
      </c>
      <c r="F719" s="4" t="n">
        <v>2480815</v>
      </c>
    </row>
    <row r="720">
      <c r="A720" s="5" t="inlineStr">
        <is>
          <t>2025-11</t>
        </is>
      </c>
      <c r="B720" s="5" t="inlineStr">
        <is>
          <t>SKU0302</t>
        </is>
      </c>
      <c r="C720" s="5" t="inlineStr">
        <is>
          <t>フィルグラスチムBS注「サンド」</t>
        </is>
      </c>
      <c r="D720" s="5" t="inlineStr">
        <is>
          <t>卸B</t>
        </is>
      </c>
      <c r="E720" s="5" t="n">
        <v>196</v>
      </c>
      <c r="F720" s="5" t="n">
        <v>1834821</v>
      </c>
    </row>
    <row r="721">
      <c r="A721" s="4" t="inlineStr">
        <is>
          <t>2025-11</t>
        </is>
      </c>
      <c r="B721" s="4" t="inlineStr">
        <is>
          <t>SKU0302</t>
        </is>
      </c>
      <c r="C721" s="4" t="inlineStr">
        <is>
          <t>フィルグラスチムBS注「サンド」</t>
        </is>
      </c>
      <c r="D721" s="4" t="inlineStr">
        <is>
          <t>卸C</t>
        </is>
      </c>
      <c r="E721" s="4" t="n">
        <v>149</v>
      </c>
      <c r="F721" s="4" t="n">
        <v>1397085</v>
      </c>
    </row>
    <row r="722">
      <c r="A722" s="5" t="inlineStr">
        <is>
          <t>2025-12</t>
        </is>
      </c>
      <c r="B722" s="5" t="inlineStr">
        <is>
          <t>SKU0302</t>
        </is>
      </c>
      <c r="C722" s="5" t="inlineStr">
        <is>
          <t>フィルグラスチムBS注「サンド」</t>
        </is>
      </c>
      <c r="D722" s="5" t="inlineStr">
        <is>
          <t>卸A</t>
        </is>
      </c>
      <c r="E722" s="5" t="n">
        <v>298</v>
      </c>
      <c r="F722" s="5" t="n">
        <v>2783175</v>
      </c>
    </row>
    <row r="723">
      <c r="A723" s="4" t="inlineStr">
        <is>
          <t>2025-12</t>
        </is>
      </c>
      <c r="B723" s="4" t="inlineStr">
        <is>
          <t>SKU0302</t>
        </is>
      </c>
      <c r="C723" s="4" t="inlineStr">
        <is>
          <t>フィルグラスチムBS注「サンド」</t>
        </is>
      </c>
      <c r="D723" s="4" t="inlineStr">
        <is>
          <t>卸B</t>
        </is>
      </c>
      <c r="E723" s="4" t="n">
        <v>248</v>
      </c>
      <c r="F723" s="4" t="n">
        <v>2319462</v>
      </c>
    </row>
    <row r="724">
      <c r="A724" s="5" t="inlineStr">
        <is>
          <t>2025-12</t>
        </is>
      </c>
      <c r="B724" s="5" t="inlineStr">
        <is>
          <t>SKU0302</t>
        </is>
      </c>
      <c r="C724" s="5" t="inlineStr">
        <is>
          <t>フィルグラスチムBS注「サンド」</t>
        </is>
      </c>
      <c r="D724" s="5" t="inlineStr">
        <is>
          <t>卸C</t>
        </is>
      </c>
      <c r="E724" s="5" t="n">
        <v>158</v>
      </c>
      <c r="F724" s="5" t="n">
        <v>1477577</v>
      </c>
    </row>
    <row r="725">
      <c r="A725" s="4" t="inlineStr">
        <is>
          <t>2026-01</t>
        </is>
      </c>
      <c r="B725" s="4" t="inlineStr">
        <is>
          <t>SKU0302</t>
        </is>
      </c>
      <c r="C725" s="4" t="inlineStr">
        <is>
          <t>フィルグラスチムBS注「サンド」</t>
        </is>
      </c>
      <c r="D725" s="4" t="inlineStr">
        <is>
          <t>卸A</t>
        </is>
      </c>
      <c r="E725" s="4" t="n">
        <v>257</v>
      </c>
      <c r="F725" s="4" t="n">
        <v>2402004</v>
      </c>
    </row>
    <row r="726">
      <c r="A726" s="5" t="inlineStr">
        <is>
          <t>2026-01</t>
        </is>
      </c>
      <c r="B726" s="5" t="inlineStr">
        <is>
          <t>SKU0302</t>
        </is>
      </c>
      <c r="C726" s="5" t="inlineStr">
        <is>
          <t>フィルグラスチムBS注「サンド」</t>
        </is>
      </c>
      <c r="D726" s="5" t="inlineStr">
        <is>
          <t>卸B</t>
        </is>
      </c>
      <c r="E726" s="5" t="n">
        <v>272</v>
      </c>
      <c r="F726" s="5" t="n">
        <v>2541401</v>
      </c>
    </row>
    <row r="727">
      <c r="A727" s="4" t="inlineStr">
        <is>
          <t>2026-01</t>
        </is>
      </c>
      <c r="B727" s="4" t="inlineStr">
        <is>
          <t>SKU0302</t>
        </is>
      </c>
      <c r="C727" s="4" t="inlineStr">
        <is>
          <t>フィルグラスチムBS注「サンド」</t>
        </is>
      </c>
      <c r="D727" s="4" t="inlineStr">
        <is>
          <t>卸C</t>
        </is>
      </c>
      <c r="E727" s="4" t="n">
        <v>177</v>
      </c>
      <c r="F727" s="4" t="n">
        <v>1656027</v>
      </c>
    </row>
    <row r="728">
      <c r="A728" s="5" t="inlineStr">
        <is>
          <t>2026-02</t>
        </is>
      </c>
      <c r="B728" s="5" t="inlineStr">
        <is>
          <t>SKU0302</t>
        </is>
      </c>
      <c r="C728" s="5" t="inlineStr">
        <is>
          <t>フィルグラスチムBS注「サンド」</t>
        </is>
      </c>
      <c r="D728" s="5" t="inlineStr">
        <is>
          <t>卸A</t>
        </is>
      </c>
      <c r="E728" s="5" t="n">
        <v>246</v>
      </c>
      <c r="F728" s="5" t="n">
        <v>2296315</v>
      </c>
    </row>
    <row r="729">
      <c r="A729" s="4" t="inlineStr">
        <is>
          <t>2026-02</t>
        </is>
      </c>
      <c r="B729" s="4" t="inlineStr">
        <is>
          <t>SKU0302</t>
        </is>
      </c>
      <c r="C729" s="4" t="inlineStr">
        <is>
          <t>フィルグラスチムBS注「サンド」</t>
        </is>
      </c>
      <c r="D729" s="4" t="inlineStr">
        <is>
          <t>卸B</t>
        </is>
      </c>
      <c r="E729" s="4" t="n">
        <v>242</v>
      </c>
      <c r="F729" s="4" t="n">
        <v>2265663</v>
      </c>
    </row>
    <row r="730">
      <c r="A730" s="5" t="inlineStr">
        <is>
          <t>2026-02</t>
        </is>
      </c>
      <c r="B730" s="5" t="inlineStr">
        <is>
          <t>SKU0302</t>
        </is>
      </c>
      <c r="C730" s="5" t="inlineStr">
        <is>
          <t>フィルグラスチムBS注「サンド」</t>
        </is>
      </c>
      <c r="D730" s="5" t="inlineStr">
        <is>
          <t>卸C</t>
        </is>
      </c>
      <c r="E730" s="5" t="n">
        <v>164</v>
      </c>
      <c r="F730" s="5" t="n">
        <v>1530607</v>
      </c>
    </row>
    <row r="731">
      <c r="A731" s="4" t="inlineStr">
        <is>
          <t>2026-03</t>
        </is>
      </c>
      <c r="B731" s="4" t="inlineStr">
        <is>
          <t>SKU0302</t>
        </is>
      </c>
      <c r="C731" s="4" t="inlineStr">
        <is>
          <t>フィルグラスチムBS注「サンド」</t>
        </is>
      </c>
      <c r="D731" s="4" t="inlineStr">
        <is>
          <t>卸A</t>
        </is>
      </c>
      <c r="E731" s="4" t="n">
        <v>348</v>
      </c>
      <c r="F731" s="4" t="n">
        <v>3258367</v>
      </c>
    </row>
    <row r="732">
      <c r="A732" s="5" t="inlineStr">
        <is>
          <t>2026-03</t>
        </is>
      </c>
      <c r="B732" s="5" t="inlineStr">
        <is>
          <t>SKU0302</t>
        </is>
      </c>
      <c r="C732" s="5" t="inlineStr">
        <is>
          <t>フィルグラスチムBS注「サンド」</t>
        </is>
      </c>
      <c r="D732" s="5" t="inlineStr">
        <is>
          <t>卸B</t>
        </is>
      </c>
      <c r="E732" s="5" t="n">
        <v>348</v>
      </c>
      <c r="F732" s="5" t="n">
        <v>3256133</v>
      </c>
    </row>
    <row r="733">
      <c r="A733" s="4" t="inlineStr">
        <is>
          <t>2026-03</t>
        </is>
      </c>
      <c r="B733" s="4" t="inlineStr">
        <is>
          <t>SKU0302</t>
        </is>
      </c>
      <c r="C733" s="4" t="inlineStr">
        <is>
          <t>フィルグラスチムBS注「サンド」</t>
        </is>
      </c>
      <c r="D733" s="4" t="inlineStr">
        <is>
          <t>卸C</t>
        </is>
      </c>
      <c r="E733" s="4" t="n">
        <v>225</v>
      </c>
      <c r="F733" s="4" t="n">
        <v>2106273</v>
      </c>
    </row>
    <row r="734">
      <c r="A734" s="5" t="inlineStr">
        <is>
          <t>2026-04</t>
        </is>
      </c>
      <c r="B734" s="5" t="inlineStr">
        <is>
          <t>SKU0302</t>
        </is>
      </c>
      <c r="C734" s="5" t="inlineStr">
        <is>
          <t>フィルグラスチムBS注「サンド」</t>
        </is>
      </c>
      <c r="D734" s="5" t="inlineStr">
        <is>
          <t>卸A</t>
        </is>
      </c>
      <c r="E734" s="5" t="n">
        <v>177</v>
      </c>
      <c r="F734" s="5" t="n">
        <v>1553056</v>
      </c>
    </row>
    <row r="735">
      <c r="A735" s="4" t="inlineStr">
        <is>
          <t>2026-04</t>
        </is>
      </c>
      <c r="B735" s="4" t="inlineStr">
        <is>
          <t>SKU0302</t>
        </is>
      </c>
      <c r="C735" s="4" t="inlineStr">
        <is>
          <t>フィルグラスチムBS注「サンド」</t>
        </is>
      </c>
      <c r="D735" s="4" t="inlineStr">
        <is>
          <t>卸B</t>
        </is>
      </c>
      <c r="E735" s="4" t="n">
        <v>156</v>
      </c>
      <c r="F735" s="4" t="n">
        <v>1369410</v>
      </c>
    </row>
    <row r="736">
      <c r="A736" s="5" t="inlineStr">
        <is>
          <t>2026-04</t>
        </is>
      </c>
      <c r="B736" s="5" t="inlineStr">
        <is>
          <t>SKU0302</t>
        </is>
      </c>
      <c r="C736" s="5" t="inlineStr">
        <is>
          <t>フィルグラスチムBS注「サンド」</t>
        </is>
      </c>
      <c r="D736" s="5" t="inlineStr">
        <is>
          <t>卸C</t>
        </is>
      </c>
      <c r="E736" s="5" t="n">
        <v>104</v>
      </c>
      <c r="F736" s="5" t="n">
        <v>910048</v>
      </c>
    </row>
    <row r="737">
      <c r="A737" s="4" t="inlineStr">
        <is>
          <t>2026-05</t>
        </is>
      </c>
      <c r="B737" s="4" t="inlineStr">
        <is>
          <t>SKU0302</t>
        </is>
      </c>
      <c r="C737" s="4" t="inlineStr">
        <is>
          <t>フィルグラスチムBS注「サンド」</t>
        </is>
      </c>
      <c r="D737" s="4" t="inlineStr">
        <is>
          <t>卸A</t>
        </is>
      </c>
      <c r="E737" s="4" t="n">
        <v>201</v>
      </c>
      <c r="F737" s="4" t="n">
        <v>1766694</v>
      </c>
    </row>
    <row r="738">
      <c r="A738" s="5" t="inlineStr">
        <is>
          <t>2026-05</t>
        </is>
      </c>
      <c r="B738" s="5" t="inlineStr">
        <is>
          <t>SKU0302</t>
        </is>
      </c>
      <c r="C738" s="5" t="inlineStr">
        <is>
          <t>フィルグラスチムBS注「サンド」</t>
        </is>
      </c>
      <c r="D738" s="5" t="inlineStr">
        <is>
          <t>卸B</t>
        </is>
      </c>
      <c r="E738" s="5" t="n">
        <v>198</v>
      </c>
      <c r="F738" s="5" t="n">
        <v>1743087</v>
      </c>
    </row>
    <row r="739">
      <c r="A739" s="4" t="inlineStr">
        <is>
          <t>2026-05</t>
        </is>
      </c>
      <c r="B739" s="4" t="inlineStr">
        <is>
          <t>SKU0302</t>
        </is>
      </c>
      <c r="C739" s="4" t="inlineStr">
        <is>
          <t>フィルグラスチムBS注「サンド」</t>
        </is>
      </c>
      <c r="D739" s="4" t="inlineStr">
        <is>
          <t>卸C</t>
        </is>
      </c>
      <c r="E739" s="4" t="n">
        <v>120</v>
      </c>
      <c r="F739" s="4" t="n">
        <v>1053199</v>
      </c>
    </row>
    <row r="740">
      <c r="A740" s="5" t="inlineStr">
        <is>
          <t>2023-01</t>
        </is>
      </c>
      <c r="B740" s="5" t="inlineStr">
        <is>
          <t>SKU0401</t>
        </is>
      </c>
      <c r="C740" s="5" t="inlineStr">
        <is>
          <t>インフリキシマブBS点滴静注用「サンド」</t>
        </is>
      </c>
      <c r="D740" s="5" t="inlineStr">
        <is>
          <t>卸A</t>
        </is>
      </c>
      <c r="E740" s="5" t="n">
        <v>1</v>
      </c>
      <c r="F740" s="5" t="n">
        <v>46838</v>
      </c>
    </row>
    <row r="741">
      <c r="A741" s="4" t="inlineStr">
        <is>
          <t>2023-01</t>
        </is>
      </c>
      <c r="B741" s="4" t="inlineStr">
        <is>
          <t>SKU0401</t>
        </is>
      </c>
      <c r="C741" s="4" t="inlineStr">
        <is>
          <t>インフリキシマブBS点滴静注用「サンド」</t>
        </is>
      </c>
      <c r="D741" s="4" t="inlineStr">
        <is>
          <t>卸B</t>
        </is>
      </c>
      <c r="E741" s="4" t="n">
        <v>1</v>
      </c>
      <c r="F741" s="4" t="n">
        <v>42233</v>
      </c>
    </row>
    <row r="742">
      <c r="A742" s="5" t="inlineStr">
        <is>
          <t>2023-01</t>
        </is>
      </c>
      <c r="B742" s="5" t="inlineStr">
        <is>
          <t>SKU0401</t>
        </is>
      </c>
      <c r="C742" s="5" t="inlineStr">
        <is>
          <t>インフリキシマブBS点滴静注用「サンド」</t>
        </is>
      </c>
      <c r="D742" s="5" t="inlineStr">
        <is>
          <t>卸C</t>
        </is>
      </c>
      <c r="E742" s="5" t="n">
        <v>1</v>
      </c>
      <c r="F742" s="5" t="n">
        <v>28739</v>
      </c>
    </row>
    <row r="743">
      <c r="A743" s="4" t="inlineStr">
        <is>
          <t>2023-02</t>
        </is>
      </c>
      <c r="B743" s="4" t="inlineStr">
        <is>
          <t>SKU0401</t>
        </is>
      </c>
      <c r="C743" s="4" t="inlineStr">
        <is>
          <t>インフリキシマブBS点滴静注用「サンド」</t>
        </is>
      </c>
      <c r="D743" s="4" t="inlineStr">
        <is>
          <t>卸A</t>
        </is>
      </c>
      <c r="E743" s="4" t="n">
        <v>4</v>
      </c>
      <c r="F743" s="4" t="n">
        <v>154068</v>
      </c>
    </row>
    <row r="744">
      <c r="A744" s="5" t="inlineStr">
        <is>
          <t>2023-02</t>
        </is>
      </c>
      <c r="B744" s="5" t="inlineStr">
        <is>
          <t>SKU0401</t>
        </is>
      </c>
      <c r="C744" s="5" t="inlineStr">
        <is>
          <t>インフリキシマブBS点滴静注用「サンド」</t>
        </is>
      </c>
      <c r="D744" s="5" t="inlineStr">
        <is>
          <t>卸B</t>
        </is>
      </c>
      <c r="E744" s="5" t="n">
        <v>4</v>
      </c>
      <c r="F744" s="5" t="n">
        <v>141853</v>
      </c>
    </row>
    <row r="745">
      <c r="A745" s="4" t="inlineStr">
        <is>
          <t>2023-02</t>
        </is>
      </c>
      <c r="B745" s="4" t="inlineStr">
        <is>
          <t>SKU0401</t>
        </is>
      </c>
      <c r="C745" s="4" t="inlineStr">
        <is>
          <t>インフリキシマブBS点滴静注用「サンド」</t>
        </is>
      </c>
      <c r="D745" s="4" t="inlineStr">
        <is>
          <t>卸C</t>
        </is>
      </c>
      <c r="E745" s="4" t="n">
        <v>3</v>
      </c>
      <c r="F745" s="4" t="n">
        <v>93604</v>
      </c>
    </row>
    <row r="746">
      <c r="A746" s="5" t="inlineStr">
        <is>
          <t>2023-03</t>
        </is>
      </c>
      <c r="B746" s="5" t="inlineStr">
        <is>
          <t>SKU0401</t>
        </is>
      </c>
      <c r="C746" s="5" t="inlineStr">
        <is>
          <t>インフリキシマブBS点滴静注用「サンド」</t>
        </is>
      </c>
      <c r="D746" s="5" t="inlineStr">
        <is>
          <t>卸A</t>
        </is>
      </c>
      <c r="E746" s="5" t="n">
        <v>4</v>
      </c>
      <c r="F746" s="5" t="n">
        <v>133690</v>
      </c>
    </row>
    <row r="747">
      <c r="A747" s="4" t="inlineStr">
        <is>
          <t>2023-03</t>
        </is>
      </c>
      <c r="B747" s="4" t="inlineStr">
        <is>
          <t>SKU0401</t>
        </is>
      </c>
      <c r="C747" s="4" t="inlineStr">
        <is>
          <t>インフリキシマブBS点滴静注用「サンド」</t>
        </is>
      </c>
      <c r="D747" s="4" t="inlineStr">
        <is>
          <t>卸B</t>
        </is>
      </c>
      <c r="E747" s="4" t="n">
        <v>3</v>
      </c>
      <c r="F747" s="4" t="n">
        <v>116086</v>
      </c>
    </row>
    <row r="748">
      <c r="A748" s="5" t="inlineStr">
        <is>
          <t>2023-03</t>
        </is>
      </c>
      <c r="B748" s="5" t="inlineStr">
        <is>
          <t>SKU0401</t>
        </is>
      </c>
      <c r="C748" s="5" t="inlineStr">
        <is>
          <t>インフリキシマブBS点滴静注用「サンド」</t>
        </is>
      </c>
      <c r="D748" s="5" t="inlineStr">
        <is>
          <t>卸C</t>
        </is>
      </c>
      <c r="E748" s="5" t="n">
        <v>2</v>
      </c>
      <c r="F748" s="5" t="n">
        <v>85546</v>
      </c>
    </row>
    <row r="749">
      <c r="A749" s="4" t="inlineStr">
        <is>
          <t>2023-04</t>
        </is>
      </c>
      <c r="B749" s="4" t="inlineStr">
        <is>
          <t>SKU0401</t>
        </is>
      </c>
      <c r="C749" s="4" t="inlineStr">
        <is>
          <t>インフリキシマブBS点滴静注用「サンド」</t>
        </is>
      </c>
      <c r="D749" s="4" t="inlineStr">
        <is>
          <t>卸A</t>
        </is>
      </c>
      <c r="E749" s="4" t="n">
        <v>5</v>
      </c>
      <c r="F749" s="4" t="n">
        <v>186097</v>
      </c>
    </row>
    <row r="750">
      <c r="A750" s="5" t="inlineStr">
        <is>
          <t>2023-04</t>
        </is>
      </c>
      <c r="B750" s="5" t="inlineStr">
        <is>
          <t>SKU0401</t>
        </is>
      </c>
      <c r="C750" s="5" t="inlineStr">
        <is>
          <t>インフリキシマブBS点滴静注用「サンド」</t>
        </is>
      </c>
      <c r="D750" s="5" t="inlineStr">
        <is>
          <t>卸B</t>
        </is>
      </c>
      <c r="E750" s="5" t="n">
        <v>5</v>
      </c>
      <c r="F750" s="5" t="n">
        <v>188371</v>
      </c>
    </row>
    <row r="751">
      <c r="A751" s="4" t="inlineStr">
        <is>
          <t>2023-04</t>
        </is>
      </c>
      <c r="B751" s="4" t="inlineStr">
        <is>
          <t>SKU0401</t>
        </is>
      </c>
      <c r="C751" s="4" t="inlineStr">
        <is>
          <t>インフリキシマブBS点滴静注用「サンド」</t>
        </is>
      </c>
      <c r="D751" s="4" t="inlineStr">
        <is>
          <t>卸C</t>
        </is>
      </c>
      <c r="E751" s="4" t="n">
        <v>3</v>
      </c>
      <c r="F751" s="4" t="n">
        <v>117998</v>
      </c>
    </row>
    <row r="752">
      <c r="A752" s="5" t="inlineStr">
        <is>
          <t>2023-05</t>
        </is>
      </c>
      <c r="B752" s="5" t="inlineStr">
        <is>
          <t>SKU0401</t>
        </is>
      </c>
      <c r="C752" s="5" t="inlineStr">
        <is>
          <t>インフリキシマブBS点滴静注用「サンド」</t>
        </is>
      </c>
      <c r="D752" s="5" t="inlineStr">
        <is>
          <t>卸A</t>
        </is>
      </c>
      <c r="E752" s="5" t="n">
        <v>5</v>
      </c>
      <c r="F752" s="5" t="n">
        <v>191767</v>
      </c>
    </row>
    <row r="753">
      <c r="A753" s="4" t="inlineStr">
        <is>
          <t>2023-05</t>
        </is>
      </c>
      <c r="B753" s="4" t="inlineStr">
        <is>
          <t>SKU0401</t>
        </is>
      </c>
      <c r="C753" s="4" t="inlineStr">
        <is>
          <t>インフリキシマブBS点滴静注用「サンド」</t>
        </is>
      </c>
      <c r="D753" s="4" t="inlineStr">
        <is>
          <t>卸B</t>
        </is>
      </c>
      <c r="E753" s="4" t="n">
        <v>5</v>
      </c>
      <c r="F753" s="4" t="n">
        <v>197179</v>
      </c>
    </row>
    <row r="754">
      <c r="A754" s="5" t="inlineStr">
        <is>
          <t>2023-05</t>
        </is>
      </c>
      <c r="B754" s="5" t="inlineStr">
        <is>
          <t>SKU0401</t>
        </is>
      </c>
      <c r="C754" s="5" t="inlineStr">
        <is>
          <t>インフリキシマブBS点滴静注用「サンド」</t>
        </is>
      </c>
      <c r="D754" s="5" t="inlineStr">
        <is>
          <t>卸C</t>
        </is>
      </c>
      <c r="E754" s="5" t="n">
        <v>4</v>
      </c>
      <c r="F754" s="5" t="n">
        <v>130393</v>
      </c>
    </row>
    <row r="755">
      <c r="A755" s="4" t="inlineStr">
        <is>
          <t>2023-06</t>
        </is>
      </c>
      <c r="B755" s="4" t="inlineStr">
        <is>
          <t>SKU0401</t>
        </is>
      </c>
      <c r="C755" s="4" t="inlineStr">
        <is>
          <t>インフリキシマブBS点滴静注用「サンド」</t>
        </is>
      </c>
      <c r="D755" s="4" t="inlineStr">
        <is>
          <t>卸A</t>
        </is>
      </c>
      <c r="E755" s="4" t="n">
        <v>8</v>
      </c>
      <c r="F755" s="4" t="n">
        <v>297976</v>
      </c>
    </row>
    <row r="756">
      <c r="A756" s="5" t="inlineStr">
        <is>
          <t>2023-06</t>
        </is>
      </c>
      <c r="B756" s="5" t="inlineStr">
        <is>
          <t>SKU0401</t>
        </is>
      </c>
      <c r="C756" s="5" t="inlineStr">
        <is>
          <t>インフリキシマブBS点滴静注用「サンド」</t>
        </is>
      </c>
      <c r="D756" s="5" t="inlineStr">
        <is>
          <t>卸B</t>
        </is>
      </c>
      <c r="E756" s="5" t="n">
        <v>8</v>
      </c>
      <c r="F756" s="5" t="n">
        <v>294411</v>
      </c>
    </row>
    <row r="757">
      <c r="A757" s="4" t="inlineStr">
        <is>
          <t>2023-06</t>
        </is>
      </c>
      <c r="B757" s="4" t="inlineStr">
        <is>
          <t>SKU0401</t>
        </is>
      </c>
      <c r="C757" s="4" t="inlineStr">
        <is>
          <t>インフリキシマブBS点滴静注用「サンド」</t>
        </is>
      </c>
      <c r="D757" s="4" t="inlineStr">
        <is>
          <t>卸C</t>
        </is>
      </c>
      <c r="E757" s="4" t="n">
        <v>5</v>
      </c>
      <c r="F757" s="4" t="n">
        <v>187894</v>
      </c>
    </row>
    <row r="758">
      <c r="A758" s="5" t="inlineStr">
        <is>
          <t>2023-07</t>
        </is>
      </c>
      <c r="B758" s="5" t="inlineStr">
        <is>
          <t>SKU0401</t>
        </is>
      </c>
      <c r="C758" s="5" t="inlineStr">
        <is>
          <t>インフリキシマブBS点滴静注用「サンド」</t>
        </is>
      </c>
      <c r="D758" s="5" t="inlineStr">
        <is>
          <t>卸A</t>
        </is>
      </c>
      <c r="E758" s="5" t="n">
        <v>8</v>
      </c>
      <c r="F758" s="5" t="n">
        <v>272043</v>
      </c>
    </row>
    <row r="759">
      <c r="A759" s="4" t="inlineStr">
        <is>
          <t>2023-07</t>
        </is>
      </c>
      <c r="B759" s="4" t="inlineStr">
        <is>
          <t>SKU0401</t>
        </is>
      </c>
      <c r="C759" s="4" t="inlineStr">
        <is>
          <t>インフリキシマブBS点滴静注用「サンド」</t>
        </is>
      </c>
      <c r="D759" s="4" t="inlineStr">
        <is>
          <t>卸B</t>
        </is>
      </c>
      <c r="E759" s="4" t="n">
        <v>7</v>
      </c>
      <c r="F759" s="4" t="n">
        <v>259871</v>
      </c>
    </row>
    <row r="760">
      <c r="A760" s="5" t="inlineStr">
        <is>
          <t>2023-07</t>
        </is>
      </c>
      <c r="B760" s="5" t="inlineStr">
        <is>
          <t>SKU0401</t>
        </is>
      </c>
      <c r="C760" s="5" t="inlineStr">
        <is>
          <t>インフリキシマブBS点滴静注用「サンド」</t>
        </is>
      </c>
      <c r="D760" s="5" t="inlineStr">
        <is>
          <t>卸C</t>
        </is>
      </c>
      <c r="E760" s="5" t="n">
        <v>4</v>
      </c>
      <c r="F760" s="5" t="n">
        <v>158255</v>
      </c>
    </row>
    <row r="761">
      <c r="A761" s="4" t="inlineStr">
        <is>
          <t>2023-08</t>
        </is>
      </c>
      <c r="B761" s="4" t="inlineStr">
        <is>
          <t>SKU0401</t>
        </is>
      </c>
      <c r="C761" s="4" t="inlineStr">
        <is>
          <t>インフリキシマブBS点滴静注用「サンド」</t>
        </is>
      </c>
      <c r="D761" s="4" t="inlineStr">
        <is>
          <t>卸A</t>
        </is>
      </c>
      <c r="E761" s="4" t="n">
        <v>10</v>
      </c>
      <c r="F761" s="4" t="n">
        <v>357440</v>
      </c>
    </row>
    <row r="762">
      <c r="A762" s="5" t="inlineStr">
        <is>
          <t>2023-08</t>
        </is>
      </c>
      <c r="B762" s="5" t="inlineStr">
        <is>
          <t>SKU0401</t>
        </is>
      </c>
      <c r="C762" s="5" t="inlineStr">
        <is>
          <t>インフリキシマブBS点滴静注用「サンド」</t>
        </is>
      </c>
      <c r="D762" s="5" t="inlineStr">
        <is>
          <t>卸B</t>
        </is>
      </c>
      <c r="E762" s="5" t="n">
        <v>9</v>
      </c>
      <c r="F762" s="5" t="n">
        <v>325164</v>
      </c>
    </row>
    <row r="763">
      <c r="A763" s="4" t="inlineStr">
        <is>
          <t>2023-08</t>
        </is>
      </c>
      <c r="B763" s="4" t="inlineStr">
        <is>
          <t>SKU0401</t>
        </is>
      </c>
      <c r="C763" s="4" t="inlineStr">
        <is>
          <t>インフリキシマブBS点滴静注用「サンド」</t>
        </is>
      </c>
      <c r="D763" s="4" t="inlineStr">
        <is>
          <t>卸C</t>
        </is>
      </c>
      <c r="E763" s="4" t="n">
        <v>6</v>
      </c>
      <c r="F763" s="4" t="n">
        <v>222306</v>
      </c>
    </row>
    <row r="764">
      <c r="A764" s="5" t="inlineStr">
        <is>
          <t>2023-09</t>
        </is>
      </c>
      <c r="B764" s="5" t="inlineStr">
        <is>
          <t>SKU0401</t>
        </is>
      </c>
      <c r="C764" s="5" t="inlineStr">
        <is>
          <t>インフリキシマブBS点滴静注用「サンド」</t>
        </is>
      </c>
      <c r="D764" s="5" t="inlineStr">
        <is>
          <t>卸A</t>
        </is>
      </c>
      <c r="E764" s="5" t="n">
        <v>9</v>
      </c>
      <c r="F764" s="5" t="n">
        <v>322138</v>
      </c>
    </row>
    <row r="765">
      <c r="A765" s="4" t="inlineStr">
        <is>
          <t>2023-09</t>
        </is>
      </c>
      <c r="B765" s="4" t="inlineStr">
        <is>
          <t>SKU0401</t>
        </is>
      </c>
      <c r="C765" s="4" t="inlineStr">
        <is>
          <t>インフリキシマブBS点滴静注用「サンド」</t>
        </is>
      </c>
      <c r="D765" s="4" t="inlineStr">
        <is>
          <t>卸B</t>
        </is>
      </c>
      <c r="E765" s="4" t="n">
        <v>9</v>
      </c>
      <c r="F765" s="4" t="n">
        <v>331942</v>
      </c>
    </row>
    <row r="766">
      <c r="A766" s="5" t="inlineStr">
        <is>
          <t>2023-09</t>
        </is>
      </c>
      <c r="B766" s="5" t="inlineStr">
        <is>
          <t>SKU0401</t>
        </is>
      </c>
      <c r="C766" s="5" t="inlineStr">
        <is>
          <t>インフリキシマブBS点滴静注用「サンド」</t>
        </is>
      </c>
      <c r="D766" s="5" t="inlineStr">
        <is>
          <t>卸C</t>
        </is>
      </c>
      <c r="E766" s="5" t="n">
        <v>6</v>
      </c>
      <c r="F766" s="5" t="n">
        <v>223873</v>
      </c>
    </row>
    <row r="767">
      <c r="A767" s="4" t="inlineStr">
        <is>
          <t>2023-10</t>
        </is>
      </c>
      <c r="B767" s="4" t="inlineStr">
        <is>
          <t>SKU0401</t>
        </is>
      </c>
      <c r="C767" s="4" t="inlineStr">
        <is>
          <t>インフリキシマブBS点滴静注用「サンド」</t>
        </is>
      </c>
      <c r="D767" s="4" t="inlineStr">
        <is>
          <t>卸A</t>
        </is>
      </c>
      <c r="E767" s="4" t="n">
        <v>12</v>
      </c>
      <c r="F767" s="4" t="n">
        <v>428328</v>
      </c>
    </row>
    <row r="768">
      <c r="A768" s="5" t="inlineStr">
        <is>
          <t>2023-10</t>
        </is>
      </c>
      <c r="B768" s="5" t="inlineStr">
        <is>
          <t>SKU0401</t>
        </is>
      </c>
      <c r="C768" s="5" t="inlineStr">
        <is>
          <t>インフリキシマブBS点滴静注用「サンド」</t>
        </is>
      </c>
      <c r="D768" s="5" t="inlineStr">
        <is>
          <t>卸B</t>
        </is>
      </c>
      <c r="E768" s="5" t="n">
        <v>11</v>
      </c>
      <c r="F768" s="5" t="n">
        <v>385603</v>
      </c>
    </row>
    <row r="769">
      <c r="A769" s="4" t="inlineStr">
        <is>
          <t>2023-10</t>
        </is>
      </c>
      <c r="B769" s="4" t="inlineStr">
        <is>
          <t>SKU0401</t>
        </is>
      </c>
      <c r="C769" s="4" t="inlineStr">
        <is>
          <t>インフリキシマブBS点滴静注用「サンド」</t>
        </is>
      </c>
      <c r="D769" s="4" t="inlineStr">
        <is>
          <t>卸C</t>
        </is>
      </c>
      <c r="E769" s="4" t="n">
        <v>8</v>
      </c>
      <c r="F769" s="4" t="n">
        <v>273829</v>
      </c>
    </row>
    <row r="770">
      <c r="A770" s="5" t="inlineStr">
        <is>
          <t>2023-11</t>
        </is>
      </c>
      <c r="B770" s="5" t="inlineStr">
        <is>
          <t>SKU0401</t>
        </is>
      </c>
      <c r="C770" s="5" t="inlineStr">
        <is>
          <t>インフリキシマブBS点滴静注用「サンド」</t>
        </is>
      </c>
      <c r="D770" s="5" t="inlineStr">
        <is>
          <t>卸A</t>
        </is>
      </c>
      <c r="E770" s="5" t="n">
        <v>14</v>
      </c>
      <c r="F770" s="5" t="n">
        <v>493303</v>
      </c>
    </row>
    <row r="771">
      <c r="A771" s="4" t="inlineStr">
        <is>
          <t>2023-11</t>
        </is>
      </c>
      <c r="B771" s="4" t="inlineStr">
        <is>
          <t>SKU0401</t>
        </is>
      </c>
      <c r="C771" s="4" t="inlineStr">
        <is>
          <t>インフリキシマブBS点滴静注用「サンド」</t>
        </is>
      </c>
      <c r="D771" s="4" t="inlineStr">
        <is>
          <t>卸B</t>
        </is>
      </c>
      <c r="E771" s="4" t="n">
        <v>12</v>
      </c>
      <c r="F771" s="4" t="n">
        <v>438860</v>
      </c>
    </row>
    <row r="772">
      <c r="A772" s="5" t="inlineStr">
        <is>
          <t>2023-11</t>
        </is>
      </c>
      <c r="B772" s="5" t="inlineStr">
        <is>
          <t>SKU0401</t>
        </is>
      </c>
      <c r="C772" s="5" t="inlineStr">
        <is>
          <t>インフリキシマブBS点滴静注用「サンド」</t>
        </is>
      </c>
      <c r="D772" s="5" t="inlineStr">
        <is>
          <t>卸C</t>
        </is>
      </c>
      <c r="E772" s="5" t="n">
        <v>9</v>
      </c>
      <c r="F772" s="5" t="n">
        <v>341604</v>
      </c>
    </row>
    <row r="773">
      <c r="A773" s="4" t="inlineStr">
        <is>
          <t>2023-12</t>
        </is>
      </c>
      <c r="B773" s="4" t="inlineStr">
        <is>
          <t>SKU0401</t>
        </is>
      </c>
      <c r="C773" s="4" t="inlineStr">
        <is>
          <t>インフリキシマブBS点滴静注用「サンド」</t>
        </is>
      </c>
      <c r="D773" s="4" t="inlineStr">
        <is>
          <t>卸A</t>
        </is>
      </c>
      <c r="E773" s="4" t="n">
        <v>19</v>
      </c>
      <c r="F773" s="4" t="n">
        <v>690377</v>
      </c>
    </row>
    <row r="774">
      <c r="A774" s="5" t="inlineStr">
        <is>
          <t>2023-12</t>
        </is>
      </c>
      <c r="B774" s="5" t="inlineStr">
        <is>
          <t>SKU0401</t>
        </is>
      </c>
      <c r="C774" s="5" t="inlineStr">
        <is>
          <t>インフリキシマブBS点滴静注用「サンド」</t>
        </is>
      </c>
      <c r="D774" s="5" t="inlineStr">
        <is>
          <t>卸B</t>
        </is>
      </c>
      <c r="E774" s="5" t="n">
        <v>15</v>
      </c>
      <c r="F774" s="5" t="n">
        <v>545251</v>
      </c>
    </row>
    <row r="775">
      <c r="A775" s="4" t="inlineStr">
        <is>
          <t>2023-12</t>
        </is>
      </c>
      <c r="B775" s="4" t="inlineStr">
        <is>
          <t>SKU0401</t>
        </is>
      </c>
      <c r="C775" s="4" t="inlineStr">
        <is>
          <t>インフリキシマブBS点滴静注用「サンド」</t>
        </is>
      </c>
      <c r="D775" s="4" t="inlineStr">
        <is>
          <t>卸C</t>
        </is>
      </c>
      <c r="E775" s="4" t="n">
        <v>11</v>
      </c>
      <c r="F775" s="4" t="n">
        <v>392397</v>
      </c>
    </row>
    <row r="776">
      <c r="A776" s="5" t="inlineStr">
        <is>
          <t>2024-01</t>
        </is>
      </c>
      <c r="B776" s="5" t="inlineStr">
        <is>
          <t>SKU0401</t>
        </is>
      </c>
      <c r="C776" s="5" t="inlineStr">
        <is>
          <t>インフリキシマブBS点滴静注用「サンド」</t>
        </is>
      </c>
      <c r="D776" s="5" t="inlineStr">
        <is>
          <t>卸A</t>
        </is>
      </c>
      <c r="E776" s="5" t="n">
        <v>20</v>
      </c>
      <c r="F776" s="5" t="n">
        <v>706889</v>
      </c>
    </row>
    <row r="777">
      <c r="A777" s="4" t="inlineStr">
        <is>
          <t>2024-01</t>
        </is>
      </c>
      <c r="B777" s="4" t="inlineStr">
        <is>
          <t>SKU0401</t>
        </is>
      </c>
      <c r="C777" s="4" t="inlineStr">
        <is>
          <t>インフリキシマブBS点滴静注用「サンド」</t>
        </is>
      </c>
      <c r="D777" s="4" t="inlineStr">
        <is>
          <t>卸B</t>
        </is>
      </c>
      <c r="E777" s="4" t="n">
        <v>17</v>
      </c>
      <c r="F777" s="4" t="n">
        <v>596467</v>
      </c>
    </row>
    <row r="778">
      <c r="A778" s="5" t="inlineStr">
        <is>
          <t>2024-01</t>
        </is>
      </c>
      <c r="B778" s="5" t="inlineStr">
        <is>
          <t>SKU0401</t>
        </is>
      </c>
      <c r="C778" s="5" t="inlineStr">
        <is>
          <t>インフリキシマブBS点滴静注用「サンド」</t>
        </is>
      </c>
      <c r="D778" s="5" t="inlineStr">
        <is>
          <t>卸C</t>
        </is>
      </c>
      <c r="E778" s="5" t="n">
        <v>10</v>
      </c>
      <c r="F778" s="5" t="n">
        <v>360002</v>
      </c>
    </row>
    <row r="779">
      <c r="A779" s="4" t="inlineStr">
        <is>
          <t>2024-02</t>
        </is>
      </c>
      <c r="B779" s="4" t="inlineStr">
        <is>
          <t>SKU0401</t>
        </is>
      </c>
      <c r="C779" s="4" t="inlineStr">
        <is>
          <t>インフリキシマブBS点滴静注用「サンド」</t>
        </is>
      </c>
      <c r="D779" s="4" t="inlineStr">
        <is>
          <t>卸A</t>
        </is>
      </c>
      <c r="E779" s="4" t="n">
        <v>22</v>
      </c>
      <c r="F779" s="4" t="n">
        <v>786332</v>
      </c>
    </row>
    <row r="780">
      <c r="A780" s="5" t="inlineStr">
        <is>
          <t>2024-02</t>
        </is>
      </c>
      <c r="B780" s="5" t="inlineStr">
        <is>
          <t>SKU0401</t>
        </is>
      </c>
      <c r="C780" s="5" t="inlineStr">
        <is>
          <t>インフリキシマブBS点滴静注用「サンド」</t>
        </is>
      </c>
      <c r="D780" s="5" t="inlineStr">
        <is>
          <t>卸B</t>
        </is>
      </c>
      <c r="E780" s="5" t="n">
        <v>20</v>
      </c>
      <c r="F780" s="5" t="n">
        <v>714827</v>
      </c>
    </row>
    <row r="781">
      <c r="A781" s="4" t="inlineStr">
        <is>
          <t>2024-02</t>
        </is>
      </c>
      <c r="B781" s="4" t="inlineStr">
        <is>
          <t>SKU0401</t>
        </is>
      </c>
      <c r="C781" s="4" t="inlineStr">
        <is>
          <t>インフリキシマブBS点滴静注用「サンド」</t>
        </is>
      </c>
      <c r="D781" s="4" t="inlineStr">
        <is>
          <t>卸C</t>
        </is>
      </c>
      <c r="E781" s="4" t="n">
        <v>16</v>
      </c>
      <c r="F781" s="4" t="n">
        <v>564223</v>
      </c>
    </row>
    <row r="782">
      <c r="A782" s="5" t="inlineStr">
        <is>
          <t>2024-03</t>
        </is>
      </c>
      <c r="B782" s="5" t="inlineStr">
        <is>
          <t>SKU0401</t>
        </is>
      </c>
      <c r="C782" s="5" t="inlineStr">
        <is>
          <t>インフリキシマブBS点滴静注用「サンド」</t>
        </is>
      </c>
      <c r="D782" s="5" t="inlineStr">
        <is>
          <t>卸A</t>
        </is>
      </c>
      <c r="E782" s="5" t="n">
        <v>30</v>
      </c>
      <c r="F782" s="5" t="n">
        <v>1084297</v>
      </c>
    </row>
    <row r="783">
      <c r="A783" s="4" t="inlineStr">
        <is>
          <t>2024-03</t>
        </is>
      </c>
      <c r="B783" s="4" t="inlineStr">
        <is>
          <t>SKU0401</t>
        </is>
      </c>
      <c r="C783" s="4" t="inlineStr">
        <is>
          <t>インフリキシマブBS点滴静注用「サンド」</t>
        </is>
      </c>
      <c r="D783" s="4" t="inlineStr">
        <is>
          <t>卸B</t>
        </is>
      </c>
      <c r="E783" s="4" t="n">
        <v>26</v>
      </c>
      <c r="F783" s="4" t="n">
        <v>943325</v>
      </c>
    </row>
    <row r="784">
      <c r="A784" s="5" t="inlineStr">
        <is>
          <t>2024-03</t>
        </is>
      </c>
      <c r="B784" s="5" t="inlineStr">
        <is>
          <t>SKU0401</t>
        </is>
      </c>
      <c r="C784" s="5" t="inlineStr">
        <is>
          <t>インフリキシマブBS点滴静注用「サンド」</t>
        </is>
      </c>
      <c r="D784" s="5" t="inlineStr">
        <is>
          <t>卸C</t>
        </is>
      </c>
      <c r="E784" s="5" t="n">
        <v>17</v>
      </c>
      <c r="F784" s="5" t="n">
        <v>622409</v>
      </c>
    </row>
    <row r="785">
      <c r="A785" s="4" t="inlineStr">
        <is>
          <t>2024-04</t>
        </is>
      </c>
      <c r="B785" s="4" t="inlineStr">
        <is>
          <t>SKU0401</t>
        </is>
      </c>
      <c r="C785" s="4" t="inlineStr">
        <is>
          <t>インフリキシマブBS点滴静注用「サンド」</t>
        </is>
      </c>
      <c r="D785" s="4" t="inlineStr">
        <is>
          <t>卸A</t>
        </is>
      </c>
      <c r="E785" s="4" t="n">
        <v>16</v>
      </c>
      <c r="F785" s="4" t="n">
        <v>549265</v>
      </c>
    </row>
    <row r="786">
      <c r="A786" s="5" t="inlineStr">
        <is>
          <t>2024-04</t>
        </is>
      </c>
      <c r="B786" s="5" t="inlineStr">
        <is>
          <t>SKU0401</t>
        </is>
      </c>
      <c r="C786" s="5" t="inlineStr">
        <is>
          <t>インフリキシマブBS点滴静注用「サンド」</t>
        </is>
      </c>
      <c r="D786" s="5" t="inlineStr">
        <is>
          <t>卸B</t>
        </is>
      </c>
      <c r="E786" s="5" t="n">
        <v>15</v>
      </c>
      <c r="F786" s="5" t="n">
        <v>525852</v>
      </c>
    </row>
    <row r="787">
      <c r="A787" s="4" t="inlineStr">
        <is>
          <t>2024-04</t>
        </is>
      </c>
      <c r="B787" s="4" t="inlineStr">
        <is>
          <t>SKU0401</t>
        </is>
      </c>
      <c r="C787" s="4" t="inlineStr">
        <is>
          <t>インフリキシマブBS点滴静注用「サンド」</t>
        </is>
      </c>
      <c r="D787" s="4" t="inlineStr">
        <is>
          <t>卸C</t>
        </is>
      </c>
      <c r="E787" s="4" t="n">
        <v>10</v>
      </c>
      <c r="F787" s="4" t="n">
        <v>355762</v>
      </c>
    </row>
    <row r="788">
      <c r="A788" s="5" t="inlineStr">
        <is>
          <t>2024-05</t>
        </is>
      </c>
      <c r="B788" s="5" t="inlineStr">
        <is>
          <t>SKU0401</t>
        </is>
      </c>
      <c r="C788" s="5" t="inlineStr">
        <is>
          <t>インフリキシマブBS点滴静注用「サンド」</t>
        </is>
      </c>
      <c r="D788" s="5" t="inlineStr">
        <is>
          <t>卸A</t>
        </is>
      </c>
      <c r="E788" s="5" t="n">
        <v>22</v>
      </c>
      <c r="F788" s="5" t="n">
        <v>753130</v>
      </c>
    </row>
    <row r="789">
      <c r="A789" s="4" t="inlineStr">
        <is>
          <t>2024-05</t>
        </is>
      </c>
      <c r="B789" s="4" t="inlineStr">
        <is>
          <t>SKU0401</t>
        </is>
      </c>
      <c r="C789" s="4" t="inlineStr">
        <is>
          <t>インフリキシマブBS点滴静注用「サンド」</t>
        </is>
      </c>
      <c r="D789" s="4" t="inlineStr">
        <is>
          <t>卸B</t>
        </is>
      </c>
      <c r="E789" s="4" t="n">
        <v>20</v>
      </c>
      <c r="F789" s="4" t="n">
        <v>674510</v>
      </c>
    </row>
    <row r="790">
      <c r="A790" s="5" t="inlineStr">
        <is>
          <t>2024-05</t>
        </is>
      </c>
      <c r="B790" s="5" t="inlineStr">
        <is>
          <t>SKU0401</t>
        </is>
      </c>
      <c r="C790" s="5" t="inlineStr">
        <is>
          <t>インフリキシマブBS点滴静注用「サンド」</t>
        </is>
      </c>
      <c r="D790" s="5" t="inlineStr">
        <is>
          <t>卸C</t>
        </is>
      </c>
      <c r="E790" s="5" t="n">
        <v>13</v>
      </c>
      <c r="F790" s="5" t="n">
        <v>444165</v>
      </c>
    </row>
    <row r="791">
      <c r="A791" s="4" t="inlineStr">
        <is>
          <t>2024-06</t>
        </is>
      </c>
      <c r="B791" s="4" t="inlineStr">
        <is>
          <t>SKU0401</t>
        </is>
      </c>
      <c r="C791" s="4" t="inlineStr">
        <is>
          <t>インフリキシマブBS点滴静注用「サンド」</t>
        </is>
      </c>
      <c r="D791" s="4" t="inlineStr">
        <is>
          <t>卸A</t>
        </is>
      </c>
      <c r="E791" s="4" t="n">
        <v>50</v>
      </c>
      <c r="F791" s="4" t="n">
        <v>1686845</v>
      </c>
    </row>
    <row r="792">
      <c r="A792" s="5" t="inlineStr">
        <is>
          <t>2024-06</t>
        </is>
      </c>
      <c r="B792" s="5" t="inlineStr">
        <is>
          <t>SKU0401</t>
        </is>
      </c>
      <c r="C792" s="5" t="inlineStr">
        <is>
          <t>インフリキシマブBS点滴静注用「サンド」</t>
        </is>
      </c>
      <c r="D792" s="5" t="inlineStr">
        <is>
          <t>卸B</t>
        </is>
      </c>
      <c r="E792" s="5" t="n">
        <v>43</v>
      </c>
      <c r="F792" s="5" t="n">
        <v>1447336</v>
      </c>
    </row>
    <row r="793">
      <c r="A793" s="4" t="inlineStr">
        <is>
          <t>2024-06</t>
        </is>
      </c>
      <c r="B793" s="4" t="inlineStr">
        <is>
          <t>SKU0401</t>
        </is>
      </c>
      <c r="C793" s="4" t="inlineStr">
        <is>
          <t>インフリキシマブBS点滴静注用「サンド」</t>
        </is>
      </c>
      <c r="D793" s="4" t="inlineStr">
        <is>
          <t>卸C</t>
        </is>
      </c>
      <c r="E793" s="4" t="n">
        <v>30</v>
      </c>
      <c r="F793" s="4" t="n">
        <v>1034691</v>
      </c>
    </row>
    <row r="794">
      <c r="A794" s="5" t="inlineStr">
        <is>
          <t>2024-07</t>
        </is>
      </c>
      <c r="B794" s="5" t="inlineStr">
        <is>
          <t>SKU0401</t>
        </is>
      </c>
      <c r="C794" s="5" t="inlineStr">
        <is>
          <t>インフリキシマブBS点滴静注用「サンド」</t>
        </is>
      </c>
      <c r="D794" s="5" t="inlineStr">
        <is>
          <t>卸A</t>
        </is>
      </c>
      <c r="E794" s="5" t="n">
        <v>49</v>
      </c>
      <c r="F794" s="5" t="n">
        <v>1683920</v>
      </c>
    </row>
    <row r="795">
      <c r="A795" s="4" t="inlineStr">
        <is>
          <t>2024-07</t>
        </is>
      </c>
      <c r="B795" s="4" t="inlineStr">
        <is>
          <t>SKU0401</t>
        </is>
      </c>
      <c r="C795" s="4" t="inlineStr">
        <is>
          <t>インフリキシマブBS点滴静注用「サンド」</t>
        </is>
      </c>
      <c r="D795" s="4" t="inlineStr">
        <is>
          <t>卸B</t>
        </is>
      </c>
      <c r="E795" s="4" t="n">
        <v>39</v>
      </c>
      <c r="F795" s="4" t="n">
        <v>1330966</v>
      </c>
    </row>
    <row r="796">
      <c r="A796" s="5" t="inlineStr">
        <is>
          <t>2024-07</t>
        </is>
      </c>
      <c r="B796" s="5" t="inlineStr">
        <is>
          <t>SKU0401</t>
        </is>
      </c>
      <c r="C796" s="5" t="inlineStr">
        <is>
          <t>インフリキシマブBS点滴静注用「サンド」</t>
        </is>
      </c>
      <c r="D796" s="5" t="inlineStr">
        <is>
          <t>卸C</t>
        </is>
      </c>
      <c r="E796" s="5" t="n">
        <v>28</v>
      </c>
      <c r="F796" s="5" t="n">
        <v>968425</v>
      </c>
    </row>
    <row r="797">
      <c r="A797" s="4" t="inlineStr">
        <is>
          <t>2024-08</t>
        </is>
      </c>
      <c r="B797" s="4" t="inlineStr">
        <is>
          <t>SKU0401</t>
        </is>
      </c>
      <c r="C797" s="4" t="inlineStr">
        <is>
          <t>インフリキシマブBS点滴静注用「サンド」</t>
        </is>
      </c>
      <c r="D797" s="4" t="inlineStr">
        <is>
          <t>卸A</t>
        </is>
      </c>
      <c r="E797" s="4" t="n">
        <v>51</v>
      </c>
      <c r="F797" s="4" t="n">
        <v>1724891</v>
      </c>
    </row>
    <row r="798">
      <c r="A798" s="5" t="inlineStr">
        <is>
          <t>2024-08</t>
        </is>
      </c>
      <c r="B798" s="5" t="inlineStr">
        <is>
          <t>SKU0401</t>
        </is>
      </c>
      <c r="C798" s="5" t="inlineStr">
        <is>
          <t>インフリキシマブBS点滴静注用「サンド」</t>
        </is>
      </c>
      <c r="D798" s="5" t="inlineStr">
        <is>
          <t>卸B</t>
        </is>
      </c>
      <c r="E798" s="5" t="n">
        <v>49</v>
      </c>
      <c r="F798" s="5" t="n">
        <v>1669152</v>
      </c>
    </row>
    <row r="799">
      <c r="A799" s="4" t="inlineStr">
        <is>
          <t>2024-08</t>
        </is>
      </c>
      <c r="B799" s="4" t="inlineStr">
        <is>
          <t>SKU0401</t>
        </is>
      </c>
      <c r="C799" s="4" t="inlineStr">
        <is>
          <t>インフリキシマブBS点滴静注用「サンド」</t>
        </is>
      </c>
      <c r="D799" s="4" t="inlineStr">
        <is>
          <t>卸C</t>
        </is>
      </c>
      <c r="E799" s="4" t="n">
        <v>29</v>
      </c>
      <c r="F799" s="4" t="n">
        <v>993898</v>
      </c>
    </row>
    <row r="800">
      <c r="A800" s="5" t="inlineStr">
        <is>
          <t>2024-09</t>
        </is>
      </c>
      <c r="B800" s="5" t="inlineStr">
        <is>
          <t>SKU0401</t>
        </is>
      </c>
      <c r="C800" s="5" t="inlineStr">
        <is>
          <t>インフリキシマブBS点滴静注用「サンド」</t>
        </is>
      </c>
      <c r="D800" s="5" t="inlineStr">
        <is>
          <t>卸A</t>
        </is>
      </c>
      <c r="E800" s="5" t="n">
        <v>56</v>
      </c>
      <c r="F800" s="5" t="n">
        <v>1905501</v>
      </c>
    </row>
    <row r="801">
      <c r="A801" s="4" t="inlineStr">
        <is>
          <t>2024-09</t>
        </is>
      </c>
      <c r="B801" s="4" t="inlineStr">
        <is>
          <t>SKU0401</t>
        </is>
      </c>
      <c r="C801" s="4" t="inlineStr">
        <is>
          <t>インフリキシマブBS点滴静注用「サンド」</t>
        </is>
      </c>
      <c r="D801" s="4" t="inlineStr">
        <is>
          <t>卸B</t>
        </is>
      </c>
      <c r="E801" s="4" t="n">
        <v>42</v>
      </c>
      <c r="F801" s="4" t="n">
        <v>1436771</v>
      </c>
    </row>
    <row r="802">
      <c r="A802" s="5" t="inlineStr">
        <is>
          <t>2024-09</t>
        </is>
      </c>
      <c r="B802" s="5" t="inlineStr">
        <is>
          <t>SKU0401</t>
        </is>
      </c>
      <c r="C802" s="5" t="inlineStr">
        <is>
          <t>インフリキシマブBS点滴静注用「サンド」</t>
        </is>
      </c>
      <c r="D802" s="5" t="inlineStr">
        <is>
          <t>卸C</t>
        </is>
      </c>
      <c r="E802" s="5" t="n">
        <v>32</v>
      </c>
      <c r="F802" s="5" t="n">
        <v>1101140</v>
      </c>
    </row>
    <row r="803">
      <c r="A803" s="4" t="inlineStr">
        <is>
          <t>2024-10</t>
        </is>
      </c>
      <c r="B803" s="4" t="inlineStr">
        <is>
          <t>SKU0401</t>
        </is>
      </c>
      <c r="C803" s="4" t="inlineStr">
        <is>
          <t>インフリキシマブBS点滴静注用「サンド」</t>
        </is>
      </c>
      <c r="D803" s="4" t="inlineStr">
        <is>
          <t>卸A</t>
        </is>
      </c>
      <c r="E803" s="4" t="n">
        <v>61</v>
      </c>
      <c r="F803" s="4" t="n">
        <v>2072374</v>
      </c>
    </row>
    <row r="804">
      <c r="A804" s="5" t="inlineStr">
        <is>
          <t>2024-10</t>
        </is>
      </c>
      <c r="B804" s="5" t="inlineStr">
        <is>
          <t>SKU0401</t>
        </is>
      </c>
      <c r="C804" s="5" t="inlineStr">
        <is>
          <t>インフリキシマブBS点滴静注用「サンド」</t>
        </is>
      </c>
      <c r="D804" s="5" t="inlineStr">
        <is>
          <t>卸B</t>
        </is>
      </c>
      <c r="E804" s="5" t="n">
        <v>53</v>
      </c>
      <c r="F804" s="5" t="n">
        <v>1799306</v>
      </c>
    </row>
    <row r="805">
      <c r="A805" s="4" t="inlineStr">
        <is>
          <t>2024-10</t>
        </is>
      </c>
      <c r="B805" s="4" t="inlineStr">
        <is>
          <t>SKU0401</t>
        </is>
      </c>
      <c r="C805" s="4" t="inlineStr">
        <is>
          <t>インフリキシマブBS点滴静注用「サンド」</t>
        </is>
      </c>
      <c r="D805" s="4" t="inlineStr">
        <is>
          <t>卸C</t>
        </is>
      </c>
      <c r="E805" s="4" t="n">
        <v>33</v>
      </c>
      <c r="F805" s="4" t="n">
        <v>1136034</v>
      </c>
    </row>
    <row r="806">
      <c r="A806" s="5" t="inlineStr">
        <is>
          <t>2024-11</t>
        </is>
      </c>
      <c r="B806" s="5" t="inlineStr">
        <is>
          <t>SKU0401</t>
        </is>
      </c>
      <c r="C806" s="5" t="inlineStr">
        <is>
          <t>インフリキシマブBS点滴静注用「サンド」</t>
        </is>
      </c>
      <c r="D806" s="5" t="inlineStr">
        <is>
          <t>卸A</t>
        </is>
      </c>
      <c r="E806" s="5" t="n">
        <v>67</v>
      </c>
      <c r="F806" s="5" t="n">
        <v>2269913</v>
      </c>
    </row>
    <row r="807">
      <c r="A807" s="4" t="inlineStr">
        <is>
          <t>2024-11</t>
        </is>
      </c>
      <c r="B807" s="4" t="inlineStr">
        <is>
          <t>SKU0401</t>
        </is>
      </c>
      <c r="C807" s="4" t="inlineStr">
        <is>
          <t>インフリキシマブBS点滴静注用「サンド」</t>
        </is>
      </c>
      <c r="D807" s="4" t="inlineStr">
        <is>
          <t>卸B</t>
        </is>
      </c>
      <c r="E807" s="4" t="n">
        <v>54</v>
      </c>
      <c r="F807" s="4" t="n">
        <v>1830230</v>
      </c>
    </row>
    <row r="808">
      <c r="A808" s="5" t="inlineStr">
        <is>
          <t>2024-11</t>
        </is>
      </c>
      <c r="B808" s="5" t="inlineStr">
        <is>
          <t>SKU0401</t>
        </is>
      </c>
      <c r="C808" s="5" t="inlineStr">
        <is>
          <t>インフリキシマブBS点滴静注用「サンド」</t>
        </is>
      </c>
      <c r="D808" s="5" t="inlineStr">
        <is>
          <t>卸C</t>
        </is>
      </c>
      <c r="E808" s="5" t="n">
        <v>40</v>
      </c>
      <c r="F808" s="5" t="n">
        <v>1347120</v>
      </c>
    </row>
    <row r="809">
      <c r="A809" s="4" t="inlineStr">
        <is>
          <t>2024-12</t>
        </is>
      </c>
      <c r="B809" s="4" t="inlineStr">
        <is>
          <t>SKU0401</t>
        </is>
      </c>
      <c r="C809" s="4" t="inlineStr">
        <is>
          <t>インフリキシマブBS点滴静注用「サンド」</t>
        </is>
      </c>
      <c r="D809" s="4" t="inlineStr">
        <is>
          <t>卸A</t>
        </is>
      </c>
      <c r="E809" s="4" t="n">
        <v>74</v>
      </c>
      <c r="F809" s="4" t="n">
        <v>2504097</v>
      </c>
    </row>
    <row r="810">
      <c r="A810" s="5" t="inlineStr">
        <is>
          <t>2024-12</t>
        </is>
      </c>
      <c r="B810" s="5" t="inlineStr">
        <is>
          <t>SKU0401</t>
        </is>
      </c>
      <c r="C810" s="5" t="inlineStr">
        <is>
          <t>インフリキシマブBS点滴静注用「サンド」</t>
        </is>
      </c>
      <c r="D810" s="5" t="inlineStr">
        <is>
          <t>卸B</t>
        </is>
      </c>
      <c r="E810" s="5" t="n">
        <v>57</v>
      </c>
      <c r="F810" s="5" t="n">
        <v>1928874</v>
      </c>
    </row>
    <row r="811">
      <c r="A811" s="4" t="inlineStr">
        <is>
          <t>2024-12</t>
        </is>
      </c>
      <c r="B811" s="4" t="inlineStr">
        <is>
          <t>SKU0401</t>
        </is>
      </c>
      <c r="C811" s="4" t="inlineStr">
        <is>
          <t>インフリキシマブBS点滴静注用「サンド」</t>
        </is>
      </c>
      <c r="D811" s="4" t="inlineStr">
        <is>
          <t>卸C</t>
        </is>
      </c>
      <c r="E811" s="4" t="n">
        <v>45</v>
      </c>
      <c r="F811" s="4" t="n">
        <v>1516473</v>
      </c>
    </row>
    <row r="812">
      <c r="A812" s="5" t="inlineStr">
        <is>
          <t>2025-01</t>
        </is>
      </c>
      <c r="B812" s="5" t="inlineStr">
        <is>
          <t>SKU0401</t>
        </is>
      </c>
      <c r="C812" s="5" t="inlineStr">
        <is>
          <t>インフリキシマブBS点滴静注用「サンド」</t>
        </is>
      </c>
      <c r="D812" s="5" t="inlineStr">
        <is>
          <t>卸A</t>
        </is>
      </c>
      <c r="E812" s="5" t="n">
        <v>79</v>
      </c>
      <c r="F812" s="5" t="n">
        <v>2681636</v>
      </c>
    </row>
    <row r="813">
      <c r="A813" s="4" t="inlineStr">
        <is>
          <t>2025-01</t>
        </is>
      </c>
      <c r="B813" s="4" t="inlineStr">
        <is>
          <t>SKU0401</t>
        </is>
      </c>
      <c r="C813" s="4" t="inlineStr">
        <is>
          <t>インフリキシマブBS点滴静注用「サンド」</t>
        </is>
      </c>
      <c r="D813" s="4" t="inlineStr">
        <is>
          <t>卸B</t>
        </is>
      </c>
      <c r="E813" s="4" t="n">
        <v>59</v>
      </c>
      <c r="F813" s="4" t="n">
        <v>1999204</v>
      </c>
    </row>
    <row r="814">
      <c r="A814" s="5" t="inlineStr">
        <is>
          <t>2025-01</t>
        </is>
      </c>
      <c r="B814" s="5" t="inlineStr">
        <is>
          <t>SKU0401</t>
        </is>
      </c>
      <c r="C814" s="5" t="inlineStr">
        <is>
          <t>インフリキシマブBS点滴静注用「サンド」</t>
        </is>
      </c>
      <c r="D814" s="5" t="inlineStr">
        <is>
          <t>卸C</t>
        </is>
      </c>
      <c r="E814" s="5" t="n">
        <v>43</v>
      </c>
      <c r="F814" s="5" t="n">
        <v>1478417</v>
      </c>
    </row>
    <row r="815">
      <c r="A815" s="4" t="inlineStr">
        <is>
          <t>2025-02</t>
        </is>
      </c>
      <c r="B815" s="4" t="inlineStr">
        <is>
          <t>SKU0401</t>
        </is>
      </c>
      <c r="C815" s="4" t="inlineStr">
        <is>
          <t>インフリキシマブBS点滴静注用「サンド」</t>
        </is>
      </c>
      <c r="D815" s="4" t="inlineStr">
        <is>
          <t>卸A</t>
        </is>
      </c>
      <c r="E815" s="4" t="n">
        <v>73</v>
      </c>
      <c r="F815" s="4" t="n">
        <v>2476758</v>
      </c>
    </row>
    <row r="816">
      <c r="A816" s="5" t="inlineStr">
        <is>
          <t>2025-02</t>
        </is>
      </c>
      <c r="B816" s="5" t="inlineStr">
        <is>
          <t>SKU0401</t>
        </is>
      </c>
      <c r="C816" s="5" t="inlineStr">
        <is>
          <t>インフリキシマブBS点滴静注用「サンド」</t>
        </is>
      </c>
      <c r="D816" s="5" t="inlineStr">
        <is>
          <t>卸B</t>
        </is>
      </c>
      <c r="E816" s="5" t="n">
        <v>68</v>
      </c>
      <c r="F816" s="5" t="n">
        <v>2312096</v>
      </c>
    </row>
    <row r="817">
      <c r="A817" s="4" t="inlineStr">
        <is>
          <t>2025-02</t>
        </is>
      </c>
      <c r="B817" s="4" t="inlineStr">
        <is>
          <t>SKU0401</t>
        </is>
      </c>
      <c r="C817" s="4" t="inlineStr">
        <is>
          <t>インフリキシマブBS点滴静注用「サンド」</t>
        </is>
      </c>
      <c r="D817" s="4" t="inlineStr">
        <is>
          <t>卸C</t>
        </is>
      </c>
      <c r="E817" s="4" t="n">
        <v>44</v>
      </c>
      <c r="F817" s="4" t="n">
        <v>1511485</v>
      </c>
    </row>
    <row r="818">
      <c r="A818" s="5" t="inlineStr">
        <is>
          <t>2025-03</t>
        </is>
      </c>
      <c r="B818" s="5" t="inlineStr">
        <is>
          <t>SKU0401</t>
        </is>
      </c>
      <c r="C818" s="5" t="inlineStr">
        <is>
          <t>インフリキシマブBS点滴静注用「サンド」</t>
        </is>
      </c>
      <c r="D818" s="5" t="inlineStr">
        <is>
          <t>卸A</t>
        </is>
      </c>
      <c r="E818" s="5" t="n">
        <v>118</v>
      </c>
      <c r="F818" s="5" t="n">
        <v>4000528</v>
      </c>
    </row>
    <row r="819">
      <c r="A819" s="4" t="inlineStr">
        <is>
          <t>2025-03</t>
        </is>
      </c>
      <c r="B819" s="4" t="inlineStr">
        <is>
          <t>SKU0401</t>
        </is>
      </c>
      <c r="C819" s="4" t="inlineStr">
        <is>
          <t>インフリキシマブBS点滴静注用「サンド」</t>
        </is>
      </c>
      <c r="D819" s="4" t="inlineStr">
        <is>
          <t>卸B</t>
        </is>
      </c>
      <c r="E819" s="4" t="n">
        <v>116</v>
      </c>
      <c r="F819" s="4" t="n">
        <v>3959228</v>
      </c>
    </row>
    <row r="820">
      <c r="A820" s="5" t="inlineStr">
        <is>
          <t>2025-03</t>
        </is>
      </c>
      <c r="B820" s="5" t="inlineStr">
        <is>
          <t>SKU0401</t>
        </is>
      </c>
      <c r="C820" s="5" t="inlineStr">
        <is>
          <t>インフリキシマブBS点滴静注用「サンド」</t>
        </is>
      </c>
      <c r="D820" s="5" t="inlineStr">
        <is>
          <t>卸C</t>
        </is>
      </c>
      <c r="E820" s="5" t="n">
        <v>80</v>
      </c>
      <c r="F820" s="5" t="n">
        <v>2721975</v>
      </c>
    </row>
    <row r="821">
      <c r="A821" s="4" t="inlineStr">
        <is>
          <t>2025-04</t>
        </is>
      </c>
      <c r="B821" s="4" t="inlineStr">
        <is>
          <t>SKU0401</t>
        </is>
      </c>
      <c r="C821" s="4" t="inlineStr">
        <is>
          <t>インフリキシマブBS点滴静注用「サンド」</t>
        </is>
      </c>
      <c r="D821" s="4" t="inlineStr">
        <is>
          <t>卸A</t>
        </is>
      </c>
      <c r="E821" s="4" t="n">
        <v>60</v>
      </c>
      <c r="F821" s="4" t="n">
        <v>1992551</v>
      </c>
    </row>
    <row r="822">
      <c r="A822" s="5" t="inlineStr">
        <is>
          <t>2025-04</t>
        </is>
      </c>
      <c r="B822" s="5" t="inlineStr">
        <is>
          <t>SKU0401</t>
        </is>
      </c>
      <c r="C822" s="5" t="inlineStr">
        <is>
          <t>インフリキシマブBS点滴静注用「サンド」</t>
        </is>
      </c>
      <c r="D822" s="5" t="inlineStr">
        <is>
          <t>卸B</t>
        </is>
      </c>
      <c r="E822" s="5" t="n">
        <v>58</v>
      </c>
      <c r="F822" s="5" t="n">
        <v>1924746</v>
      </c>
    </row>
    <row r="823">
      <c r="A823" s="4" t="inlineStr">
        <is>
          <t>2025-04</t>
        </is>
      </c>
      <c r="B823" s="4" t="inlineStr">
        <is>
          <t>SKU0401</t>
        </is>
      </c>
      <c r="C823" s="4" t="inlineStr">
        <is>
          <t>インフリキシマブBS点滴静注用「サンド」</t>
        </is>
      </c>
      <c r="D823" s="4" t="inlineStr">
        <is>
          <t>卸C</t>
        </is>
      </c>
      <c r="E823" s="4" t="n">
        <v>39</v>
      </c>
      <c r="F823" s="4" t="n">
        <v>1288783</v>
      </c>
    </row>
    <row r="824">
      <c r="A824" s="5" t="inlineStr">
        <is>
          <t>2025-05</t>
        </is>
      </c>
      <c r="B824" s="5" t="inlineStr">
        <is>
          <t>SKU0401</t>
        </is>
      </c>
      <c r="C824" s="5" t="inlineStr">
        <is>
          <t>インフリキシマブBS点滴静注用「サンド」</t>
        </is>
      </c>
      <c r="D824" s="5" t="inlineStr">
        <is>
          <t>卸A</t>
        </is>
      </c>
      <c r="E824" s="5" t="n">
        <v>72</v>
      </c>
      <c r="F824" s="5" t="n">
        <v>2388820</v>
      </c>
    </row>
    <row r="825">
      <c r="A825" s="4" t="inlineStr">
        <is>
          <t>2025-05</t>
        </is>
      </c>
      <c r="B825" s="4" t="inlineStr">
        <is>
          <t>SKU0401</t>
        </is>
      </c>
      <c r="C825" s="4" t="inlineStr">
        <is>
          <t>インフリキシマブBS点滴静注用「サンド」</t>
        </is>
      </c>
      <c r="D825" s="4" t="inlineStr">
        <is>
          <t>卸B</t>
        </is>
      </c>
      <c r="E825" s="4" t="n">
        <v>66</v>
      </c>
      <c r="F825" s="4" t="n">
        <v>2190967</v>
      </c>
    </row>
    <row r="826">
      <c r="A826" s="5" t="inlineStr">
        <is>
          <t>2025-05</t>
        </is>
      </c>
      <c r="B826" s="5" t="inlineStr">
        <is>
          <t>SKU0401</t>
        </is>
      </c>
      <c r="C826" s="5" t="inlineStr">
        <is>
          <t>インフリキシマブBS点滴静注用「サンド」</t>
        </is>
      </c>
      <c r="D826" s="5" t="inlineStr">
        <is>
          <t>卸C</t>
        </is>
      </c>
      <c r="E826" s="5" t="n">
        <v>40</v>
      </c>
      <c r="F826" s="5" t="n">
        <v>1326907</v>
      </c>
    </row>
    <row r="827">
      <c r="A827" s="4" t="inlineStr">
        <is>
          <t>2025-06</t>
        </is>
      </c>
      <c r="B827" s="4" t="inlineStr">
        <is>
          <t>SKU0401</t>
        </is>
      </c>
      <c r="C827" s="4" t="inlineStr">
        <is>
          <t>インフリキシマブBS点滴静注用「サンド」</t>
        </is>
      </c>
      <c r="D827" s="4" t="inlineStr">
        <is>
          <t>卸A</t>
        </is>
      </c>
      <c r="E827" s="4" t="n">
        <v>111</v>
      </c>
      <c r="F827" s="4" t="n">
        <v>3661458</v>
      </c>
    </row>
    <row r="828">
      <c r="A828" s="5" t="inlineStr">
        <is>
          <t>2025-06</t>
        </is>
      </c>
      <c r="B828" s="5" t="inlineStr">
        <is>
          <t>SKU0401</t>
        </is>
      </c>
      <c r="C828" s="5" t="inlineStr">
        <is>
          <t>インフリキシマブBS点滴静注用「サンド」</t>
        </is>
      </c>
      <c r="D828" s="5" t="inlineStr">
        <is>
          <t>卸B</t>
        </is>
      </c>
      <c r="E828" s="5" t="n">
        <v>105</v>
      </c>
      <c r="F828" s="5" t="n">
        <v>3453533</v>
      </c>
    </row>
    <row r="829">
      <c r="A829" s="4" t="inlineStr">
        <is>
          <t>2025-06</t>
        </is>
      </c>
      <c r="B829" s="4" t="inlineStr">
        <is>
          <t>SKU0401</t>
        </is>
      </c>
      <c r="C829" s="4" t="inlineStr">
        <is>
          <t>インフリキシマブBS点滴静注用「サンド」</t>
        </is>
      </c>
      <c r="D829" s="4" t="inlineStr">
        <is>
          <t>卸C</t>
        </is>
      </c>
      <c r="E829" s="4" t="n">
        <v>74</v>
      </c>
      <c r="F829" s="4" t="n">
        <v>2430780</v>
      </c>
    </row>
    <row r="830">
      <c r="A830" s="5" t="inlineStr">
        <is>
          <t>2025-07</t>
        </is>
      </c>
      <c r="B830" s="5" t="inlineStr">
        <is>
          <t>SKU0401</t>
        </is>
      </c>
      <c r="C830" s="5" t="inlineStr">
        <is>
          <t>インフリキシマブBS点滴静注用「サンド」</t>
        </is>
      </c>
      <c r="D830" s="5" t="inlineStr">
        <is>
          <t>卸A</t>
        </is>
      </c>
      <c r="E830" s="5" t="n">
        <v>112</v>
      </c>
      <c r="F830" s="5" t="n">
        <v>3707494</v>
      </c>
    </row>
    <row r="831">
      <c r="A831" s="4" t="inlineStr">
        <is>
          <t>2025-07</t>
        </is>
      </c>
      <c r="B831" s="4" t="inlineStr">
        <is>
          <t>SKU0401</t>
        </is>
      </c>
      <c r="C831" s="4" t="inlineStr">
        <is>
          <t>インフリキシマブBS点滴静注用「サンド」</t>
        </is>
      </c>
      <c r="D831" s="4" t="inlineStr">
        <is>
          <t>卸B</t>
        </is>
      </c>
      <c r="E831" s="4" t="n">
        <v>108</v>
      </c>
      <c r="F831" s="4" t="n">
        <v>3564588</v>
      </c>
    </row>
    <row r="832">
      <c r="A832" s="5" t="inlineStr">
        <is>
          <t>2025-07</t>
        </is>
      </c>
      <c r="B832" s="5" t="inlineStr">
        <is>
          <t>SKU0401</t>
        </is>
      </c>
      <c r="C832" s="5" t="inlineStr">
        <is>
          <t>インフリキシマブBS点滴静注用「サンド」</t>
        </is>
      </c>
      <c r="D832" s="5" t="inlineStr">
        <is>
          <t>卸C</t>
        </is>
      </c>
      <c r="E832" s="5" t="n">
        <v>74</v>
      </c>
      <c r="F832" s="5" t="n">
        <v>2438363</v>
      </c>
    </row>
    <row r="833">
      <c r="A833" s="4" t="inlineStr">
        <is>
          <t>2025-08</t>
        </is>
      </c>
      <c r="B833" s="4" t="inlineStr">
        <is>
          <t>SKU0401</t>
        </is>
      </c>
      <c r="C833" s="4" t="inlineStr">
        <is>
          <t>インフリキシマブBS点滴静注用「サンド」</t>
        </is>
      </c>
      <c r="D833" s="4" t="inlineStr">
        <is>
          <t>卸A</t>
        </is>
      </c>
      <c r="E833" s="4" t="n">
        <v>141</v>
      </c>
      <c r="F833" s="4" t="n">
        <v>4640637</v>
      </c>
    </row>
    <row r="834">
      <c r="A834" s="5" t="inlineStr">
        <is>
          <t>2025-08</t>
        </is>
      </c>
      <c r="B834" s="5" t="inlineStr">
        <is>
          <t>SKU0401</t>
        </is>
      </c>
      <c r="C834" s="5" t="inlineStr">
        <is>
          <t>インフリキシマブBS点滴静注用「サンド」</t>
        </is>
      </c>
      <c r="D834" s="5" t="inlineStr">
        <is>
          <t>卸B</t>
        </is>
      </c>
      <c r="E834" s="5" t="n">
        <v>120</v>
      </c>
      <c r="F834" s="5" t="n">
        <v>3945765</v>
      </c>
    </row>
    <row r="835">
      <c r="A835" s="4" t="inlineStr">
        <is>
          <t>2025-08</t>
        </is>
      </c>
      <c r="B835" s="4" t="inlineStr">
        <is>
          <t>SKU0401</t>
        </is>
      </c>
      <c r="C835" s="4" t="inlineStr">
        <is>
          <t>インフリキシマブBS点滴静注用「サンド」</t>
        </is>
      </c>
      <c r="D835" s="4" t="inlineStr">
        <is>
          <t>卸C</t>
        </is>
      </c>
      <c r="E835" s="4" t="n">
        <v>76</v>
      </c>
      <c r="F835" s="4" t="n">
        <v>2499373</v>
      </c>
    </row>
    <row r="836">
      <c r="A836" s="5" t="inlineStr">
        <is>
          <t>2025-09</t>
        </is>
      </c>
      <c r="B836" s="5" t="inlineStr">
        <is>
          <t>SKU0401</t>
        </is>
      </c>
      <c r="C836" s="5" t="inlineStr">
        <is>
          <t>インフリキシマブBS点滴静注用「サンド」</t>
        </is>
      </c>
      <c r="D836" s="5" t="inlineStr">
        <is>
          <t>卸A</t>
        </is>
      </c>
      <c r="E836" s="5" t="n">
        <v>130</v>
      </c>
      <c r="F836" s="5" t="n">
        <v>4300111</v>
      </c>
    </row>
    <row r="837">
      <c r="A837" s="4" t="inlineStr">
        <is>
          <t>2025-09</t>
        </is>
      </c>
      <c r="B837" s="4" t="inlineStr">
        <is>
          <t>SKU0401</t>
        </is>
      </c>
      <c r="C837" s="4" t="inlineStr">
        <is>
          <t>インフリキシマブBS点滴静注用「サンド」</t>
        </is>
      </c>
      <c r="D837" s="4" t="inlineStr">
        <is>
          <t>卸B</t>
        </is>
      </c>
      <c r="E837" s="4" t="n">
        <v>122</v>
      </c>
      <c r="F837" s="4" t="n">
        <v>4010525</v>
      </c>
    </row>
    <row r="838">
      <c r="A838" s="5" t="inlineStr">
        <is>
          <t>2025-09</t>
        </is>
      </c>
      <c r="B838" s="5" t="inlineStr">
        <is>
          <t>SKU0401</t>
        </is>
      </c>
      <c r="C838" s="5" t="inlineStr">
        <is>
          <t>インフリキシマブBS点滴静注用「サンド」</t>
        </is>
      </c>
      <c r="D838" s="5" t="inlineStr">
        <is>
          <t>卸C</t>
        </is>
      </c>
      <c r="E838" s="5" t="n">
        <v>94</v>
      </c>
      <c r="F838" s="5" t="n">
        <v>3110221</v>
      </c>
    </row>
    <row r="839">
      <c r="A839" s="4" t="inlineStr">
        <is>
          <t>2025-10</t>
        </is>
      </c>
      <c r="B839" s="4" t="inlineStr">
        <is>
          <t>SKU0401</t>
        </is>
      </c>
      <c r="C839" s="4" t="inlineStr">
        <is>
          <t>インフリキシマブBS点滴静注用「サンド」</t>
        </is>
      </c>
      <c r="D839" s="4" t="inlineStr">
        <is>
          <t>卸A</t>
        </is>
      </c>
      <c r="E839" s="4" t="n">
        <v>142</v>
      </c>
      <c r="F839" s="4" t="n">
        <v>4682231</v>
      </c>
    </row>
    <row r="840">
      <c r="A840" s="5" t="inlineStr">
        <is>
          <t>2025-10</t>
        </is>
      </c>
      <c r="B840" s="5" t="inlineStr">
        <is>
          <t>SKU0401</t>
        </is>
      </c>
      <c r="C840" s="5" t="inlineStr">
        <is>
          <t>インフリキシマブBS点滴静注用「サンド」</t>
        </is>
      </c>
      <c r="D840" s="5" t="inlineStr">
        <is>
          <t>卸B</t>
        </is>
      </c>
      <c r="E840" s="5" t="n">
        <v>120</v>
      </c>
      <c r="F840" s="5" t="n">
        <v>3949736</v>
      </c>
    </row>
    <row r="841">
      <c r="A841" s="4" t="inlineStr">
        <is>
          <t>2025-10</t>
        </is>
      </c>
      <c r="B841" s="4" t="inlineStr">
        <is>
          <t>SKU0401</t>
        </is>
      </c>
      <c r="C841" s="4" t="inlineStr">
        <is>
          <t>インフリキシマブBS点滴静注用「サンド」</t>
        </is>
      </c>
      <c r="D841" s="4" t="inlineStr">
        <is>
          <t>卸C</t>
        </is>
      </c>
      <c r="E841" s="4" t="n">
        <v>95</v>
      </c>
      <c r="F841" s="4" t="n">
        <v>3124027</v>
      </c>
    </row>
    <row r="842">
      <c r="A842" s="5" t="inlineStr">
        <is>
          <t>2025-11</t>
        </is>
      </c>
      <c r="B842" s="5" t="inlineStr">
        <is>
          <t>SKU0401</t>
        </is>
      </c>
      <c r="C842" s="5" t="inlineStr">
        <is>
          <t>インフリキシマブBS点滴静注用「サンド」</t>
        </is>
      </c>
      <c r="D842" s="5" t="inlineStr">
        <is>
          <t>卸A</t>
        </is>
      </c>
      <c r="E842" s="5" t="n">
        <v>166</v>
      </c>
      <c r="F842" s="5" t="n">
        <v>5491852</v>
      </c>
    </row>
    <row r="843">
      <c r="A843" s="4" t="inlineStr">
        <is>
          <t>2025-11</t>
        </is>
      </c>
      <c r="B843" s="4" t="inlineStr">
        <is>
          <t>SKU0401</t>
        </is>
      </c>
      <c r="C843" s="4" t="inlineStr">
        <is>
          <t>インフリキシマブBS点滴静注用「サンド」</t>
        </is>
      </c>
      <c r="D843" s="4" t="inlineStr">
        <is>
          <t>卸B</t>
        </is>
      </c>
      <c r="E843" s="4" t="n">
        <v>127</v>
      </c>
      <c r="F843" s="4" t="n">
        <v>4204718</v>
      </c>
    </row>
    <row r="844">
      <c r="A844" s="5" t="inlineStr">
        <is>
          <t>2025-11</t>
        </is>
      </c>
      <c r="B844" s="5" t="inlineStr">
        <is>
          <t>SKU0401</t>
        </is>
      </c>
      <c r="C844" s="5" t="inlineStr">
        <is>
          <t>インフリキシマブBS点滴静注用「サンド」</t>
        </is>
      </c>
      <c r="D844" s="5" t="inlineStr">
        <is>
          <t>卸C</t>
        </is>
      </c>
      <c r="E844" s="5" t="n">
        <v>109</v>
      </c>
      <c r="F844" s="5" t="n">
        <v>3590744</v>
      </c>
    </row>
    <row r="845">
      <c r="A845" s="4" t="inlineStr">
        <is>
          <t>2025-12</t>
        </is>
      </c>
      <c r="B845" s="4" t="inlineStr">
        <is>
          <t>SKU0401</t>
        </is>
      </c>
      <c r="C845" s="4" t="inlineStr">
        <is>
          <t>インフリキシマブBS点滴静注用「サンド」</t>
        </is>
      </c>
      <c r="D845" s="4" t="inlineStr">
        <is>
          <t>卸A</t>
        </is>
      </c>
      <c r="E845" s="4" t="n">
        <v>136</v>
      </c>
      <c r="F845" s="4" t="n">
        <v>4481646</v>
      </c>
    </row>
    <row r="846">
      <c r="A846" s="5" t="inlineStr">
        <is>
          <t>2025-12</t>
        </is>
      </c>
      <c r="B846" s="5" t="inlineStr">
        <is>
          <t>SKU0401</t>
        </is>
      </c>
      <c r="C846" s="5" t="inlineStr">
        <is>
          <t>インフリキシマブBS点滴静注用「サンド」</t>
        </is>
      </c>
      <c r="D846" s="5" t="inlineStr">
        <is>
          <t>卸B</t>
        </is>
      </c>
      <c r="E846" s="5" t="n">
        <v>97</v>
      </c>
      <c r="F846" s="5" t="n">
        <v>3209673</v>
      </c>
    </row>
    <row r="847">
      <c r="A847" s="4" t="inlineStr">
        <is>
          <t>2025-12</t>
        </is>
      </c>
      <c r="B847" s="4" t="inlineStr">
        <is>
          <t>SKU0401</t>
        </is>
      </c>
      <c r="C847" s="4" t="inlineStr">
        <is>
          <t>インフリキシマブBS点滴静注用「サンド」</t>
        </is>
      </c>
      <c r="D847" s="4" t="inlineStr">
        <is>
          <t>卸C</t>
        </is>
      </c>
      <c r="E847" s="4" t="n">
        <v>79</v>
      </c>
      <c r="F847" s="4" t="n">
        <v>2608399</v>
      </c>
    </row>
    <row r="848">
      <c r="A848" s="5" t="inlineStr">
        <is>
          <t>2026-01</t>
        </is>
      </c>
      <c r="B848" s="5" t="inlineStr">
        <is>
          <t>SKU0401</t>
        </is>
      </c>
      <c r="C848" s="5" t="inlineStr">
        <is>
          <t>インフリキシマブBS点滴静注用「サンド」</t>
        </is>
      </c>
      <c r="D848" s="5" t="inlineStr">
        <is>
          <t>卸A</t>
        </is>
      </c>
      <c r="E848" s="5" t="n">
        <v>161</v>
      </c>
      <c r="F848" s="5" t="n">
        <v>5298122</v>
      </c>
    </row>
    <row r="849">
      <c r="A849" s="4" t="inlineStr">
        <is>
          <t>2026-01</t>
        </is>
      </c>
      <c r="B849" s="4" t="inlineStr">
        <is>
          <t>SKU0401</t>
        </is>
      </c>
      <c r="C849" s="4" t="inlineStr">
        <is>
          <t>インフリキシマブBS点滴静注用「サンド」</t>
        </is>
      </c>
      <c r="D849" s="4" t="inlineStr">
        <is>
          <t>卸B</t>
        </is>
      </c>
      <c r="E849" s="4" t="n">
        <v>157</v>
      </c>
      <c r="F849" s="4" t="n">
        <v>5166907</v>
      </c>
    </row>
    <row r="850">
      <c r="A850" s="5" t="inlineStr">
        <is>
          <t>2026-01</t>
        </is>
      </c>
      <c r="B850" s="5" t="inlineStr">
        <is>
          <t>SKU0401</t>
        </is>
      </c>
      <c r="C850" s="5" t="inlineStr">
        <is>
          <t>インフリキシマブBS点滴静注用「サンド」</t>
        </is>
      </c>
      <c r="D850" s="5" t="inlineStr">
        <is>
          <t>卸C</t>
        </is>
      </c>
      <c r="E850" s="5" t="n">
        <v>107</v>
      </c>
      <c r="F850" s="5" t="n">
        <v>3537972</v>
      </c>
    </row>
    <row r="851">
      <c r="A851" s="4" t="inlineStr">
        <is>
          <t>2026-02</t>
        </is>
      </c>
      <c r="B851" s="4" t="inlineStr">
        <is>
          <t>SKU0401</t>
        </is>
      </c>
      <c r="C851" s="4" t="inlineStr">
        <is>
          <t>インフリキシマブBS点滴静注用「サンド」</t>
        </is>
      </c>
      <c r="D851" s="4" t="inlineStr">
        <is>
          <t>卸A</t>
        </is>
      </c>
      <c r="E851" s="4" t="n">
        <v>171</v>
      </c>
      <c r="F851" s="4" t="n">
        <v>5639320</v>
      </c>
    </row>
    <row r="852">
      <c r="A852" s="5" t="inlineStr">
        <is>
          <t>2026-02</t>
        </is>
      </c>
      <c r="B852" s="5" t="inlineStr">
        <is>
          <t>SKU0401</t>
        </is>
      </c>
      <c r="C852" s="5" t="inlineStr">
        <is>
          <t>インフリキシマブBS点滴静注用「サンド」</t>
        </is>
      </c>
      <c r="D852" s="5" t="inlineStr">
        <is>
          <t>卸B</t>
        </is>
      </c>
      <c r="E852" s="5" t="n">
        <v>151</v>
      </c>
      <c r="F852" s="5" t="n">
        <v>4997692</v>
      </c>
    </row>
    <row r="853">
      <c r="A853" s="4" t="inlineStr">
        <is>
          <t>2026-02</t>
        </is>
      </c>
      <c r="B853" s="4" t="inlineStr">
        <is>
          <t>SKU0401</t>
        </is>
      </c>
      <c r="C853" s="4" t="inlineStr">
        <is>
          <t>インフリキシマブBS点滴静注用「サンド」</t>
        </is>
      </c>
      <c r="D853" s="4" t="inlineStr">
        <is>
          <t>卸C</t>
        </is>
      </c>
      <c r="E853" s="4" t="n">
        <v>117</v>
      </c>
      <c r="F853" s="4" t="n">
        <v>3856154</v>
      </c>
    </row>
    <row r="854">
      <c r="A854" s="5" t="inlineStr">
        <is>
          <t>2026-03</t>
        </is>
      </c>
      <c r="B854" s="5" t="inlineStr">
        <is>
          <t>SKU0401</t>
        </is>
      </c>
      <c r="C854" s="5" t="inlineStr">
        <is>
          <t>インフリキシマブBS点滴静注用「サンド」</t>
        </is>
      </c>
      <c r="D854" s="5" t="inlineStr">
        <is>
          <t>卸A</t>
        </is>
      </c>
      <c r="E854" s="5" t="n">
        <v>278</v>
      </c>
      <c r="F854" s="5" t="n">
        <v>9179523</v>
      </c>
    </row>
    <row r="855">
      <c r="A855" s="4" t="inlineStr">
        <is>
          <t>2026-03</t>
        </is>
      </c>
      <c r="B855" s="4" t="inlineStr">
        <is>
          <t>SKU0401</t>
        </is>
      </c>
      <c r="C855" s="4" t="inlineStr">
        <is>
          <t>インフリキシマブBS点滴静注用「サンド」</t>
        </is>
      </c>
      <c r="D855" s="4" t="inlineStr">
        <is>
          <t>卸B</t>
        </is>
      </c>
      <c r="E855" s="4" t="n">
        <v>265</v>
      </c>
      <c r="F855" s="4" t="n">
        <v>8753192</v>
      </c>
    </row>
    <row r="856">
      <c r="A856" s="5" t="inlineStr">
        <is>
          <t>2026-03</t>
        </is>
      </c>
      <c r="B856" s="5" t="inlineStr">
        <is>
          <t>SKU0401</t>
        </is>
      </c>
      <c r="C856" s="5" t="inlineStr">
        <is>
          <t>インフリキシマブBS点滴静注用「サンド」</t>
        </is>
      </c>
      <c r="D856" s="5" t="inlineStr">
        <is>
          <t>卸C</t>
        </is>
      </c>
      <c r="E856" s="5" t="n">
        <v>160</v>
      </c>
      <c r="F856" s="5" t="n">
        <v>5294032</v>
      </c>
    </row>
    <row r="857">
      <c r="A857" s="4" t="inlineStr">
        <is>
          <t>2026-04</t>
        </is>
      </c>
      <c r="B857" s="4" t="inlineStr">
        <is>
          <t>SKU0401</t>
        </is>
      </c>
      <c r="C857" s="4" t="inlineStr">
        <is>
          <t>インフリキシマブBS点滴静注用「サンド」</t>
        </is>
      </c>
      <c r="D857" s="4" t="inlineStr">
        <is>
          <t>卸A</t>
        </is>
      </c>
      <c r="E857" s="4" t="n">
        <v>120</v>
      </c>
      <c r="F857" s="4" t="n">
        <v>3713319</v>
      </c>
    </row>
    <row r="858">
      <c r="A858" s="5" t="inlineStr">
        <is>
          <t>2026-04</t>
        </is>
      </c>
      <c r="B858" s="5" t="inlineStr">
        <is>
          <t>SKU0401</t>
        </is>
      </c>
      <c r="C858" s="5" t="inlineStr">
        <is>
          <t>インフリキシマブBS点滴静注用「サンド」</t>
        </is>
      </c>
      <c r="D858" s="5" t="inlineStr">
        <is>
          <t>卸B</t>
        </is>
      </c>
      <c r="E858" s="5" t="n">
        <v>104</v>
      </c>
      <c r="F858" s="5" t="n">
        <v>3241297</v>
      </c>
    </row>
    <row r="859">
      <c r="A859" s="4" t="inlineStr">
        <is>
          <t>2026-04</t>
        </is>
      </c>
      <c r="B859" s="4" t="inlineStr">
        <is>
          <t>SKU0401</t>
        </is>
      </c>
      <c r="C859" s="4" t="inlineStr">
        <is>
          <t>インフリキシマブBS点滴静注用「サンド」</t>
        </is>
      </c>
      <c r="D859" s="4" t="inlineStr">
        <is>
          <t>卸C</t>
        </is>
      </c>
      <c r="E859" s="4" t="n">
        <v>71</v>
      </c>
      <c r="F859" s="4" t="n">
        <v>2199175</v>
      </c>
    </row>
    <row r="860">
      <c r="A860" s="5" t="inlineStr">
        <is>
          <t>2026-05</t>
        </is>
      </c>
      <c r="B860" s="5" t="inlineStr">
        <is>
          <t>SKU0401</t>
        </is>
      </c>
      <c r="C860" s="5" t="inlineStr">
        <is>
          <t>インフリキシマブBS点滴静注用「サンド」</t>
        </is>
      </c>
      <c r="D860" s="5" t="inlineStr">
        <is>
          <t>卸A</t>
        </is>
      </c>
      <c r="E860" s="5" t="n">
        <v>146</v>
      </c>
      <c r="F860" s="5" t="n">
        <v>4539202</v>
      </c>
    </row>
    <row r="861">
      <c r="A861" s="4" t="inlineStr">
        <is>
          <t>2026-05</t>
        </is>
      </c>
      <c r="B861" s="4" t="inlineStr">
        <is>
          <t>SKU0401</t>
        </is>
      </c>
      <c r="C861" s="4" t="inlineStr">
        <is>
          <t>インフリキシマブBS点滴静注用「サンド」</t>
        </is>
      </c>
      <c r="D861" s="4" t="inlineStr">
        <is>
          <t>卸B</t>
        </is>
      </c>
      <c r="E861" s="4" t="n">
        <v>130</v>
      </c>
      <c r="F861" s="4" t="n">
        <v>4027429</v>
      </c>
    </row>
    <row r="862">
      <c r="A862" s="5" t="inlineStr">
        <is>
          <t>2026-05</t>
        </is>
      </c>
      <c r="B862" s="5" t="inlineStr">
        <is>
          <t>SKU0401</t>
        </is>
      </c>
      <c r="C862" s="5" t="inlineStr">
        <is>
          <t>インフリキシマブBS点滴静注用「サンド」</t>
        </is>
      </c>
      <c r="D862" s="5" t="inlineStr">
        <is>
          <t>卸C</t>
        </is>
      </c>
      <c r="E862" s="5" t="n">
        <v>80</v>
      </c>
      <c r="F862" s="5" t="n">
        <v>2472342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4A235A"/>
    <outlinePr summaryBelow="1" summaryRight="1"/>
    <pageSetUpPr/>
  </sheetPr>
  <dimension ref="A1:J3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30" customWidth="1" min="10" max="10"/>
  </cols>
  <sheetData>
    <row r="1" ht="24" customHeight="1">
      <c r="A1" s="28" t="inlineStr">
        <is>
          <t>C_MarketForecast  ―  Step1: 成分別市場サイズ予測（FORECAST.ETS, 季節性=12, 信頼区間80%/95%）</t>
        </is>
      </c>
    </row>
    <row r="2" ht="20" customHeight="1">
      <c r="A2" s="36" t="inlineStr">
        <is>
          <t>【 ING01  メトホルミン塩酸塩 】</t>
        </is>
      </c>
    </row>
    <row r="3" ht="18" customHeight="1">
      <c r="A3" s="3" t="inlineStr">
        <is>
          <t>period</t>
        </is>
      </c>
      <c r="B3" s="3" t="inlineStr">
        <is>
          <t>total_units（実績）</t>
        </is>
      </c>
      <c r="C3" s="3" t="inlineStr">
        <is>
          <t>total_amount_jpy（実績）</t>
        </is>
      </c>
      <c r="D3" s="3" t="inlineStr">
        <is>
          <t>fc_units（ETS）</t>
        </is>
      </c>
      <c r="E3" s="3" t="inlineStr">
        <is>
          <t>fc_units_lower80</t>
        </is>
      </c>
      <c r="F3" s="3" t="inlineStr">
        <is>
          <t>fc_units_upper80</t>
        </is>
      </c>
      <c r="G3" s="3" t="inlineStr">
        <is>
          <t>fc_units_lower95</t>
        </is>
      </c>
      <c r="H3" s="3" t="inlineStr">
        <is>
          <t>fc_units_upper95</t>
        </is>
      </c>
      <c r="I3" s="3" t="inlineStr">
        <is>
          <t>fc_amount_jpy（ETS）</t>
        </is>
      </c>
      <c r="J3" s="3" t="inlineStr">
        <is>
          <t>備考</t>
        </is>
      </c>
    </row>
    <row r="4" ht="15" customHeight="1">
      <c r="A4" s="39" t="inlineStr">
        <is>
          <t>2023-01</t>
        </is>
      </c>
      <c r="B4" s="48" t="n">
        <v>603657</v>
      </c>
      <c r="C4" s="48" t="n">
        <v>6080665</v>
      </c>
      <c r="D4" s="49" t="n"/>
      <c r="E4" s="49" t="n"/>
      <c r="F4" s="49" t="n"/>
      <c r="G4" s="49" t="n"/>
      <c r="H4" s="49" t="n"/>
      <c r="I4" s="49" t="n"/>
      <c r="J4" s="50" t="inlineStr">
        <is>
          <t>← 実績開始</t>
        </is>
      </c>
    </row>
    <row r="5" ht="15" customHeight="1">
      <c r="A5" s="39" t="inlineStr">
        <is>
          <t>2023-02</t>
        </is>
      </c>
      <c r="B5" s="48" t="n">
        <v>602132</v>
      </c>
      <c r="C5" s="48" t="n">
        <v>6238956</v>
      </c>
      <c r="D5" s="49" t="n"/>
      <c r="E5" s="49" t="n"/>
      <c r="F5" s="49" t="n"/>
      <c r="G5" s="49" t="n"/>
      <c r="H5" s="49" t="n"/>
      <c r="I5" s="49" t="n"/>
      <c r="J5" s="49" t="n"/>
    </row>
    <row r="6" ht="15" customHeight="1">
      <c r="A6" s="39" t="inlineStr">
        <is>
          <t>2023-03</t>
        </is>
      </c>
      <c r="B6" s="48" t="n">
        <v>650147</v>
      </c>
      <c r="C6" s="48" t="n">
        <v>6597025</v>
      </c>
      <c r="D6" s="49" t="n"/>
      <c r="E6" s="49" t="n"/>
      <c r="F6" s="49" t="n"/>
      <c r="G6" s="49" t="n"/>
      <c r="H6" s="49" t="n"/>
      <c r="I6" s="49" t="n"/>
      <c r="J6" s="49" t="n"/>
    </row>
    <row r="7" ht="15" customHeight="1">
      <c r="A7" s="39" t="inlineStr">
        <is>
          <t>2023-04</t>
        </is>
      </c>
      <c r="B7" s="48" t="n">
        <v>581746</v>
      </c>
      <c r="C7" s="48" t="n">
        <v>5983081</v>
      </c>
      <c r="D7" s="49" t="n"/>
      <c r="E7" s="49" t="n"/>
      <c r="F7" s="49" t="n"/>
      <c r="G7" s="49" t="n"/>
      <c r="H7" s="49" t="n"/>
      <c r="I7" s="49" t="n"/>
      <c r="J7" s="49" t="n"/>
    </row>
    <row r="8" ht="15" customHeight="1">
      <c r="A8" s="39" t="inlineStr">
        <is>
          <t>2023-05</t>
        </is>
      </c>
      <c r="B8" s="48" t="n">
        <v>597230</v>
      </c>
      <c r="C8" s="48" t="n">
        <v>6126517</v>
      </c>
      <c r="D8" s="49" t="n"/>
      <c r="E8" s="49" t="n"/>
      <c r="F8" s="49" t="n"/>
      <c r="G8" s="49" t="n"/>
      <c r="H8" s="49" t="n"/>
      <c r="I8" s="49" t="n"/>
      <c r="J8" s="49" t="n"/>
    </row>
    <row r="9" ht="15" customHeight="1">
      <c r="A9" s="39" t="inlineStr">
        <is>
          <t>2023-06</t>
        </is>
      </c>
      <c r="B9" s="48" t="n">
        <v>628818</v>
      </c>
      <c r="C9" s="48" t="n">
        <v>6481613</v>
      </c>
      <c r="D9" s="49" t="n"/>
      <c r="E9" s="49" t="n"/>
      <c r="F9" s="49" t="n"/>
      <c r="G9" s="49" t="n"/>
      <c r="H9" s="49" t="n"/>
      <c r="I9" s="49" t="n"/>
      <c r="J9" s="49" t="n"/>
    </row>
    <row r="10" ht="15" customHeight="1">
      <c r="A10" s="39" t="inlineStr">
        <is>
          <t>2023-07</t>
        </is>
      </c>
      <c r="B10" s="48" t="n">
        <v>602213</v>
      </c>
      <c r="C10" s="48" t="n">
        <v>6191874</v>
      </c>
      <c r="D10" s="49" t="n"/>
      <c r="E10" s="49" t="n"/>
      <c r="F10" s="49" t="n"/>
      <c r="G10" s="49" t="n"/>
      <c r="H10" s="49" t="n"/>
      <c r="I10" s="49" t="n"/>
      <c r="J10" s="49" t="n"/>
    </row>
    <row r="11" ht="15" customHeight="1">
      <c r="A11" s="39" t="inlineStr">
        <is>
          <t>2023-08</t>
        </is>
      </c>
      <c r="B11" s="48" t="n">
        <v>596147</v>
      </c>
      <c r="C11" s="48" t="n">
        <v>6095399</v>
      </c>
      <c r="D11" s="49" t="n"/>
      <c r="E11" s="49" t="n"/>
      <c r="F11" s="49" t="n"/>
      <c r="G11" s="49" t="n"/>
      <c r="H11" s="49" t="n"/>
      <c r="I11" s="49" t="n"/>
      <c r="J11" s="49" t="n"/>
    </row>
    <row r="12" ht="15" customHeight="1">
      <c r="A12" s="39" t="inlineStr">
        <is>
          <t>2023-09</t>
        </is>
      </c>
      <c r="B12" s="48" t="n">
        <v>613003</v>
      </c>
      <c r="C12" s="48" t="n">
        <v>6132687</v>
      </c>
      <c r="D12" s="49" t="n"/>
      <c r="E12" s="49" t="n"/>
      <c r="F12" s="49" t="n"/>
      <c r="G12" s="49" t="n"/>
      <c r="H12" s="49" t="n"/>
      <c r="I12" s="49" t="n"/>
      <c r="J12" s="49" t="n"/>
    </row>
    <row r="13" ht="15" customHeight="1">
      <c r="A13" s="39" t="inlineStr">
        <is>
          <t>2023-10</t>
        </is>
      </c>
      <c r="B13" s="48" t="n">
        <v>599697</v>
      </c>
      <c r="C13" s="48" t="n">
        <v>6078304</v>
      </c>
      <c r="D13" s="49" t="n"/>
      <c r="E13" s="49" t="n"/>
      <c r="F13" s="49" t="n"/>
      <c r="G13" s="49" t="n"/>
      <c r="H13" s="49" t="n"/>
      <c r="I13" s="49" t="n"/>
      <c r="J13" s="49" t="n"/>
    </row>
    <row r="14" ht="15" customHeight="1">
      <c r="A14" s="39" t="inlineStr">
        <is>
          <t>2023-11</t>
        </is>
      </c>
      <c r="B14" s="48" t="n">
        <v>585598</v>
      </c>
      <c r="C14" s="48" t="n">
        <v>5995057</v>
      </c>
      <c r="D14" s="49" t="n"/>
      <c r="E14" s="49" t="n"/>
      <c r="F14" s="49" t="n"/>
      <c r="G14" s="49" t="n"/>
      <c r="H14" s="49" t="n"/>
      <c r="I14" s="49" t="n"/>
      <c r="J14" s="49" t="n"/>
    </row>
    <row r="15" ht="15" customHeight="1">
      <c r="A15" s="39" t="inlineStr">
        <is>
          <t>2023-12</t>
        </is>
      </c>
      <c r="B15" s="48" t="n">
        <v>602366</v>
      </c>
      <c r="C15" s="48" t="n">
        <v>6001459</v>
      </c>
      <c r="D15" s="49" t="n"/>
      <c r="E15" s="49" t="n"/>
      <c r="F15" s="49" t="n"/>
      <c r="G15" s="49" t="n"/>
      <c r="H15" s="49" t="n"/>
      <c r="I15" s="49" t="n"/>
      <c r="J15" s="49" t="n"/>
    </row>
    <row r="16" ht="15" customHeight="1">
      <c r="A16" s="39" t="inlineStr">
        <is>
          <t>2024-01</t>
        </is>
      </c>
      <c r="B16" s="48" t="n">
        <v>596034</v>
      </c>
      <c r="C16" s="48" t="n">
        <v>5999600</v>
      </c>
      <c r="D16" s="49" t="n"/>
      <c r="E16" s="49" t="n"/>
      <c r="F16" s="49" t="n"/>
      <c r="G16" s="49" t="n"/>
      <c r="H16" s="49" t="n"/>
      <c r="I16" s="49" t="n"/>
      <c r="J16" s="49" t="n"/>
    </row>
    <row r="17" ht="15" customHeight="1">
      <c r="A17" s="39" t="inlineStr">
        <is>
          <t>2024-02</t>
        </is>
      </c>
      <c r="B17" s="48" t="n">
        <v>615408</v>
      </c>
      <c r="C17" s="48" t="n">
        <v>6190642</v>
      </c>
      <c r="D17" s="49" t="n"/>
      <c r="E17" s="49" t="n"/>
      <c r="F17" s="49" t="n"/>
      <c r="G17" s="49" t="n"/>
      <c r="H17" s="49" t="n"/>
      <c r="I17" s="49" t="n"/>
      <c r="J17" s="49" t="n"/>
    </row>
    <row r="18" ht="15" customHeight="1">
      <c r="A18" s="39" t="inlineStr">
        <is>
          <t>2024-03</t>
        </is>
      </c>
      <c r="B18" s="48" t="n">
        <v>641366</v>
      </c>
      <c r="C18" s="48" t="n">
        <v>6506400</v>
      </c>
      <c r="D18" s="49" t="n"/>
      <c r="E18" s="49" t="n"/>
      <c r="F18" s="49" t="n"/>
      <c r="G18" s="49" t="n"/>
      <c r="H18" s="49" t="n"/>
      <c r="I18" s="49" t="n"/>
      <c r="J18" s="49" t="n"/>
    </row>
    <row r="19" ht="15" customHeight="1">
      <c r="A19" s="39" t="inlineStr">
        <is>
          <t>2024-04</t>
        </is>
      </c>
      <c r="B19" s="48" t="n">
        <v>586261</v>
      </c>
      <c r="C19" s="48" t="n">
        <v>5467968</v>
      </c>
      <c r="D19" s="49" t="n"/>
      <c r="E19" s="49" t="n"/>
      <c r="F19" s="49" t="n"/>
      <c r="G19" s="49" t="n"/>
      <c r="H19" s="49" t="n"/>
      <c r="I19" s="49" t="n"/>
      <c r="J19" s="49" t="n"/>
    </row>
    <row r="20" ht="15" customHeight="1">
      <c r="A20" s="39" t="inlineStr">
        <is>
          <t>2024-05</t>
        </is>
      </c>
      <c r="B20" s="48" t="n">
        <v>593492</v>
      </c>
      <c r="C20" s="48" t="n">
        <v>5707475</v>
      </c>
      <c r="D20" s="49" t="n"/>
      <c r="E20" s="49" t="n"/>
      <c r="F20" s="49" t="n"/>
      <c r="G20" s="49" t="n"/>
      <c r="H20" s="49" t="n"/>
      <c r="I20" s="49" t="n"/>
      <c r="J20" s="49" t="n"/>
    </row>
    <row r="21" ht="15" customHeight="1">
      <c r="A21" s="39" t="inlineStr">
        <is>
          <t>2024-06</t>
        </is>
      </c>
      <c r="B21" s="48" t="n">
        <v>605877</v>
      </c>
      <c r="C21" s="48" t="n">
        <v>5701918</v>
      </c>
      <c r="D21" s="49" t="n"/>
      <c r="E21" s="49" t="n"/>
      <c r="F21" s="49" t="n"/>
      <c r="G21" s="49" t="n"/>
      <c r="H21" s="49" t="n"/>
      <c r="I21" s="49" t="n"/>
      <c r="J21" s="49" t="n"/>
    </row>
    <row r="22" ht="15" customHeight="1">
      <c r="A22" s="39" t="inlineStr">
        <is>
          <t>2024-07</t>
        </is>
      </c>
      <c r="B22" s="48" t="n">
        <v>621098</v>
      </c>
      <c r="C22" s="48" t="n">
        <v>5869630</v>
      </c>
      <c r="D22" s="49" t="n"/>
      <c r="E22" s="49" t="n"/>
      <c r="F22" s="49" t="n"/>
      <c r="G22" s="49" t="n"/>
      <c r="H22" s="49" t="n"/>
      <c r="I22" s="49" t="n"/>
      <c r="J22" s="49" t="n"/>
    </row>
    <row r="23" ht="15" customHeight="1">
      <c r="A23" s="39" t="inlineStr">
        <is>
          <t>2024-08</t>
        </is>
      </c>
      <c r="B23" s="48" t="n">
        <v>612322</v>
      </c>
      <c r="C23" s="48" t="n">
        <v>5901198</v>
      </c>
      <c r="D23" s="49" t="n"/>
      <c r="E23" s="49" t="n"/>
      <c r="F23" s="49" t="n"/>
      <c r="G23" s="49" t="n"/>
      <c r="H23" s="49" t="n"/>
      <c r="I23" s="49" t="n"/>
      <c r="J23" s="49" t="n"/>
    </row>
    <row r="24" ht="15" customHeight="1">
      <c r="A24" s="39" t="inlineStr">
        <is>
          <t>2024-09</t>
        </is>
      </c>
      <c r="B24" s="48" t="n">
        <v>599519</v>
      </c>
      <c r="C24" s="48" t="n">
        <v>5752173</v>
      </c>
      <c r="D24" s="49" t="n"/>
      <c r="E24" s="49" t="n"/>
      <c r="F24" s="49" t="n"/>
      <c r="G24" s="49" t="n"/>
      <c r="H24" s="49" t="n"/>
      <c r="I24" s="49" t="n"/>
      <c r="J24" s="49" t="n"/>
    </row>
    <row r="25" ht="15" customHeight="1">
      <c r="A25" s="39" t="inlineStr">
        <is>
          <t>2024-10</t>
        </is>
      </c>
      <c r="B25" s="48" t="n">
        <v>630586</v>
      </c>
      <c r="C25" s="48" t="n">
        <v>5950152</v>
      </c>
      <c r="D25" s="49" t="n"/>
      <c r="E25" s="49" t="n"/>
      <c r="F25" s="49" t="n"/>
      <c r="G25" s="49" t="n"/>
      <c r="H25" s="49" t="n"/>
      <c r="I25" s="49" t="n"/>
      <c r="J25" s="49" t="n"/>
    </row>
    <row r="26" ht="15" customHeight="1">
      <c r="A26" s="39" t="inlineStr">
        <is>
          <t>2024-11</t>
        </is>
      </c>
      <c r="B26" s="48" t="n">
        <v>621056</v>
      </c>
      <c r="C26" s="48" t="n">
        <v>5957947</v>
      </c>
      <c r="D26" s="49" t="n"/>
      <c r="E26" s="49" t="n"/>
      <c r="F26" s="49" t="n"/>
      <c r="G26" s="49" t="n"/>
      <c r="H26" s="49" t="n"/>
      <c r="I26" s="49" t="n"/>
      <c r="J26" s="49" t="n"/>
    </row>
    <row r="27" ht="15" customHeight="1">
      <c r="A27" s="39" t="inlineStr">
        <is>
          <t>2024-12</t>
        </is>
      </c>
      <c r="B27" s="48" t="n">
        <v>638390</v>
      </c>
      <c r="C27" s="48" t="n">
        <v>5924432</v>
      </c>
      <c r="D27" s="49" t="n"/>
      <c r="E27" s="49" t="n"/>
      <c r="F27" s="49" t="n"/>
      <c r="G27" s="49" t="n"/>
      <c r="H27" s="49" t="n"/>
      <c r="I27" s="49" t="n"/>
      <c r="J27" s="49" t="n"/>
    </row>
    <row r="28" ht="15" customHeight="1">
      <c r="A28" s="39" t="inlineStr">
        <is>
          <t>2025-01</t>
        </is>
      </c>
      <c r="B28" s="48" t="n">
        <v>604496</v>
      </c>
      <c r="C28" s="48" t="n">
        <v>5806576</v>
      </c>
      <c r="D28" s="49" t="n"/>
      <c r="E28" s="49" t="n"/>
      <c r="F28" s="49" t="n"/>
      <c r="G28" s="49" t="n"/>
      <c r="H28" s="49" t="n"/>
      <c r="I28" s="49" t="n"/>
      <c r="J28" s="49" t="n"/>
    </row>
    <row r="29" ht="15" customHeight="1">
      <c r="A29" s="39" t="inlineStr">
        <is>
          <t>2025-02</t>
        </is>
      </c>
      <c r="B29" s="48" t="n">
        <v>613145</v>
      </c>
      <c r="C29" s="48" t="n">
        <v>5912303</v>
      </c>
      <c r="D29" s="49" t="n"/>
      <c r="E29" s="49" t="n"/>
      <c r="F29" s="49" t="n"/>
      <c r="G29" s="49" t="n"/>
      <c r="H29" s="49" t="n"/>
      <c r="I29" s="49" t="n"/>
      <c r="J29" s="49" t="n"/>
    </row>
    <row r="30" ht="15" customHeight="1">
      <c r="A30" s="39" t="inlineStr">
        <is>
          <t>2025-03</t>
        </is>
      </c>
      <c r="B30" s="48" t="n">
        <v>666699</v>
      </c>
      <c r="C30" s="48" t="n">
        <v>6237155</v>
      </c>
      <c r="D30" s="49" t="n"/>
      <c r="E30" s="49" t="n"/>
      <c r="F30" s="49" t="n"/>
      <c r="G30" s="49" t="n"/>
      <c r="H30" s="49" t="n"/>
      <c r="I30" s="49" t="n"/>
      <c r="J30" s="49" t="n"/>
    </row>
    <row r="31" ht="15" customHeight="1">
      <c r="A31" s="39" t="inlineStr">
        <is>
          <t>2025-04</t>
        </is>
      </c>
      <c r="B31" s="48" t="n">
        <v>610431</v>
      </c>
      <c r="C31" s="48" t="n">
        <v>5692396</v>
      </c>
      <c r="D31" s="49" t="n"/>
      <c r="E31" s="49" t="n"/>
      <c r="F31" s="49" t="n"/>
      <c r="G31" s="49" t="n"/>
      <c r="H31" s="49" t="n"/>
      <c r="I31" s="49" t="n"/>
      <c r="J31" s="49" t="n"/>
    </row>
    <row r="32" ht="15" customHeight="1">
      <c r="A32" s="39" t="inlineStr">
        <is>
          <t>2025-05</t>
        </is>
      </c>
      <c r="B32" s="48" t="n">
        <v>615002</v>
      </c>
      <c r="C32" s="48" t="n">
        <v>5603805</v>
      </c>
      <c r="D32" s="49" t="n"/>
      <c r="E32" s="49" t="n"/>
      <c r="F32" s="49" t="n"/>
      <c r="G32" s="49" t="n"/>
      <c r="H32" s="49" t="n"/>
      <c r="I32" s="49" t="n"/>
      <c r="J32" s="49" t="n"/>
    </row>
    <row r="33" ht="15" customHeight="1">
      <c r="A33" s="39" t="inlineStr">
        <is>
          <t>2025-06</t>
        </is>
      </c>
      <c r="B33" s="48" t="n">
        <v>601764</v>
      </c>
      <c r="C33" s="48" t="n">
        <v>5545114</v>
      </c>
      <c r="D33" s="49" t="n"/>
      <c r="E33" s="49" t="n"/>
      <c r="F33" s="49" t="n"/>
      <c r="G33" s="49" t="n"/>
      <c r="H33" s="49" t="n"/>
      <c r="I33" s="49" t="n"/>
      <c r="J33" s="49" t="n"/>
    </row>
    <row r="34" ht="15" customHeight="1">
      <c r="A34" s="39" t="inlineStr">
        <is>
          <t>2025-07</t>
        </is>
      </c>
      <c r="B34" s="48" t="n">
        <v>634310</v>
      </c>
      <c r="C34" s="48" t="n">
        <v>5911803</v>
      </c>
      <c r="D34" s="49" t="n"/>
      <c r="E34" s="49" t="n"/>
      <c r="F34" s="49" t="n"/>
      <c r="G34" s="49" t="n"/>
      <c r="H34" s="49" t="n"/>
      <c r="I34" s="49" t="n"/>
      <c r="J34" s="49" t="n"/>
    </row>
    <row r="35" ht="15" customHeight="1">
      <c r="A35" s="39" t="inlineStr">
        <is>
          <t>2025-08</t>
        </is>
      </c>
      <c r="B35" s="48" t="n">
        <v>621044</v>
      </c>
      <c r="C35" s="48" t="n">
        <v>5820443</v>
      </c>
      <c r="D35" s="49" t="n"/>
      <c r="E35" s="49" t="n"/>
      <c r="F35" s="49" t="n"/>
      <c r="G35" s="49" t="n"/>
      <c r="H35" s="49" t="n"/>
      <c r="I35" s="49" t="n"/>
      <c r="J35" s="49" t="n"/>
    </row>
    <row r="36" ht="15" customHeight="1">
      <c r="A36" s="39" t="inlineStr">
        <is>
          <t>2025-09</t>
        </is>
      </c>
      <c r="B36" s="48" t="n">
        <v>614646</v>
      </c>
      <c r="C36" s="48" t="n">
        <v>5644818</v>
      </c>
      <c r="D36" s="49" t="n"/>
      <c r="E36" s="49" t="n"/>
      <c r="F36" s="49" t="n"/>
      <c r="G36" s="49" t="n"/>
      <c r="H36" s="49" t="n"/>
      <c r="I36" s="49" t="n"/>
      <c r="J36" s="49" t="n"/>
    </row>
    <row r="37" ht="15" customHeight="1">
      <c r="A37" s="39" t="inlineStr">
        <is>
          <t>2025-10</t>
        </is>
      </c>
      <c r="B37" s="48" t="n">
        <v>619944</v>
      </c>
      <c r="C37" s="48" t="n">
        <v>5736871</v>
      </c>
      <c r="D37" s="49" t="n"/>
      <c r="E37" s="49" t="n"/>
      <c r="F37" s="49" t="n"/>
      <c r="G37" s="49" t="n"/>
      <c r="H37" s="49" t="n"/>
      <c r="I37" s="49" t="n"/>
      <c r="J37" s="49" t="n"/>
    </row>
    <row r="38" ht="15" customHeight="1">
      <c r="A38" s="39" t="inlineStr">
        <is>
          <t>2025-11</t>
        </is>
      </c>
      <c r="B38" s="48" t="n">
        <v>595178</v>
      </c>
      <c r="C38" s="48" t="n">
        <v>5433589</v>
      </c>
      <c r="D38" s="49" t="n"/>
      <c r="E38" s="49" t="n"/>
      <c r="F38" s="49" t="n"/>
      <c r="G38" s="49" t="n"/>
      <c r="H38" s="49" t="n"/>
      <c r="I38" s="49" t="n"/>
      <c r="J38" s="49" t="n"/>
    </row>
    <row r="39" ht="15" customHeight="1">
      <c r="A39" s="39" t="inlineStr">
        <is>
          <t>2025-12</t>
        </is>
      </c>
      <c r="B39" s="48" t="n">
        <v>632623</v>
      </c>
      <c r="C39" s="48" t="n">
        <v>5873561</v>
      </c>
      <c r="D39" s="49" t="n"/>
      <c r="E39" s="49" t="n"/>
      <c r="F39" s="49" t="n"/>
      <c r="G39" s="49" t="n"/>
      <c r="H39" s="49" t="n"/>
      <c r="I39" s="49" t="n"/>
      <c r="J39" s="49" t="n"/>
    </row>
    <row r="40" ht="15" customHeight="1">
      <c r="A40" s="39" t="inlineStr">
        <is>
          <t>2026-01</t>
        </is>
      </c>
      <c r="B40" s="48" t="n">
        <v>628552</v>
      </c>
      <c r="C40" s="48" t="n">
        <v>5760361</v>
      </c>
      <c r="D40" s="49" t="n"/>
      <c r="E40" s="49" t="n"/>
      <c r="F40" s="49" t="n"/>
      <c r="G40" s="49" t="n"/>
      <c r="H40" s="49" t="n"/>
      <c r="I40" s="49" t="n"/>
      <c r="J40" s="49" t="n"/>
    </row>
    <row r="41" ht="15" customHeight="1">
      <c r="A41" s="39" t="inlineStr">
        <is>
          <t>2026-02</t>
        </is>
      </c>
      <c r="B41" s="48" t="n">
        <v>624677</v>
      </c>
      <c r="C41" s="48" t="n">
        <v>5948177</v>
      </c>
      <c r="D41" s="49" t="n"/>
      <c r="E41" s="49" t="n"/>
      <c r="F41" s="49" t="n"/>
      <c r="G41" s="49" t="n"/>
      <c r="H41" s="49" t="n"/>
      <c r="I41" s="49" t="n"/>
      <c r="J41" s="49" t="n"/>
    </row>
    <row r="42" ht="15" customHeight="1">
      <c r="A42" s="39" t="inlineStr">
        <is>
          <t>2026-03</t>
        </is>
      </c>
      <c r="B42" s="48" t="n">
        <v>661462</v>
      </c>
      <c r="C42" s="48" t="n">
        <v>6157712</v>
      </c>
      <c r="D42" s="49" t="n"/>
      <c r="E42" s="49" t="n"/>
      <c r="F42" s="49" t="n"/>
      <c r="G42" s="49" t="n"/>
      <c r="H42" s="49" t="n"/>
      <c r="I42" s="49" t="n"/>
      <c r="J42" s="49" t="n"/>
    </row>
    <row r="43" ht="15" customHeight="1">
      <c r="A43" s="39" t="inlineStr">
        <is>
          <t>2026-04</t>
        </is>
      </c>
      <c r="B43" s="48" t="n">
        <v>583892</v>
      </c>
      <c r="C43" s="48" t="n">
        <v>5004381</v>
      </c>
      <c r="D43" s="49" t="n"/>
      <c r="E43" s="49" t="n"/>
      <c r="F43" s="49" t="n"/>
      <c r="G43" s="49" t="n"/>
      <c r="H43" s="49" t="n"/>
      <c r="I43" s="49" t="n"/>
      <c r="J43" s="49" t="n"/>
    </row>
    <row r="44" ht="15" customHeight="1">
      <c r="A44" s="39" t="inlineStr">
        <is>
          <t>2026-05</t>
        </is>
      </c>
      <c r="B44" s="48" t="n">
        <v>613389</v>
      </c>
      <c r="C44" s="48" t="n">
        <v>5341965</v>
      </c>
      <c r="D44" s="49" t="n"/>
      <c r="E44" s="49" t="n"/>
      <c r="F44" s="49" t="n"/>
      <c r="G44" s="49" t="n"/>
      <c r="H44" s="49" t="n"/>
      <c r="I44" s="49" t="n"/>
      <c r="J44" s="49" t="n"/>
    </row>
    <row r="45" ht="15" customHeight="1">
      <c r="A45" s="42" t="inlineStr">
        <is>
          <t>2026-06</t>
        </is>
      </c>
      <c r="B45" s="51" t="n"/>
      <c r="C45" s="51" t="n"/>
      <c r="D45" s="52">
        <f>FORECAST.ETS(A45,$B$4:$B$44,$A$4:$A$44,12,1)</f>
        <v/>
      </c>
      <c r="E45" s="52">
        <f>FORECAST.ETS(A45,$B$4:$B$44,$A$4:$A$44,12,1)-FORECAST.ETS.CONFINT(A45,$B$4:$B$44,$A$4:$A$44,0.8,12,1)</f>
        <v/>
      </c>
      <c r="F45" s="52">
        <f>FORECAST.ETS(A45,$B$4:$B$44,$A$4:$A$44,12,1)+FORECAST.ETS.CONFINT(A45,$B$4:$B$44,$A$4:$A$44,0.8,12,1)</f>
        <v/>
      </c>
      <c r="G45" s="52">
        <f>FORECAST.ETS(A45,$B$4:$B$44,$A$4:$A$44,12,1)-FORECAST.ETS.CONFINT(A45,$B$4:$B$44,$A$4:$A$44,0.95,12,1)</f>
        <v/>
      </c>
      <c r="H45" s="52">
        <f>FORECAST.ETS(A45,$B$4:$B$44,$A$4:$A$44,12,1)+FORECAST.ETS.CONFINT(A45,$B$4:$B$44,$A$4:$A$44,0.95,12,1)</f>
        <v/>
      </c>
      <c r="I45" s="52">
        <f>FORECAST.ETS(A45,$C$4:$C$44,$A$4:$A$44,12,1)</f>
        <v/>
      </c>
      <c r="J45" s="53" t="inlineStr">
        <is>
          <t>← 予測開始 (2026-06)</t>
        </is>
      </c>
    </row>
    <row r="46" ht="15" customHeight="1">
      <c r="A46" s="42" t="inlineStr">
        <is>
          <t>2026-07</t>
        </is>
      </c>
      <c r="B46" s="51" t="n"/>
      <c r="C46" s="51" t="n"/>
      <c r="D46" s="52">
        <f>FORECAST.ETS(A46,$B$4:$B$44,$A$4:$A$44,12,1)</f>
        <v/>
      </c>
      <c r="E46" s="52">
        <f>FORECAST.ETS(A46,$B$4:$B$44,$A$4:$A$44,12,1)-FORECAST.ETS.CONFINT(A46,$B$4:$B$44,$A$4:$A$44,0.8,12,1)</f>
        <v/>
      </c>
      <c r="F46" s="52">
        <f>FORECAST.ETS(A46,$B$4:$B$44,$A$4:$A$44,12,1)+FORECAST.ETS.CONFINT(A46,$B$4:$B$44,$A$4:$A$44,0.8,12,1)</f>
        <v/>
      </c>
      <c r="G46" s="52">
        <f>FORECAST.ETS(A46,$B$4:$B$44,$A$4:$A$44,12,1)-FORECAST.ETS.CONFINT(A46,$B$4:$B$44,$A$4:$A$44,0.95,12,1)</f>
        <v/>
      </c>
      <c r="H46" s="52">
        <f>FORECAST.ETS(A46,$B$4:$B$44,$A$4:$A$44,12,1)+FORECAST.ETS.CONFINT(A46,$B$4:$B$44,$A$4:$A$44,0.95,12,1)</f>
        <v/>
      </c>
      <c r="I46" s="52">
        <f>FORECAST.ETS(A46,$C$4:$C$44,$A$4:$A$44,12,1)</f>
        <v/>
      </c>
      <c r="J46" s="51" t="n"/>
    </row>
    <row r="47" ht="15" customHeight="1">
      <c r="A47" s="42" t="inlineStr">
        <is>
          <t>2026-08</t>
        </is>
      </c>
      <c r="B47" s="51" t="n"/>
      <c r="C47" s="51" t="n"/>
      <c r="D47" s="52">
        <f>FORECAST.ETS(A47,$B$4:$B$44,$A$4:$A$44,12,1)</f>
        <v/>
      </c>
      <c r="E47" s="52">
        <f>FORECAST.ETS(A47,$B$4:$B$44,$A$4:$A$44,12,1)-FORECAST.ETS.CONFINT(A47,$B$4:$B$44,$A$4:$A$44,0.8,12,1)</f>
        <v/>
      </c>
      <c r="F47" s="52">
        <f>FORECAST.ETS(A47,$B$4:$B$44,$A$4:$A$44,12,1)+FORECAST.ETS.CONFINT(A47,$B$4:$B$44,$A$4:$A$44,0.8,12,1)</f>
        <v/>
      </c>
      <c r="G47" s="52">
        <f>FORECAST.ETS(A47,$B$4:$B$44,$A$4:$A$44,12,1)-FORECAST.ETS.CONFINT(A47,$B$4:$B$44,$A$4:$A$44,0.95,12,1)</f>
        <v/>
      </c>
      <c r="H47" s="52">
        <f>FORECAST.ETS(A47,$B$4:$B$44,$A$4:$A$44,12,1)+FORECAST.ETS.CONFINT(A47,$B$4:$B$44,$A$4:$A$44,0.95,12,1)</f>
        <v/>
      </c>
      <c r="I47" s="52">
        <f>FORECAST.ETS(A47,$C$4:$C$44,$A$4:$A$44,12,1)</f>
        <v/>
      </c>
      <c r="J47" s="51" t="n"/>
    </row>
    <row r="48" ht="15" customHeight="1">
      <c r="A48" s="42" t="inlineStr">
        <is>
          <t>2026-09</t>
        </is>
      </c>
      <c r="B48" s="51" t="n"/>
      <c r="C48" s="51" t="n"/>
      <c r="D48" s="52">
        <f>FORECAST.ETS(A48,$B$4:$B$44,$A$4:$A$44,12,1)</f>
        <v/>
      </c>
      <c r="E48" s="52">
        <f>FORECAST.ETS(A48,$B$4:$B$44,$A$4:$A$44,12,1)-FORECAST.ETS.CONFINT(A48,$B$4:$B$44,$A$4:$A$44,0.8,12,1)</f>
        <v/>
      </c>
      <c r="F48" s="52">
        <f>FORECAST.ETS(A48,$B$4:$B$44,$A$4:$A$44,12,1)+FORECAST.ETS.CONFINT(A48,$B$4:$B$44,$A$4:$A$44,0.8,12,1)</f>
        <v/>
      </c>
      <c r="G48" s="52">
        <f>FORECAST.ETS(A48,$B$4:$B$44,$A$4:$A$44,12,1)-FORECAST.ETS.CONFINT(A48,$B$4:$B$44,$A$4:$A$44,0.95,12,1)</f>
        <v/>
      </c>
      <c r="H48" s="52">
        <f>FORECAST.ETS(A48,$B$4:$B$44,$A$4:$A$44,12,1)+FORECAST.ETS.CONFINT(A48,$B$4:$B$44,$A$4:$A$44,0.95,12,1)</f>
        <v/>
      </c>
      <c r="I48" s="52">
        <f>FORECAST.ETS(A48,$C$4:$C$44,$A$4:$A$44,12,1)</f>
        <v/>
      </c>
      <c r="J48" s="51" t="n"/>
    </row>
    <row r="49" ht="15" customHeight="1">
      <c r="A49" s="42" t="inlineStr">
        <is>
          <t>2026-10</t>
        </is>
      </c>
      <c r="B49" s="51" t="n"/>
      <c r="C49" s="51" t="n"/>
      <c r="D49" s="52">
        <f>FORECAST.ETS(A49,$B$4:$B$44,$A$4:$A$44,12,1)</f>
        <v/>
      </c>
      <c r="E49" s="52">
        <f>FORECAST.ETS(A49,$B$4:$B$44,$A$4:$A$44,12,1)-FORECAST.ETS.CONFINT(A49,$B$4:$B$44,$A$4:$A$44,0.8,12,1)</f>
        <v/>
      </c>
      <c r="F49" s="52">
        <f>FORECAST.ETS(A49,$B$4:$B$44,$A$4:$A$44,12,1)+FORECAST.ETS.CONFINT(A49,$B$4:$B$44,$A$4:$A$44,0.8,12,1)</f>
        <v/>
      </c>
      <c r="G49" s="52">
        <f>FORECAST.ETS(A49,$B$4:$B$44,$A$4:$A$44,12,1)-FORECAST.ETS.CONFINT(A49,$B$4:$B$44,$A$4:$A$44,0.95,12,1)</f>
        <v/>
      </c>
      <c r="H49" s="52">
        <f>FORECAST.ETS(A49,$B$4:$B$44,$A$4:$A$44,12,1)+FORECAST.ETS.CONFINT(A49,$B$4:$B$44,$A$4:$A$44,0.95,12,1)</f>
        <v/>
      </c>
      <c r="I49" s="52">
        <f>FORECAST.ETS(A49,$C$4:$C$44,$A$4:$A$44,12,1)</f>
        <v/>
      </c>
      <c r="J49" s="51" t="n"/>
    </row>
    <row r="50" ht="15" customHeight="1">
      <c r="A50" s="42" t="inlineStr">
        <is>
          <t>2026-11</t>
        </is>
      </c>
      <c r="B50" s="51" t="n"/>
      <c r="C50" s="51" t="n"/>
      <c r="D50" s="52">
        <f>FORECAST.ETS(A50,$B$4:$B$44,$A$4:$A$44,12,1)</f>
        <v/>
      </c>
      <c r="E50" s="52">
        <f>FORECAST.ETS(A50,$B$4:$B$44,$A$4:$A$44,12,1)-FORECAST.ETS.CONFINT(A50,$B$4:$B$44,$A$4:$A$44,0.8,12,1)</f>
        <v/>
      </c>
      <c r="F50" s="52">
        <f>FORECAST.ETS(A50,$B$4:$B$44,$A$4:$A$44,12,1)+FORECAST.ETS.CONFINT(A50,$B$4:$B$44,$A$4:$A$44,0.8,12,1)</f>
        <v/>
      </c>
      <c r="G50" s="52">
        <f>FORECAST.ETS(A50,$B$4:$B$44,$A$4:$A$44,12,1)-FORECAST.ETS.CONFINT(A50,$B$4:$B$44,$A$4:$A$44,0.95,12,1)</f>
        <v/>
      </c>
      <c r="H50" s="52">
        <f>FORECAST.ETS(A50,$B$4:$B$44,$A$4:$A$44,12,1)+FORECAST.ETS.CONFINT(A50,$B$4:$B$44,$A$4:$A$44,0.95,12,1)</f>
        <v/>
      </c>
      <c r="I50" s="52">
        <f>FORECAST.ETS(A50,$C$4:$C$44,$A$4:$A$44,12,1)</f>
        <v/>
      </c>
      <c r="J50" s="51" t="n"/>
    </row>
    <row r="51" ht="15" customHeight="1">
      <c r="A51" s="42" t="inlineStr">
        <is>
          <t>2026-12</t>
        </is>
      </c>
      <c r="B51" s="51" t="n"/>
      <c r="C51" s="51" t="n"/>
      <c r="D51" s="52">
        <f>FORECAST.ETS(A51,$B$4:$B$44,$A$4:$A$44,12,1)</f>
        <v/>
      </c>
      <c r="E51" s="52">
        <f>FORECAST.ETS(A51,$B$4:$B$44,$A$4:$A$44,12,1)-FORECAST.ETS.CONFINT(A51,$B$4:$B$44,$A$4:$A$44,0.8,12,1)</f>
        <v/>
      </c>
      <c r="F51" s="52">
        <f>FORECAST.ETS(A51,$B$4:$B$44,$A$4:$A$44,12,1)+FORECAST.ETS.CONFINT(A51,$B$4:$B$44,$A$4:$A$44,0.8,12,1)</f>
        <v/>
      </c>
      <c r="G51" s="52">
        <f>FORECAST.ETS(A51,$B$4:$B$44,$A$4:$A$44,12,1)-FORECAST.ETS.CONFINT(A51,$B$4:$B$44,$A$4:$A$44,0.95,12,1)</f>
        <v/>
      </c>
      <c r="H51" s="52">
        <f>FORECAST.ETS(A51,$B$4:$B$44,$A$4:$A$44,12,1)+FORECAST.ETS.CONFINT(A51,$B$4:$B$44,$A$4:$A$44,0.95,12,1)</f>
        <v/>
      </c>
      <c r="I51" s="52">
        <f>FORECAST.ETS(A51,$C$4:$C$44,$A$4:$A$44,12,1)</f>
        <v/>
      </c>
      <c r="J51" s="51" t="n"/>
    </row>
    <row r="52" ht="15" customHeight="1">
      <c r="A52" s="42" t="inlineStr">
        <is>
          <t>2027-01</t>
        </is>
      </c>
      <c r="B52" s="51" t="n"/>
      <c r="C52" s="51" t="n"/>
      <c r="D52" s="52">
        <f>FORECAST.ETS(A52,$B$4:$B$44,$A$4:$A$44,12,1)</f>
        <v/>
      </c>
      <c r="E52" s="52">
        <f>FORECAST.ETS(A52,$B$4:$B$44,$A$4:$A$44,12,1)-FORECAST.ETS.CONFINT(A52,$B$4:$B$44,$A$4:$A$44,0.8,12,1)</f>
        <v/>
      </c>
      <c r="F52" s="52">
        <f>FORECAST.ETS(A52,$B$4:$B$44,$A$4:$A$44,12,1)+FORECAST.ETS.CONFINT(A52,$B$4:$B$44,$A$4:$A$44,0.8,12,1)</f>
        <v/>
      </c>
      <c r="G52" s="52">
        <f>FORECAST.ETS(A52,$B$4:$B$44,$A$4:$A$44,12,1)-FORECAST.ETS.CONFINT(A52,$B$4:$B$44,$A$4:$A$44,0.95,12,1)</f>
        <v/>
      </c>
      <c r="H52" s="52">
        <f>FORECAST.ETS(A52,$B$4:$B$44,$A$4:$A$44,12,1)+FORECAST.ETS.CONFINT(A52,$B$4:$B$44,$A$4:$A$44,0.95,12,1)</f>
        <v/>
      </c>
      <c r="I52" s="52">
        <f>FORECAST.ETS(A52,$C$4:$C$44,$A$4:$A$44,12,1)</f>
        <v/>
      </c>
      <c r="J52" s="51" t="n"/>
    </row>
    <row r="53" ht="15" customHeight="1">
      <c r="A53" s="42" t="inlineStr">
        <is>
          <t>2027-02</t>
        </is>
      </c>
      <c r="B53" s="51" t="n"/>
      <c r="C53" s="51" t="n"/>
      <c r="D53" s="52">
        <f>FORECAST.ETS(A53,$B$4:$B$44,$A$4:$A$44,12,1)</f>
        <v/>
      </c>
      <c r="E53" s="52">
        <f>FORECAST.ETS(A53,$B$4:$B$44,$A$4:$A$44,12,1)-FORECAST.ETS.CONFINT(A53,$B$4:$B$44,$A$4:$A$44,0.8,12,1)</f>
        <v/>
      </c>
      <c r="F53" s="52">
        <f>FORECAST.ETS(A53,$B$4:$B$44,$A$4:$A$44,12,1)+FORECAST.ETS.CONFINT(A53,$B$4:$B$44,$A$4:$A$44,0.8,12,1)</f>
        <v/>
      </c>
      <c r="G53" s="52">
        <f>FORECAST.ETS(A53,$B$4:$B$44,$A$4:$A$44,12,1)-FORECAST.ETS.CONFINT(A53,$B$4:$B$44,$A$4:$A$44,0.95,12,1)</f>
        <v/>
      </c>
      <c r="H53" s="52">
        <f>FORECAST.ETS(A53,$B$4:$B$44,$A$4:$A$44,12,1)+FORECAST.ETS.CONFINT(A53,$B$4:$B$44,$A$4:$A$44,0.95,12,1)</f>
        <v/>
      </c>
      <c r="I53" s="52">
        <f>FORECAST.ETS(A53,$C$4:$C$44,$A$4:$A$44,12,1)</f>
        <v/>
      </c>
      <c r="J53" s="51" t="n"/>
    </row>
    <row r="54" ht="15" customHeight="1">
      <c r="A54" s="42" t="inlineStr">
        <is>
          <t>2027-03</t>
        </is>
      </c>
      <c r="B54" s="51" t="n"/>
      <c r="C54" s="51" t="n"/>
      <c r="D54" s="52">
        <f>FORECAST.ETS(A54,$B$4:$B$44,$A$4:$A$44,12,1)</f>
        <v/>
      </c>
      <c r="E54" s="52">
        <f>FORECAST.ETS(A54,$B$4:$B$44,$A$4:$A$44,12,1)-FORECAST.ETS.CONFINT(A54,$B$4:$B$44,$A$4:$A$44,0.8,12,1)</f>
        <v/>
      </c>
      <c r="F54" s="52">
        <f>FORECAST.ETS(A54,$B$4:$B$44,$A$4:$A$44,12,1)+FORECAST.ETS.CONFINT(A54,$B$4:$B$44,$A$4:$A$44,0.8,12,1)</f>
        <v/>
      </c>
      <c r="G54" s="52">
        <f>FORECAST.ETS(A54,$B$4:$B$44,$A$4:$A$44,12,1)-FORECAST.ETS.CONFINT(A54,$B$4:$B$44,$A$4:$A$44,0.95,12,1)</f>
        <v/>
      </c>
      <c r="H54" s="52">
        <f>FORECAST.ETS(A54,$B$4:$B$44,$A$4:$A$44,12,1)+FORECAST.ETS.CONFINT(A54,$B$4:$B$44,$A$4:$A$44,0.95,12,1)</f>
        <v/>
      </c>
      <c r="I54" s="52">
        <f>FORECAST.ETS(A54,$C$4:$C$44,$A$4:$A$44,12,1)</f>
        <v/>
      </c>
      <c r="J54" s="51" t="n"/>
    </row>
    <row r="55" ht="15" customHeight="1">
      <c r="A55" s="42" t="inlineStr">
        <is>
          <t>2027-04</t>
        </is>
      </c>
      <c r="B55" s="51" t="n"/>
      <c r="C55" s="51" t="n"/>
      <c r="D55" s="52">
        <f>FORECAST.ETS(A55,$B$4:$B$44,$A$4:$A$44,12,1)</f>
        <v/>
      </c>
      <c r="E55" s="52">
        <f>FORECAST.ETS(A55,$B$4:$B$44,$A$4:$A$44,12,1)-FORECAST.ETS.CONFINT(A55,$B$4:$B$44,$A$4:$A$44,0.8,12,1)</f>
        <v/>
      </c>
      <c r="F55" s="52">
        <f>FORECAST.ETS(A55,$B$4:$B$44,$A$4:$A$44,12,1)+FORECAST.ETS.CONFINT(A55,$B$4:$B$44,$A$4:$A$44,0.8,12,1)</f>
        <v/>
      </c>
      <c r="G55" s="52">
        <f>FORECAST.ETS(A55,$B$4:$B$44,$A$4:$A$44,12,1)-FORECAST.ETS.CONFINT(A55,$B$4:$B$44,$A$4:$A$44,0.95,12,1)</f>
        <v/>
      </c>
      <c r="H55" s="52">
        <f>FORECAST.ETS(A55,$B$4:$B$44,$A$4:$A$44,12,1)+FORECAST.ETS.CONFINT(A55,$B$4:$B$44,$A$4:$A$44,0.95,12,1)</f>
        <v/>
      </c>
      <c r="I55" s="52">
        <f>FORECAST.ETS(A55,$C$4:$C$44,$A$4:$A$44,12,1)</f>
        <v/>
      </c>
      <c r="J55" s="51" t="n"/>
    </row>
    <row r="56" ht="15" customHeight="1">
      <c r="A56" s="42" t="inlineStr">
        <is>
          <t>2027-05</t>
        </is>
      </c>
      <c r="B56" s="51" t="n"/>
      <c r="C56" s="51" t="n"/>
      <c r="D56" s="52">
        <f>FORECAST.ETS(A56,$B$4:$B$44,$A$4:$A$44,12,1)</f>
        <v/>
      </c>
      <c r="E56" s="52">
        <f>FORECAST.ETS(A56,$B$4:$B$44,$A$4:$A$44,12,1)-FORECAST.ETS.CONFINT(A56,$B$4:$B$44,$A$4:$A$44,0.8,12,1)</f>
        <v/>
      </c>
      <c r="F56" s="52">
        <f>FORECAST.ETS(A56,$B$4:$B$44,$A$4:$A$44,12,1)+FORECAST.ETS.CONFINT(A56,$B$4:$B$44,$A$4:$A$44,0.8,12,1)</f>
        <v/>
      </c>
      <c r="G56" s="52">
        <f>FORECAST.ETS(A56,$B$4:$B$44,$A$4:$A$44,12,1)-FORECAST.ETS.CONFINT(A56,$B$4:$B$44,$A$4:$A$44,0.95,12,1)</f>
        <v/>
      </c>
      <c r="H56" s="52">
        <f>FORECAST.ETS(A56,$B$4:$B$44,$A$4:$A$44,12,1)+FORECAST.ETS.CONFINT(A56,$B$4:$B$44,$A$4:$A$44,0.95,12,1)</f>
        <v/>
      </c>
      <c r="I56" s="52">
        <f>FORECAST.ETS(A56,$C$4:$C$44,$A$4:$A$44,12,1)</f>
        <v/>
      </c>
      <c r="J56" s="51" t="n"/>
    </row>
    <row r="57" ht="15" customHeight="1">
      <c r="A57" s="42" t="inlineStr">
        <is>
          <t>2027-06</t>
        </is>
      </c>
      <c r="B57" s="51" t="n"/>
      <c r="C57" s="51" t="n"/>
      <c r="D57" s="52">
        <f>FORECAST.ETS(A57,$B$4:$B$44,$A$4:$A$44,12,1)</f>
        <v/>
      </c>
      <c r="E57" s="52">
        <f>FORECAST.ETS(A57,$B$4:$B$44,$A$4:$A$44,12,1)-FORECAST.ETS.CONFINT(A57,$B$4:$B$44,$A$4:$A$44,0.8,12,1)</f>
        <v/>
      </c>
      <c r="F57" s="52">
        <f>FORECAST.ETS(A57,$B$4:$B$44,$A$4:$A$44,12,1)+FORECAST.ETS.CONFINT(A57,$B$4:$B$44,$A$4:$A$44,0.8,12,1)</f>
        <v/>
      </c>
      <c r="G57" s="52">
        <f>FORECAST.ETS(A57,$B$4:$B$44,$A$4:$A$44,12,1)-FORECAST.ETS.CONFINT(A57,$B$4:$B$44,$A$4:$A$44,0.95,12,1)</f>
        <v/>
      </c>
      <c r="H57" s="52">
        <f>FORECAST.ETS(A57,$B$4:$B$44,$A$4:$A$44,12,1)+FORECAST.ETS.CONFINT(A57,$B$4:$B$44,$A$4:$A$44,0.95,12,1)</f>
        <v/>
      </c>
      <c r="I57" s="52">
        <f>FORECAST.ETS(A57,$C$4:$C$44,$A$4:$A$44,12,1)</f>
        <v/>
      </c>
      <c r="J57" s="51" t="n"/>
    </row>
    <row r="58" ht="15" customHeight="1">
      <c r="A58" s="42" t="inlineStr">
        <is>
          <t>2027-07</t>
        </is>
      </c>
      <c r="B58" s="51" t="n"/>
      <c r="C58" s="51" t="n"/>
      <c r="D58" s="52">
        <f>FORECAST.ETS(A58,$B$4:$B$44,$A$4:$A$44,12,1)</f>
        <v/>
      </c>
      <c r="E58" s="52">
        <f>FORECAST.ETS(A58,$B$4:$B$44,$A$4:$A$44,12,1)-FORECAST.ETS.CONFINT(A58,$B$4:$B$44,$A$4:$A$44,0.8,12,1)</f>
        <v/>
      </c>
      <c r="F58" s="52">
        <f>FORECAST.ETS(A58,$B$4:$B$44,$A$4:$A$44,12,1)+FORECAST.ETS.CONFINT(A58,$B$4:$B$44,$A$4:$A$44,0.8,12,1)</f>
        <v/>
      </c>
      <c r="G58" s="52">
        <f>FORECAST.ETS(A58,$B$4:$B$44,$A$4:$A$44,12,1)-FORECAST.ETS.CONFINT(A58,$B$4:$B$44,$A$4:$A$44,0.95,12,1)</f>
        <v/>
      </c>
      <c r="H58" s="52">
        <f>FORECAST.ETS(A58,$B$4:$B$44,$A$4:$A$44,12,1)+FORECAST.ETS.CONFINT(A58,$B$4:$B$44,$A$4:$A$44,0.95,12,1)</f>
        <v/>
      </c>
      <c r="I58" s="52">
        <f>FORECAST.ETS(A58,$C$4:$C$44,$A$4:$A$44,12,1)</f>
        <v/>
      </c>
      <c r="J58" s="51" t="n"/>
    </row>
    <row r="59" ht="15" customHeight="1">
      <c r="A59" s="42" t="inlineStr">
        <is>
          <t>2027-08</t>
        </is>
      </c>
      <c r="B59" s="51" t="n"/>
      <c r="C59" s="51" t="n"/>
      <c r="D59" s="52">
        <f>FORECAST.ETS(A59,$B$4:$B$44,$A$4:$A$44,12,1)</f>
        <v/>
      </c>
      <c r="E59" s="52">
        <f>FORECAST.ETS(A59,$B$4:$B$44,$A$4:$A$44,12,1)-FORECAST.ETS.CONFINT(A59,$B$4:$B$44,$A$4:$A$44,0.8,12,1)</f>
        <v/>
      </c>
      <c r="F59" s="52">
        <f>FORECAST.ETS(A59,$B$4:$B$44,$A$4:$A$44,12,1)+FORECAST.ETS.CONFINT(A59,$B$4:$B$44,$A$4:$A$44,0.8,12,1)</f>
        <v/>
      </c>
      <c r="G59" s="52">
        <f>FORECAST.ETS(A59,$B$4:$B$44,$A$4:$A$44,12,1)-FORECAST.ETS.CONFINT(A59,$B$4:$B$44,$A$4:$A$44,0.95,12,1)</f>
        <v/>
      </c>
      <c r="H59" s="52">
        <f>FORECAST.ETS(A59,$B$4:$B$44,$A$4:$A$44,12,1)+FORECAST.ETS.CONFINT(A59,$B$4:$B$44,$A$4:$A$44,0.95,12,1)</f>
        <v/>
      </c>
      <c r="I59" s="52">
        <f>FORECAST.ETS(A59,$C$4:$C$44,$A$4:$A$44,12,1)</f>
        <v/>
      </c>
      <c r="J59" s="51" t="n"/>
    </row>
    <row r="60" ht="15" customHeight="1">
      <c r="A60" s="42" t="inlineStr">
        <is>
          <t>2027-09</t>
        </is>
      </c>
      <c r="B60" s="51" t="n"/>
      <c r="C60" s="51" t="n"/>
      <c r="D60" s="52">
        <f>FORECAST.ETS(A60,$B$4:$B$44,$A$4:$A$44,12,1)</f>
        <v/>
      </c>
      <c r="E60" s="52">
        <f>FORECAST.ETS(A60,$B$4:$B$44,$A$4:$A$44,12,1)-FORECAST.ETS.CONFINT(A60,$B$4:$B$44,$A$4:$A$44,0.8,12,1)</f>
        <v/>
      </c>
      <c r="F60" s="52">
        <f>FORECAST.ETS(A60,$B$4:$B$44,$A$4:$A$44,12,1)+FORECAST.ETS.CONFINT(A60,$B$4:$B$44,$A$4:$A$44,0.8,12,1)</f>
        <v/>
      </c>
      <c r="G60" s="52">
        <f>FORECAST.ETS(A60,$B$4:$B$44,$A$4:$A$44,12,1)-FORECAST.ETS.CONFINT(A60,$B$4:$B$44,$A$4:$A$44,0.95,12,1)</f>
        <v/>
      </c>
      <c r="H60" s="52">
        <f>FORECAST.ETS(A60,$B$4:$B$44,$A$4:$A$44,12,1)+FORECAST.ETS.CONFINT(A60,$B$4:$B$44,$A$4:$A$44,0.95,12,1)</f>
        <v/>
      </c>
      <c r="I60" s="52">
        <f>FORECAST.ETS(A60,$C$4:$C$44,$A$4:$A$44,12,1)</f>
        <v/>
      </c>
      <c r="J60" s="51" t="n"/>
    </row>
    <row r="61" ht="15" customHeight="1">
      <c r="A61" s="42" t="inlineStr">
        <is>
          <t>2027-10</t>
        </is>
      </c>
      <c r="B61" s="51" t="n"/>
      <c r="C61" s="51" t="n"/>
      <c r="D61" s="52">
        <f>FORECAST.ETS(A61,$B$4:$B$44,$A$4:$A$44,12,1)</f>
        <v/>
      </c>
      <c r="E61" s="52">
        <f>FORECAST.ETS(A61,$B$4:$B$44,$A$4:$A$44,12,1)-FORECAST.ETS.CONFINT(A61,$B$4:$B$44,$A$4:$A$44,0.8,12,1)</f>
        <v/>
      </c>
      <c r="F61" s="52">
        <f>FORECAST.ETS(A61,$B$4:$B$44,$A$4:$A$44,12,1)+FORECAST.ETS.CONFINT(A61,$B$4:$B$44,$A$4:$A$44,0.8,12,1)</f>
        <v/>
      </c>
      <c r="G61" s="52">
        <f>FORECAST.ETS(A61,$B$4:$B$44,$A$4:$A$44,12,1)-FORECAST.ETS.CONFINT(A61,$B$4:$B$44,$A$4:$A$44,0.95,12,1)</f>
        <v/>
      </c>
      <c r="H61" s="52">
        <f>FORECAST.ETS(A61,$B$4:$B$44,$A$4:$A$44,12,1)+FORECAST.ETS.CONFINT(A61,$B$4:$B$44,$A$4:$A$44,0.95,12,1)</f>
        <v/>
      </c>
      <c r="I61" s="52">
        <f>FORECAST.ETS(A61,$C$4:$C$44,$A$4:$A$44,12,1)</f>
        <v/>
      </c>
      <c r="J61" s="51" t="n"/>
    </row>
    <row r="62" ht="15" customHeight="1">
      <c r="A62" s="42" t="inlineStr">
        <is>
          <t>2027-11</t>
        </is>
      </c>
      <c r="B62" s="51" t="n"/>
      <c r="C62" s="51" t="n"/>
      <c r="D62" s="52">
        <f>FORECAST.ETS(A62,$B$4:$B$44,$A$4:$A$44,12,1)</f>
        <v/>
      </c>
      <c r="E62" s="52">
        <f>FORECAST.ETS(A62,$B$4:$B$44,$A$4:$A$44,12,1)-FORECAST.ETS.CONFINT(A62,$B$4:$B$44,$A$4:$A$44,0.8,12,1)</f>
        <v/>
      </c>
      <c r="F62" s="52">
        <f>FORECAST.ETS(A62,$B$4:$B$44,$A$4:$A$44,12,1)+FORECAST.ETS.CONFINT(A62,$B$4:$B$44,$A$4:$A$44,0.8,12,1)</f>
        <v/>
      </c>
      <c r="G62" s="52">
        <f>FORECAST.ETS(A62,$B$4:$B$44,$A$4:$A$44,12,1)-FORECAST.ETS.CONFINT(A62,$B$4:$B$44,$A$4:$A$44,0.95,12,1)</f>
        <v/>
      </c>
      <c r="H62" s="52">
        <f>FORECAST.ETS(A62,$B$4:$B$44,$A$4:$A$44,12,1)+FORECAST.ETS.CONFINT(A62,$B$4:$B$44,$A$4:$A$44,0.95,12,1)</f>
        <v/>
      </c>
      <c r="I62" s="52">
        <f>FORECAST.ETS(A62,$C$4:$C$44,$A$4:$A$44,12,1)</f>
        <v/>
      </c>
      <c r="J62" s="51" t="n"/>
    </row>
    <row r="63" ht="15" customHeight="1">
      <c r="A63" s="42" t="inlineStr">
        <is>
          <t>2027-12</t>
        </is>
      </c>
      <c r="B63" s="51" t="n"/>
      <c r="C63" s="51" t="n"/>
      <c r="D63" s="52">
        <f>FORECAST.ETS(A63,$B$4:$B$44,$A$4:$A$44,12,1)</f>
        <v/>
      </c>
      <c r="E63" s="52">
        <f>FORECAST.ETS(A63,$B$4:$B$44,$A$4:$A$44,12,1)-FORECAST.ETS.CONFINT(A63,$B$4:$B$44,$A$4:$A$44,0.8,12,1)</f>
        <v/>
      </c>
      <c r="F63" s="52">
        <f>FORECAST.ETS(A63,$B$4:$B$44,$A$4:$A$44,12,1)+FORECAST.ETS.CONFINT(A63,$B$4:$B$44,$A$4:$A$44,0.8,12,1)</f>
        <v/>
      </c>
      <c r="G63" s="52">
        <f>FORECAST.ETS(A63,$B$4:$B$44,$A$4:$A$44,12,1)-FORECAST.ETS.CONFINT(A63,$B$4:$B$44,$A$4:$A$44,0.95,12,1)</f>
        <v/>
      </c>
      <c r="H63" s="52">
        <f>FORECAST.ETS(A63,$B$4:$B$44,$A$4:$A$44,12,1)+FORECAST.ETS.CONFINT(A63,$B$4:$B$44,$A$4:$A$44,0.95,12,1)</f>
        <v/>
      </c>
      <c r="I63" s="52">
        <f>FORECAST.ETS(A63,$C$4:$C$44,$A$4:$A$44,12,1)</f>
        <v/>
      </c>
      <c r="J63" s="51" t="n"/>
    </row>
    <row r="64" ht="15" customHeight="1">
      <c r="A64" s="42" t="inlineStr">
        <is>
          <t>2028-01</t>
        </is>
      </c>
      <c r="B64" s="51" t="n"/>
      <c r="C64" s="51" t="n"/>
      <c r="D64" s="52">
        <f>FORECAST.ETS(A64,$B$4:$B$44,$A$4:$A$44,12,1)</f>
        <v/>
      </c>
      <c r="E64" s="52">
        <f>FORECAST.ETS(A64,$B$4:$B$44,$A$4:$A$44,12,1)-FORECAST.ETS.CONFINT(A64,$B$4:$B$44,$A$4:$A$44,0.8,12,1)</f>
        <v/>
      </c>
      <c r="F64" s="52">
        <f>FORECAST.ETS(A64,$B$4:$B$44,$A$4:$A$44,12,1)+FORECAST.ETS.CONFINT(A64,$B$4:$B$44,$A$4:$A$44,0.8,12,1)</f>
        <v/>
      </c>
      <c r="G64" s="52">
        <f>FORECAST.ETS(A64,$B$4:$B$44,$A$4:$A$44,12,1)-FORECAST.ETS.CONFINT(A64,$B$4:$B$44,$A$4:$A$44,0.95,12,1)</f>
        <v/>
      </c>
      <c r="H64" s="52">
        <f>FORECAST.ETS(A64,$B$4:$B$44,$A$4:$A$44,12,1)+FORECAST.ETS.CONFINT(A64,$B$4:$B$44,$A$4:$A$44,0.95,12,1)</f>
        <v/>
      </c>
      <c r="I64" s="52">
        <f>FORECAST.ETS(A64,$C$4:$C$44,$A$4:$A$44,12,1)</f>
        <v/>
      </c>
      <c r="J64" s="51" t="n"/>
    </row>
    <row r="65" ht="15" customHeight="1">
      <c r="A65" s="42" t="inlineStr">
        <is>
          <t>2028-02</t>
        </is>
      </c>
      <c r="B65" s="51" t="n"/>
      <c r="C65" s="51" t="n"/>
      <c r="D65" s="52">
        <f>FORECAST.ETS(A65,$B$4:$B$44,$A$4:$A$44,12,1)</f>
        <v/>
      </c>
      <c r="E65" s="52">
        <f>FORECAST.ETS(A65,$B$4:$B$44,$A$4:$A$44,12,1)-FORECAST.ETS.CONFINT(A65,$B$4:$B$44,$A$4:$A$44,0.8,12,1)</f>
        <v/>
      </c>
      <c r="F65" s="52">
        <f>FORECAST.ETS(A65,$B$4:$B$44,$A$4:$A$44,12,1)+FORECAST.ETS.CONFINT(A65,$B$4:$B$44,$A$4:$A$44,0.8,12,1)</f>
        <v/>
      </c>
      <c r="G65" s="52">
        <f>FORECAST.ETS(A65,$B$4:$B$44,$A$4:$A$44,12,1)-FORECAST.ETS.CONFINT(A65,$B$4:$B$44,$A$4:$A$44,0.95,12,1)</f>
        <v/>
      </c>
      <c r="H65" s="52">
        <f>FORECAST.ETS(A65,$B$4:$B$44,$A$4:$A$44,12,1)+FORECAST.ETS.CONFINT(A65,$B$4:$B$44,$A$4:$A$44,0.95,12,1)</f>
        <v/>
      </c>
      <c r="I65" s="52">
        <f>FORECAST.ETS(A65,$C$4:$C$44,$A$4:$A$44,12,1)</f>
        <v/>
      </c>
      <c r="J65" s="51" t="n"/>
    </row>
    <row r="66" ht="15" customHeight="1">
      <c r="A66" s="42" t="inlineStr">
        <is>
          <t>2028-03</t>
        </is>
      </c>
      <c r="B66" s="51" t="n"/>
      <c r="C66" s="51" t="n"/>
      <c r="D66" s="52">
        <f>FORECAST.ETS(A66,$B$4:$B$44,$A$4:$A$44,12,1)</f>
        <v/>
      </c>
      <c r="E66" s="52">
        <f>FORECAST.ETS(A66,$B$4:$B$44,$A$4:$A$44,12,1)-FORECAST.ETS.CONFINT(A66,$B$4:$B$44,$A$4:$A$44,0.8,12,1)</f>
        <v/>
      </c>
      <c r="F66" s="52">
        <f>FORECAST.ETS(A66,$B$4:$B$44,$A$4:$A$44,12,1)+FORECAST.ETS.CONFINT(A66,$B$4:$B$44,$A$4:$A$44,0.8,12,1)</f>
        <v/>
      </c>
      <c r="G66" s="52">
        <f>FORECAST.ETS(A66,$B$4:$B$44,$A$4:$A$44,12,1)-FORECAST.ETS.CONFINT(A66,$B$4:$B$44,$A$4:$A$44,0.95,12,1)</f>
        <v/>
      </c>
      <c r="H66" s="52">
        <f>FORECAST.ETS(A66,$B$4:$B$44,$A$4:$A$44,12,1)+FORECAST.ETS.CONFINT(A66,$B$4:$B$44,$A$4:$A$44,0.95,12,1)</f>
        <v/>
      </c>
      <c r="I66" s="52">
        <f>FORECAST.ETS(A66,$C$4:$C$44,$A$4:$A$44,12,1)</f>
        <v/>
      </c>
      <c r="J66" s="51" t="n"/>
    </row>
    <row r="67" ht="15" customHeight="1">
      <c r="A67" s="42" t="inlineStr">
        <is>
          <t>2028-04</t>
        </is>
      </c>
      <c r="B67" s="51" t="n"/>
      <c r="C67" s="51" t="n"/>
      <c r="D67" s="52">
        <f>FORECAST.ETS(A67,$B$4:$B$44,$A$4:$A$44,12,1)</f>
        <v/>
      </c>
      <c r="E67" s="52">
        <f>FORECAST.ETS(A67,$B$4:$B$44,$A$4:$A$44,12,1)-FORECAST.ETS.CONFINT(A67,$B$4:$B$44,$A$4:$A$44,0.8,12,1)</f>
        <v/>
      </c>
      <c r="F67" s="52">
        <f>FORECAST.ETS(A67,$B$4:$B$44,$A$4:$A$44,12,1)+FORECAST.ETS.CONFINT(A67,$B$4:$B$44,$A$4:$A$44,0.8,12,1)</f>
        <v/>
      </c>
      <c r="G67" s="52">
        <f>FORECAST.ETS(A67,$B$4:$B$44,$A$4:$A$44,12,1)-FORECAST.ETS.CONFINT(A67,$B$4:$B$44,$A$4:$A$44,0.95,12,1)</f>
        <v/>
      </c>
      <c r="H67" s="52">
        <f>FORECAST.ETS(A67,$B$4:$B$44,$A$4:$A$44,12,1)+FORECAST.ETS.CONFINT(A67,$B$4:$B$44,$A$4:$A$44,0.95,12,1)</f>
        <v/>
      </c>
      <c r="I67" s="52">
        <f>FORECAST.ETS(A67,$C$4:$C$44,$A$4:$A$44,12,1)</f>
        <v/>
      </c>
      <c r="J67" s="51" t="n"/>
    </row>
    <row r="68" ht="15" customHeight="1">
      <c r="A68" s="42" t="inlineStr">
        <is>
          <t>2028-05</t>
        </is>
      </c>
      <c r="B68" s="51" t="n"/>
      <c r="C68" s="51" t="n"/>
      <c r="D68" s="52">
        <f>FORECAST.ETS(A68,$B$4:$B$44,$A$4:$A$44,12,1)</f>
        <v/>
      </c>
      <c r="E68" s="52">
        <f>FORECAST.ETS(A68,$B$4:$B$44,$A$4:$A$44,12,1)-FORECAST.ETS.CONFINT(A68,$B$4:$B$44,$A$4:$A$44,0.8,12,1)</f>
        <v/>
      </c>
      <c r="F68" s="52">
        <f>FORECAST.ETS(A68,$B$4:$B$44,$A$4:$A$44,12,1)+FORECAST.ETS.CONFINT(A68,$B$4:$B$44,$A$4:$A$44,0.8,12,1)</f>
        <v/>
      </c>
      <c r="G68" s="52">
        <f>FORECAST.ETS(A68,$B$4:$B$44,$A$4:$A$44,12,1)-FORECAST.ETS.CONFINT(A68,$B$4:$B$44,$A$4:$A$44,0.95,12,1)</f>
        <v/>
      </c>
      <c r="H68" s="52">
        <f>FORECAST.ETS(A68,$B$4:$B$44,$A$4:$A$44,12,1)+FORECAST.ETS.CONFINT(A68,$B$4:$B$44,$A$4:$A$44,0.95,12,1)</f>
        <v/>
      </c>
      <c r="I68" s="52">
        <f>FORECAST.ETS(A68,$C$4:$C$44,$A$4:$A$44,12,1)</f>
        <v/>
      </c>
      <c r="J68" s="51" t="n"/>
    </row>
    <row r="69" ht="15" customHeight="1">
      <c r="A69" s="42" t="inlineStr">
        <is>
          <t>2028-06</t>
        </is>
      </c>
      <c r="B69" s="51" t="n"/>
      <c r="C69" s="51" t="n"/>
      <c r="D69" s="52">
        <f>FORECAST.ETS(A69,$B$4:$B$44,$A$4:$A$44,12,1)</f>
        <v/>
      </c>
      <c r="E69" s="52">
        <f>FORECAST.ETS(A69,$B$4:$B$44,$A$4:$A$44,12,1)-FORECAST.ETS.CONFINT(A69,$B$4:$B$44,$A$4:$A$44,0.8,12,1)</f>
        <v/>
      </c>
      <c r="F69" s="52">
        <f>FORECAST.ETS(A69,$B$4:$B$44,$A$4:$A$44,12,1)+FORECAST.ETS.CONFINT(A69,$B$4:$B$44,$A$4:$A$44,0.8,12,1)</f>
        <v/>
      </c>
      <c r="G69" s="52">
        <f>FORECAST.ETS(A69,$B$4:$B$44,$A$4:$A$44,12,1)-FORECAST.ETS.CONFINT(A69,$B$4:$B$44,$A$4:$A$44,0.95,12,1)</f>
        <v/>
      </c>
      <c r="H69" s="52">
        <f>FORECAST.ETS(A69,$B$4:$B$44,$A$4:$A$44,12,1)+FORECAST.ETS.CONFINT(A69,$B$4:$B$44,$A$4:$A$44,0.95,12,1)</f>
        <v/>
      </c>
      <c r="I69" s="52">
        <f>FORECAST.ETS(A69,$C$4:$C$44,$A$4:$A$44,12,1)</f>
        <v/>
      </c>
      <c r="J69" s="51" t="n"/>
    </row>
    <row r="70" ht="15" customHeight="1">
      <c r="A70" s="42" t="inlineStr">
        <is>
          <t>2028-07</t>
        </is>
      </c>
      <c r="B70" s="51" t="n"/>
      <c r="C70" s="51" t="n"/>
      <c r="D70" s="52">
        <f>FORECAST.ETS(A70,$B$4:$B$44,$A$4:$A$44,12,1)</f>
        <v/>
      </c>
      <c r="E70" s="52">
        <f>FORECAST.ETS(A70,$B$4:$B$44,$A$4:$A$44,12,1)-FORECAST.ETS.CONFINT(A70,$B$4:$B$44,$A$4:$A$44,0.8,12,1)</f>
        <v/>
      </c>
      <c r="F70" s="52">
        <f>FORECAST.ETS(A70,$B$4:$B$44,$A$4:$A$44,12,1)+FORECAST.ETS.CONFINT(A70,$B$4:$B$44,$A$4:$A$44,0.8,12,1)</f>
        <v/>
      </c>
      <c r="G70" s="52">
        <f>FORECAST.ETS(A70,$B$4:$B$44,$A$4:$A$44,12,1)-FORECAST.ETS.CONFINT(A70,$B$4:$B$44,$A$4:$A$44,0.95,12,1)</f>
        <v/>
      </c>
      <c r="H70" s="52">
        <f>FORECAST.ETS(A70,$B$4:$B$44,$A$4:$A$44,12,1)+FORECAST.ETS.CONFINT(A70,$B$4:$B$44,$A$4:$A$44,0.95,12,1)</f>
        <v/>
      </c>
      <c r="I70" s="52">
        <f>FORECAST.ETS(A70,$C$4:$C$44,$A$4:$A$44,12,1)</f>
        <v/>
      </c>
      <c r="J70" s="51" t="n"/>
    </row>
    <row r="71" ht="15" customHeight="1">
      <c r="A71" s="42" t="inlineStr">
        <is>
          <t>2028-08</t>
        </is>
      </c>
      <c r="B71" s="51" t="n"/>
      <c r="C71" s="51" t="n"/>
      <c r="D71" s="52">
        <f>FORECAST.ETS(A71,$B$4:$B$44,$A$4:$A$44,12,1)</f>
        <v/>
      </c>
      <c r="E71" s="52">
        <f>FORECAST.ETS(A71,$B$4:$B$44,$A$4:$A$44,12,1)-FORECAST.ETS.CONFINT(A71,$B$4:$B$44,$A$4:$A$44,0.8,12,1)</f>
        <v/>
      </c>
      <c r="F71" s="52">
        <f>FORECAST.ETS(A71,$B$4:$B$44,$A$4:$A$44,12,1)+FORECAST.ETS.CONFINT(A71,$B$4:$B$44,$A$4:$A$44,0.8,12,1)</f>
        <v/>
      </c>
      <c r="G71" s="52">
        <f>FORECAST.ETS(A71,$B$4:$B$44,$A$4:$A$44,12,1)-FORECAST.ETS.CONFINT(A71,$B$4:$B$44,$A$4:$A$44,0.95,12,1)</f>
        <v/>
      </c>
      <c r="H71" s="52">
        <f>FORECAST.ETS(A71,$B$4:$B$44,$A$4:$A$44,12,1)+FORECAST.ETS.CONFINT(A71,$B$4:$B$44,$A$4:$A$44,0.95,12,1)</f>
        <v/>
      </c>
      <c r="I71" s="52">
        <f>FORECAST.ETS(A71,$C$4:$C$44,$A$4:$A$44,12,1)</f>
        <v/>
      </c>
      <c r="J71" s="51" t="n"/>
    </row>
    <row r="72" ht="15" customHeight="1">
      <c r="A72" s="42" t="inlineStr">
        <is>
          <t>2028-09</t>
        </is>
      </c>
      <c r="B72" s="51" t="n"/>
      <c r="C72" s="51" t="n"/>
      <c r="D72" s="52">
        <f>FORECAST.ETS(A72,$B$4:$B$44,$A$4:$A$44,12,1)</f>
        <v/>
      </c>
      <c r="E72" s="52">
        <f>FORECAST.ETS(A72,$B$4:$B$44,$A$4:$A$44,12,1)-FORECAST.ETS.CONFINT(A72,$B$4:$B$44,$A$4:$A$44,0.8,12,1)</f>
        <v/>
      </c>
      <c r="F72" s="52">
        <f>FORECAST.ETS(A72,$B$4:$B$44,$A$4:$A$44,12,1)+FORECAST.ETS.CONFINT(A72,$B$4:$B$44,$A$4:$A$44,0.8,12,1)</f>
        <v/>
      </c>
      <c r="G72" s="52">
        <f>FORECAST.ETS(A72,$B$4:$B$44,$A$4:$A$44,12,1)-FORECAST.ETS.CONFINT(A72,$B$4:$B$44,$A$4:$A$44,0.95,12,1)</f>
        <v/>
      </c>
      <c r="H72" s="52">
        <f>FORECAST.ETS(A72,$B$4:$B$44,$A$4:$A$44,12,1)+FORECAST.ETS.CONFINT(A72,$B$4:$B$44,$A$4:$A$44,0.95,12,1)</f>
        <v/>
      </c>
      <c r="I72" s="52">
        <f>FORECAST.ETS(A72,$C$4:$C$44,$A$4:$A$44,12,1)</f>
        <v/>
      </c>
      <c r="J72" s="51" t="n"/>
    </row>
    <row r="73" ht="15" customHeight="1">
      <c r="A73" s="42" t="inlineStr">
        <is>
          <t>2028-10</t>
        </is>
      </c>
      <c r="B73" s="51" t="n"/>
      <c r="C73" s="51" t="n"/>
      <c r="D73" s="52">
        <f>FORECAST.ETS(A73,$B$4:$B$44,$A$4:$A$44,12,1)</f>
        <v/>
      </c>
      <c r="E73" s="52">
        <f>FORECAST.ETS(A73,$B$4:$B$44,$A$4:$A$44,12,1)-FORECAST.ETS.CONFINT(A73,$B$4:$B$44,$A$4:$A$44,0.8,12,1)</f>
        <v/>
      </c>
      <c r="F73" s="52">
        <f>FORECAST.ETS(A73,$B$4:$B$44,$A$4:$A$44,12,1)+FORECAST.ETS.CONFINT(A73,$B$4:$B$44,$A$4:$A$44,0.8,12,1)</f>
        <v/>
      </c>
      <c r="G73" s="52">
        <f>FORECAST.ETS(A73,$B$4:$B$44,$A$4:$A$44,12,1)-FORECAST.ETS.CONFINT(A73,$B$4:$B$44,$A$4:$A$44,0.95,12,1)</f>
        <v/>
      </c>
      <c r="H73" s="52">
        <f>FORECAST.ETS(A73,$B$4:$B$44,$A$4:$A$44,12,1)+FORECAST.ETS.CONFINT(A73,$B$4:$B$44,$A$4:$A$44,0.95,12,1)</f>
        <v/>
      </c>
      <c r="I73" s="52">
        <f>FORECAST.ETS(A73,$C$4:$C$44,$A$4:$A$44,12,1)</f>
        <v/>
      </c>
      <c r="J73" s="51" t="n"/>
    </row>
    <row r="74" ht="15" customHeight="1">
      <c r="A74" s="42" t="inlineStr">
        <is>
          <t>2028-11</t>
        </is>
      </c>
      <c r="B74" s="51" t="n"/>
      <c r="C74" s="51" t="n"/>
      <c r="D74" s="52">
        <f>FORECAST.ETS(A74,$B$4:$B$44,$A$4:$A$44,12,1)</f>
        <v/>
      </c>
      <c r="E74" s="52">
        <f>FORECAST.ETS(A74,$B$4:$B$44,$A$4:$A$44,12,1)-FORECAST.ETS.CONFINT(A74,$B$4:$B$44,$A$4:$A$44,0.8,12,1)</f>
        <v/>
      </c>
      <c r="F74" s="52">
        <f>FORECAST.ETS(A74,$B$4:$B$44,$A$4:$A$44,12,1)+FORECAST.ETS.CONFINT(A74,$B$4:$B$44,$A$4:$A$44,0.8,12,1)</f>
        <v/>
      </c>
      <c r="G74" s="52">
        <f>FORECAST.ETS(A74,$B$4:$B$44,$A$4:$A$44,12,1)-FORECAST.ETS.CONFINT(A74,$B$4:$B$44,$A$4:$A$44,0.95,12,1)</f>
        <v/>
      </c>
      <c r="H74" s="52">
        <f>FORECAST.ETS(A74,$B$4:$B$44,$A$4:$A$44,12,1)+FORECAST.ETS.CONFINT(A74,$B$4:$B$44,$A$4:$A$44,0.95,12,1)</f>
        <v/>
      </c>
      <c r="I74" s="52">
        <f>FORECAST.ETS(A74,$C$4:$C$44,$A$4:$A$44,12,1)</f>
        <v/>
      </c>
      <c r="J74" s="51" t="n"/>
    </row>
    <row r="75" ht="15" customHeight="1">
      <c r="A75" s="42" t="inlineStr">
        <is>
          <t>2028-12</t>
        </is>
      </c>
      <c r="B75" s="51" t="n"/>
      <c r="C75" s="51" t="n"/>
      <c r="D75" s="52">
        <f>FORECAST.ETS(A75,$B$4:$B$44,$A$4:$A$44,12,1)</f>
        <v/>
      </c>
      <c r="E75" s="52">
        <f>FORECAST.ETS(A75,$B$4:$B$44,$A$4:$A$44,12,1)-FORECAST.ETS.CONFINT(A75,$B$4:$B$44,$A$4:$A$44,0.8,12,1)</f>
        <v/>
      </c>
      <c r="F75" s="52">
        <f>FORECAST.ETS(A75,$B$4:$B$44,$A$4:$A$44,12,1)+FORECAST.ETS.CONFINT(A75,$B$4:$B$44,$A$4:$A$44,0.8,12,1)</f>
        <v/>
      </c>
      <c r="G75" s="52">
        <f>FORECAST.ETS(A75,$B$4:$B$44,$A$4:$A$44,12,1)-FORECAST.ETS.CONFINT(A75,$B$4:$B$44,$A$4:$A$44,0.95,12,1)</f>
        <v/>
      </c>
      <c r="H75" s="52">
        <f>FORECAST.ETS(A75,$B$4:$B$44,$A$4:$A$44,12,1)+FORECAST.ETS.CONFINT(A75,$B$4:$B$44,$A$4:$A$44,0.95,12,1)</f>
        <v/>
      </c>
      <c r="I75" s="52">
        <f>FORECAST.ETS(A75,$C$4:$C$44,$A$4:$A$44,12,1)</f>
        <v/>
      </c>
      <c r="J75" s="51" t="n"/>
    </row>
    <row r="76" ht="15" customHeight="1">
      <c r="A76" s="42" t="inlineStr">
        <is>
          <t>2029-01</t>
        </is>
      </c>
      <c r="B76" s="51" t="n"/>
      <c r="C76" s="51" t="n"/>
      <c r="D76" s="52">
        <f>FORECAST.ETS(A76,$B$4:$B$44,$A$4:$A$44,12,1)</f>
        <v/>
      </c>
      <c r="E76" s="52">
        <f>FORECAST.ETS(A76,$B$4:$B$44,$A$4:$A$44,12,1)-FORECAST.ETS.CONFINT(A76,$B$4:$B$44,$A$4:$A$44,0.8,12,1)</f>
        <v/>
      </c>
      <c r="F76" s="52">
        <f>FORECAST.ETS(A76,$B$4:$B$44,$A$4:$A$44,12,1)+FORECAST.ETS.CONFINT(A76,$B$4:$B$44,$A$4:$A$44,0.8,12,1)</f>
        <v/>
      </c>
      <c r="G76" s="52">
        <f>FORECAST.ETS(A76,$B$4:$B$44,$A$4:$A$44,12,1)-FORECAST.ETS.CONFINT(A76,$B$4:$B$44,$A$4:$A$44,0.95,12,1)</f>
        <v/>
      </c>
      <c r="H76" s="52">
        <f>FORECAST.ETS(A76,$B$4:$B$44,$A$4:$A$44,12,1)+FORECAST.ETS.CONFINT(A76,$B$4:$B$44,$A$4:$A$44,0.95,12,1)</f>
        <v/>
      </c>
      <c r="I76" s="52">
        <f>FORECAST.ETS(A76,$C$4:$C$44,$A$4:$A$44,12,1)</f>
        <v/>
      </c>
      <c r="J76" s="51" t="n"/>
    </row>
    <row r="77" ht="15" customHeight="1">
      <c r="A77" s="42" t="inlineStr">
        <is>
          <t>2029-02</t>
        </is>
      </c>
      <c r="B77" s="51" t="n"/>
      <c r="C77" s="51" t="n"/>
      <c r="D77" s="52">
        <f>FORECAST.ETS(A77,$B$4:$B$44,$A$4:$A$44,12,1)</f>
        <v/>
      </c>
      <c r="E77" s="52">
        <f>FORECAST.ETS(A77,$B$4:$B$44,$A$4:$A$44,12,1)-FORECAST.ETS.CONFINT(A77,$B$4:$B$44,$A$4:$A$44,0.8,12,1)</f>
        <v/>
      </c>
      <c r="F77" s="52">
        <f>FORECAST.ETS(A77,$B$4:$B$44,$A$4:$A$44,12,1)+FORECAST.ETS.CONFINT(A77,$B$4:$B$44,$A$4:$A$44,0.8,12,1)</f>
        <v/>
      </c>
      <c r="G77" s="52">
        <f>FORECAST.ETS(A77,$B$4:$B$44,$A$4:$A$44,12,1)-FORECAST.ETS.CONFINT(A77,$B$4:$B$44,$A$4:$A$44,0.95,12,1)</f>
        <v/>
      </c>
      <c r="H77" s="52">
        <f>FORECAST.ETS(A77,$B$4:$B$44,$A$4:$A$44,12,1)+FORECAST.ETS.CONFINT(A77,$B$4:$B$44,$A$4:$A$44,0.95,12,1)</f>
        <v/>
      </c>
      <c r="I77" s="52">
        <f>FORECAST.ETS(A77,$C$4:$C$44,$A$4:$A$44,12,1)</f>
        <v/>
      </c>
      <c r="J77" s="51" t="n"/>
    </row>
    <row r="78" ht="15" customHeight="1">
      <c r="A78" s="42" t="inlineStr">
        <is>
          <t>2029-03</t>
        </is>
      </c>
      <c r="B78" s="51" t="n"/>
      <c r="C78" s="51" t="n"/>
      <c r="D78" s="52">
        <f>FORECAST.ETS(A78,$B$4:$B$44,$A$4:$A$44,12,1)</f>
        <v/>
      </c>
      <c r="E78" s="52">
        <f>FORECAST.ETS(A78,$B$4:$B$44,$A$4:$A$44,12,1)-FORECAST.ETS.CONFINT(A78,$B$4:$B$44,$A$4:$A$44,0.8,12,1)</f>
        <v/>
      </c>
      <c r="F78" s="52">
        <f>FORECAST.ETS(A78,$B$4:$B$44,$A$4:$A$44,12,1)+FORECAST.ETS.CONFINT(A78,$B$4:$B$44,$A$4:$A$44,0.8,12,1)</f>
        <v/>
      </c>
      <c r="G78" s="52">
        <f>FORECAST.ETS(A78,$B$4:$B$44,$A$4:$A$44,12,1)-FORECAST.ETS.CONFINT(A78,$B$4:$B$44,$A$4:$A$44,0.95,12,1)</f>
        <v/>
      </c>
      <c r="H78" s="52">
        <f>FORECAST.ETS(A78,$B$4:$B$44,$A$4:$A$44,12,1)+FORECAST.ETS.CONFINT(A78,$B$4:$B$44,$A$4:$A$44,0.95,12,1)</f>
        <v/>
      </c>
      <c r="I78" s="52">
        <f>FORECAST.ETS(A78,$C$4:$C$44,$A$4:$A$44,12,1)</f>
        <v/>
      </c>
      <c r="J78" s="51" t="n"/>
    </row>
    <row r="79" ht="15" customHeight="1">
      <c r="A79" s="42" t="inlineStr">
        <is>
          <t>2029-04</t>
        </is>
      </c>
      <c r="B79" s="51" t="n"/>
      <c r="C79" s="51" t="n"/>
      <c r="D79" s="52">
        <f>FORECAST.ETS(A79,$B$4:$B$44,$A$4:$A$44,12,1)</f>
        <v/>
      </c>
      <c r="E79" s="52">
        <f>FORECAST.ETS(A79,$B$4:$B$44,$A$4:$A$44,12,1)-FORECAST.ETS.CONFINT(A79,$B$4:$B$44,$A$4:$A$44,0.8,12,1)</f>
        <v/>
      </c>
      <c r="F79" s="52">
        <f>FORECAST.ETS(A79,$B$4:$B$44,$A$4:$A$44,12,1)+FORECAST.ETS.CONFINT(A79,$B$4:$B$44,$A$4:$A$44,0.8,12,1)</f>
        <v/>
      </c>
      <c r="G79" s="52">
        <f>FORECAST.ETS(A79,$B$4:$B$44,$A$4:$A$44,12,1)-FORECAST.ETS.CONFINT(A79,$B$4:$B$44,$A$4:$A$44,0.95,12,1)</f>
        <v/>
      </c>
      <c r="H79" s="52">
        <f>FORECAST.ETS(A79,$B$4:$B$44,$A$4:$A$44,12,1)+FORECAST.ETS.CONFINT(A79,$B$4:$B$44,$A$4:$A$44,0.95,12,1)</f>
        <v/>
      </c>
      <c r="I79" s="52">
        <f>FORECAST.ETS(A79,$C$4:$C$44,$A$4:$A$44,12,1)</f>
        <v/>
      </c>
      <c r="J79" s="51" t="n"/>
    </row>
    <row r="80" ht="15" customHeight="1">
      <c r="A80" s="42" t="inlineStr">
        <is>
          <t>2029-05</t>
        </is>
      </c>
      <c r="B80" s="51" t="n"/>
      <c r="C80" s="51" t="n"/>
      <c r="D80" s="52">
        <f>FORECAST.ETS(A80,$B$4:$B$44,$A$4:$A$44,12,1)</f>
        <v/>
      </c>
      <c r="E80" s="52">
        <f>FORECAST.ETS(A80,$B$4:$B$44,$A$4:$A$44,12,1)-FORECAST.ETS.CONFINT(A80,$B$4:$B$44,$A$4:$A$44,0.8,12,1)</f>
        <v/>
      </c>
      <c r="F80" s="52">
        <f>FORECAST.ETS(A80,$B$4:$B$44,$A$4:$A$44,12,1)+FORECAST.ETS.CONFINT(A80,$B$4:$B$44,$A$4:$A$44,0.8,12,1)</f>
        <v/>
      </c>
      <c r="G80" s="52">
        <f>FORECAST.ETS(A80,$B$4:$B$44,$A$4:$A$44,12,1)-FORECAST.ETS.CONFINT(A80,$B$4:$B$44,$A$4:$A$44,0.95,12,1)</f>
        <v/>
      </c>
      <c r="H80" s="52">
        <f>FORECAST.ETS(A80,$B$4:$B$44,$A$4:$A$44,12,1)+FORECAST.ETS.CONFINT(A80,$B$4:$B$44,$A$4:$A$44,0.95,12,1)</f>
        <v/>
      </c>
      <c r="I80" s="52">
        <f>FORECAST.ETS(A80,$C$4:$C$44,$A$4:$A$44,12,1)</f>
        <v/>
      </c>
      <c r="J80" s="51" t="n"/>
    </row>
    <row r="83" ht="20" customHeight="1">
      <c r="A83" s="45" t="inlineStr">
        <is>
          <t>【 ING02  アトルバスタチン 】</t>
        </is>
      </c>
    </row>
    <row r="84" ht="18" customHeight="1">
      <c r="A84" s="3" t="inlineStr">
        <is>
          <t>period</t>
        </is>
      </c>
      <c r="B84" s="3" t="inlineStr">
        <is>
          <t>total_units（実績）</t>
        </is>
      </c>
      <c r="C84" s="3" t="inlineStr">
        <is>
          <t>total_amount_jpy（実績）</t>
        </is>
      </c>
      <c r="D84" s="3" t="inlineStr">
        <is>
          <t>fc_units（ETS）</t>
        </is>
      </c>
      <c r="E84" s="3" t="inlineStr">
        <is>
          <t>fc_units_lower80</t>
        </is>
      </c>
      <c r="F84" s="3" t="inlineStr">
        <is>
          <t>fc_units_upper80</t>
        </is>
      </c>
      <c r="G84" s="3" t="inlineStr">
        <is>
          <t>fc_units_lower95</t>
        </is>
      </c>
      <c r="H84" s="3" t="inlineStr">
        <is>
          <t>fc_units_upper95</t>
        </is>
      </c>
      <c r="I84" s="3" t="inlineStr">
        <is>
          <t>fc_amount_jpy（ETS）</t>
        </is>
      </c>
      <c r="J84" s="3" t="inlineStr">
        <is>
          <t>備考</t>
        </is>
      </c>
    </row>
    <row r="85" ht="15" customHeight="1">
      <c r="A85" s="39" t="inlineStr">
        <is>
          <t>2023-01</t>
        </is>
      </c>
      <c r="B85" s="48" t="n">
        <v>342323</v>
      </c>
      <c r="C85" s="48" t="n">
        <v>6700380</v>
      </c>
      <c r="D85" s="49" t="n"/>
      <c r="E85" s="49" t="n"/>
      <c r="F85" s="49" t="n"/>
      <c r="G85" s="49" t="n"/>
      <c r="H85" s="49" t="n"/>
      <c r="I85" s="49" t="n"/>
      <c r="J85" s="50" t="inlineStr">
        <is>
          <t>← 実績開始</t>
        </is>
      </c>
    </row>
    <row r="86" ht="15" customHeight="1">
      <c r="A86" s="39" t="inlineStr">
        <is>
          <t>2023-02</t>
        </is>
      </c>
      <c r="B86" s="48" t="n">
        <v>362402</v>
      </c>
      <c r="C86" s="48" t="n">
        <v>7147821</v>
      </c>
      <c r="D86" s="49" t="n"/>
      <c r="E86" s="49" t="n"/>
      <c r="F86" s="49" t="n"/>
      <c r="G86" s="49" t="n"/>
      <c r="H86" s="49" t="n"/>
      <c r="I86" s="49" t="n"/>
      <c r="J86" s="49" t="n"/>
    </row>
    <row r="87" ht="15" customHeight="1">
      <c r="A87" s="39" t="inlineStr">
        <is>
          <t>2023-03</t>
        </is>
      </c>
      <c r="B87" s="48" t="n">
        <v>377614</v>
      </c>
      <c r="C87" s="48" t="n">
        <v>7420240</v>
      </c>
      <c r="D87" s="49" t="n"/>
      <c r="E87" s="49" t="n"/>
      <c r="F87" s="49" t="n"/>
      <c r="G87" s="49" t="n"/>
      <c r="H87" s="49" t="n"/>
      <c r="I87" s="49" t="n"/>
      <c r="J87" s="49" t="n"/>
    </row>
    <row r="88" ht="15" customHeight="1">
      <c r="A88" s="39" t="inlineStr">
        <is>
          <t>2023-04</t>
        </is>
      </c>
      <c r="B88" s="48" t="n">
        <v>336471</v>
      </c>
      <c r="C88" s="48" t="n">
        <v>6558047</v>
      </c>
      <c r="D88" s="49" t="n"/>
      <c r="E88" s="49" t="n"/>
      <c r="F88" s="49" t="n"/>
      <c r="G88" s="49" t="n"/>
      <c r="H88" s="49" t="n"/>
      <c r="I88" s="49" t="n"/>
      <c r="J88" s="49" t="n"/>
    </row>
    <row r="89" ht="15" customHeight="1">
      <c r="A89" s="39" t="inlineStr">
        <is>
          <t>2023-05</t>
        </is>
      </c>
      <c r="B89" s="48" t="n">
        <v>346096</v>
      </c>
      <c r="C89" s="48" t="n">
        <v>6834004</v>
      </c>
      <c r="D89" s="49" t="n"/>
      <c r="E89" s="49" t="n"/>
      <c r="F89" s="49" t="n"/>
      <c r="G89" s="49" t="n"/>
      <c r="H89" s="49" t="n"/>
      <c r="I89" s="49" t="n"/>
      <c r="J89" s="49" t="n"/>
    </row>
    <row r="90" ht="15" customHeight="1">
      <c r="A90" s="39" t="inlineStr">
        <is>
          <t>2023-06</t>
        </is>
      </c>
      <c r="B90" s="48" t="n">
        <v>346090</v>
      </c>
      <c r="C90" s="48" t="n">
        <v>6722209</v>
      </c>
      <c r="D90" s="49" t="n"/>
      <c r="E90" s="49" t="n"/>
      <c r="F90" s="49" t="n"/>
      <c r="G90" s="49" t="n"/>
      <c r="H90" s="49" t="n"/>
      <c r="I90" s="49" t="n"/>
      <c r="J90" s="49" t="n"/>
    </row>
    <row r="91" ht="15" customHeight="1">
      <c r="A91" s="39" t="inlineStr">
        <is>
          <t>2023-07</t>
        </is>
      </c>
      <c r="B91" s="48" t="n">
        <v>358270</v>
      </c>
      <c r="C91" s="48" t="n">
        <v>6966086</v>
      </c>
      <c r="D91" s="49" t="n"/>
      <c r="E91" s="49" t="n"/>
      <c r="F91" s="49" t="n"/>
      <c r="G91" s="49" t="n"/>
      <c r="H91" s="49" t="n"/>
      <c r="I91" s="49" t="n"/>
      <c r="J91" s="49" t="n"/>
    </row>
    <row r="92" ht="15" customHeight="1">
      <c r="A92" s="39" t="inlineStr">
        <is>
          <t>2023-08</t>
        </is>
      </c>
      <c r="B92" s="48" t="n">
        <v>349981</v>
      </c>
      <c r="C92" s="48" t="n">
        <v>6764816</v>
      </c>
      <c r="D92" s="49" t="n"/>
      <c r="E92" s="49" t="n"/>
      <c r="F92" s="49" t="n"/>
      <c r="G92" s="49" t="n"/>
      <c r="H92" s="49" t="n"/>
      <c r="I92" s="49" t="n"/>
      <c r="J92" s="49" t="n"/>
    </row>
    <row r="93" ht="15" customHeight="1">
      <c r="A93" s="39" t="inlineStr">
        <is>
          <t>2023-09</t>
        </is>
      </c>
      <c r="B93" s="48" t="n">
        <v>350659</v>
      </c>
      <c r="C93" s="48" t="n">
        <v>6722281</v>
      </c>
      <c r="D93" s="49" t="n"/>
      <c r="E93" s="49" t="n"/>
      <c r="F93" s="49" t="n"/>
      <c r="G93" s="49" t="n"/>
      <c r="H93" s="49" t="n"/>
      <c r="I93" s="49" t="n"/>
      <c r="J93" s="49" t="n"/>
    </row>
    <row r="94" ht="15" customHeight="1">
      <c r="A94" s="39" t="inlineStr">
        <is>
          <t>2023-10</t>
        </is>
      </c>
      <c r="B94" s="48" t="n">
        <v>364804</v>
      </c>
      <c r="C94" s="48" t="n">
        <v>7048055</v>
      </c>
      <c r="D94" s="49" t="n"/>
      <c r="E94" s="49" t="n"/>
      <c r="F94" s="49" t="n"/>
      <c r="G94" s="49" t="n"/>
      <c r="H94" s="49" t="n"/>
      <c r="I94" s="49" t="n"/>
      <c r="J94" s="49" t="n"/>
    </row>
    <row r="95" ht="15" customHeight="1">
      <c r="A95" s="39" t="inlineStr">
        <is>
          <t>2023-11</t>
        </is>
      </c>
      <c r="B95" s="48" t="n">
        <v>350554</v>
      </c>
      <c r="C95" s="48" t="n">
        <v>6818826</v>
      </c>
      <c r="D95" s="49" t="n"/>
      <c r="E95" s="49" t="n"/>
      <c r="F95" s="49" t="n"/>
      <c r="G95" s="49" t="n"/>
      <c r="H95" s="49" t="n"/>
      <c r="I95" s="49" t="n"/>
      <c r="J95" s="49" t="n"/>
    </row>
    <row r="96" ht="15" customHeight="1">
      <c r="A96" s="39" t="inlineStr">
        <is>
          <t>2023-12</t>
        </is>
      </c>
      <c r="B96" s="48" t="n">
        <v>365527</v>
      </c>
      <c r="C96" s="48" t="n">
        <v>7018277</v>
      </c>
      <c r="D96" s="49" t="n"/>
      <c r="E96" s="49" t="n"/>
      <c r="F96" s="49" t="n"/>
      <c r="G96" s="49" t="n"/>
      <c r="H96" s="49" t="n"/>
      <c r="I96" s="49" t="n"/>
      <c r="J96" s="49" t="n"/>
    </row>
    <row r="97" ht="15" customHeight="1">
      <c r="A97" s="39" t="inlineStr">
        <is>
          <t>2024-01</t>
        </is>
      </c>
      <c r="B97" s="48" t="n">
        <v>360496</v>
      </c>
      <c r="C97" s="48" t="n">
        <v>7059147</v>
      </c>
      <c r="D97" s="49" t="n"/>
      <c r="E97" s="49" t="n"/>
      <c r="F97" s="49" t="n"/>
      <c r="G97" s="49" t="n"/>
      <c r="H97" s="49" t="n"/>
      <c r="I97" s="49" t="n"/>
      <c r="J97" s="49" t="n"/>
    </row>
    <row r="98" ht="15" customHeight="1">
      <c r="A98" s="39" t="inlineStr">
        <is>
          <t>2024-02</t>
        </is>
      </c>
      <c r="B98" s="48" t="n">
        <v>366676</v>
      </c>
      <c r="C98" s="48" t="n">
        <v>6963892</v>
      </c>
      <c r="D98" s="49" t="n"/>
      <c r="E98" s="49" t="n"/>
      <c r="F98" s="49" t="n"/>
      <c r="G98" s="49" t="n"/>
      <c r="H98" s="49" t="n"/>
      <c r="I98" s="49" t="n"/>
      <c r="J98" s="49" t="n"/>
    </row>
    <row r="99" ht="15" customHeight="1">
      <c r="A99" s="39" t="inlineStr">
        <is>
          <t>2024-03</t>
        </is>
      </c>
      <c r="B99" s="48" t="n">
        <v>393973</v>
      </c>
      <c r="C99" s="48" t="n">
        <v>7508769</v>
      </c>
      <c r="D99" s="49" t="n"/>
      <c r="E99" s="49" t="n"/>
      <c r="F99" s="49" t="n"/>
      <c r="G99" s="49" t="n"/>
      <c r="H99" s="49" t="n"/>
      <c r="I99" s="49" t="n"/>
      <c r="J99" s="49" t="n"/>
    </row>
    <row r="100" ht="15" customHeight="1">
      <c r="A100" s="39" t="inlineStr">
        <is>
          <t>2024-04</t>
        </is>
      </c>
      <c r="B100" s="48" t="n">
        <v>332143</v>
      </c>
      <c r="C100" s="48" t="n">
        <v>5938944</v>
      </c>
      <c r="D100" s="49" t="n"/>
      <c r="E100" s="49" t="n"/>
      <c r="F100" s="49" t="n"/>
      <c r="G100" s="49" t="n"/>
      <c r="H100" s="49" t="n"/>
      <c r="I100" s="49" t="n"/>
      <c r="J100" s="49" t="n"/>
    </row>
    <row r="101" ht="15" customHeight="1">
      <c r="A101" s="39" t="inlineStr">
        <is>
          <t>2024-05</t>
        </is>
      </c>
      <c r="B101" s="48" t="n">
        <v>355185</v>
      </c>
      <c r="C101" s="48" t="n">
        <v>6440244</v>
      </c>
      <c r="D101" s="49" t="n"/>
      <c r="E101" s="49" t="n"/>
      <c r="F101" s="49" t="n"/>
      <c r="G101" s="49" t="n"/>
      <c r="H101" s="49" t="n"/>
      <c r="I101" s="49" t="n"/>
      <c r="J101" s="49" t="n"/>
    </row>
    <row r="102" ht="15" customHeight="1">
      <c r="A102" s="39" t="inlineStr">
        <is>
          <t>2024-06</t>
        </is>
      </c>
      <c r="B102" s="48" t="n">
        <v>343740</v>
      </c>
      <c r="C102" s="48" t="n">
        <v>6207071</v>
      </c>
      <c r="D102" s="49" t="n"/>
      <c r="E102" s="49" t="n"/>
      <c r="F102" s="49" t="n"/>
      <c r="G102" s="49" t="n"/>
      <c r="H102" s="49" t="n"/>
      <c r="I102" s="49" t="n"/>
      <c r="J102" s="49" t="n"/>
    </row>
    <row r="103" ht="15" customHeight="1">
      <c r="A103" s="39" t="inlineStr">
        <is>
          <t>2024-07</t>
        </is>
      </c>
      <c r="B103" s="48" t="n">
        <v>362854</v>
      </c>
      <c r="C103" s="48" t="n">
        <v>6527499</v>
      </c>
      <c r="D103" s="49" t="n"/>
      <c r="E103" s="49" t="n"/>
      <c r="F103" s="49" t="n"/>
      <c r="G103" s="49" t="n"/>
      <c r="H103" s="49" t="n"/>
      <c r="I103" s="49" t="n"/>
      <c r="J103" s="49" t="n"/>
    </row>
    <row r="104" ht="15" customHeight="1">
      <c r="A104" s="39" t="inlineStr">
        <is>
          <t>2024-08</t>
        </is>
      </c>
      <c r="B104" s="48" t="n">
        <v>354473</v>
      </c>
      <c r="C104" s="48" t="n">
        <v>6468131</v>
      </c>
      <c r="D104" s="49" t="n"/>
      <c r="E104" s="49" t="n"/>
      <c r="F104" s="49" t="n"/>
      <c r="G104" s="49" t="n"/>
      <c r="H104" s="49" t="n"/>
      <c r="I104" s="49" t="n"/>
      <c r="J104" s="49" t="n"/>
    </row>
    <row r="105" ht="15" customHeight="1">
      <c r="A105" s="39" t="inlineStr">
        <is>
          <t>2024-09</t>
        </is>
      </c>
      <c r="B105" s="48" t="n">
        <v>350560</v>
      </c>
      <c r="C105" s="48" t="n">
        <v>6412192</v>
      </c>
      <c r="D105" s="49" t="n"/>
      <c r="E105" s="49" t="n"/>
      <c r="F105" s="49" t="n"/>
      <c r="G105" s="49" t="n"/>
      <c r="H105" s="49" t="n"/>
      <c r="I105" s="49" t="n"/>
      <c r="J105" s="49" t="n"/>
    </row>
    <row r="106" ht="15" customHeight="1">
      <c r="A106" s="39" t="inlineStr">
        <is>
          <t>2024-10</t>
        </is>
      </c>
      <c r="B106" s="48" t="n">
        <v>362252</v>
      </c>
      <c r="C106" s="48" t="n">
        <v>6464192</v>
      </c>
      <c r="D106" s="49" t="n"/>
      <c r="E106" s="49" t="n"/>
      <c r="F106" s="49" t="n"/>
      <c r="G106" s="49" t="n"/>
      <c r="H106" s="49" t="n"/>
      <c r="I106" s="49" t="n"/>
      <c r="J106" s="49" t="n"/>
    </row>
    <row r="107" ht="15" customHeight="1">
      <c r="A107" s="39" t="inlineStr">
        <is>
          <t>2024-11</t>
        </is>
      </c>
      <c r="B107" s="48" t="n">
        <v>367880</v>
      </c>
      <c r="C107" s="48" t="n">
        <v>6542495</v>
      </c>
      <c r="D107" s="49" t="n"/>
      <c r="E107" s="49" t="n"/>
      <c r="F107" s="49" t="n"/>
      <c r="G107" s="49" t="n"/>
      <c r="H107" s="49" t="n"/>
      <c r="I107" s="49" t="n"/>
      <c r="J107" s="49" t="n"/>
    </row>
    <row r="108" ht="15" customHeight="1">
      <c r="A108" s="39" t="inlineStr">
        <is>
          <t>2024-12</t>
        </is>
      </c>
      <c r="B108" s="48" t="n">
        <v>345315</v>
      </c>
      <c r="C108" s="48" t="n">
        <v>6226123</v>
      </c>
      <c r="D108" s="49" t="n"/>
      <c r="E108" s="49" t="n"/>
      <c r="F108" s="49" t="n"/>
      <c r="G108" s="49" t="n"/>
      <c r="H108" s="49" t="n"/>
      <c r="I108" s="49" t="n"/>
      <c r="J108" s="49" t="n"/>
    </row>
    <row r="109" ht="15" customHeight="1">
      <c r="A109" s="39" t="inlineStr">
        <is>
          <t>2025-01</t>
        </is>
      </c>
      <c r="B109" s="48" t="n">
        <v>340540</v>
      </c>
      <c r="C109" s="48" t="n">
        <v>6193070</v>
      </c>
      <c r="D109" s="49" t="n"/>
      <c r="E109" s="49" t="n"/>
      <c r="F109" s="49" t="n"/>
      <c r="G109" s="49" t="n"/>
      <c r="H109" s="49" t="n"/>
      <c r="I109" s="49" t="n"/>
      <c r="J109" s="49" t="n"/>
    </row>
    <row r="110" ht="15" customHeight="1">
      <c r="A110" s="39" t="inlineStr">
        <is>
          <t>2025-02</t>
        </is>
      </c>
      <c r="B110" s="48" t="n">
        <v>362763</v>
      </c>
      <c r="C110" s="48" t="n">
        <v>6552312</v>
      </c>
      <c r="D110" s="49" t="n"/>
      <c r="E110" s="49" t="n"/>
      <c r="F110" s="49" t="n"/>
      <c r="G110" s="49" t="n"/>
      <c r="H110" s="49" t="n"/>
      <c r="I110" s="49" t="n"/>
      <c r="J110" s="49" t="n"/>
    </row>
    <row r="111" ht="15" customHeight="1">
      <c r="A111" s="39" t="inlineStr">
        <is>
          <t>2025-03</t>
        </is>
      </c>
      <c r="B111" s="48" t="n">
        <v>392575</v>
      </c>
      <c r="C111" s="48" t="n">
        <v>7132279</v>
      </c>
      <c r="D111" s="49" t="n"/>
      <c r="E111" s="49" t="n"/>
      <c r="F111" s="49" t="n"/>
      <c r="G111" s="49" t="n"/>
      <c r="H111" s="49" t="n"/>
      <c r="I111" s="49" t="n"/>
      <c r="J111" s="49" t="n"/>
    </row>
    <row r="112" ht="15" customHeight="1">
      <c r="A112" s="39" t="inlineStr">
        <is>
          <t>2025-04</t>
        </is>
      </c>
      <c r="B112" s="48" t="n">
        <v>326475</v>
      </c>
      <c r="C112" s="48" t="n">
        <v>5750547</v>
      </c>
      <c r="D112" s="49" t="n"/>
      <c r="E112" s="49" t="n"/>
      <c r="F112" s="49" t="n"/>
      <c r="G112" s="49" t="n"/>
      <c r="H112" s="49" t="n"/>
      <c r="I112" s="49" t="n"/>
      <c r="J112" s="49" t="n"/>
    </row>
    <row r="113" ht="15" customHeight="1">
      <c r="A113" s="39" t="inlineStr">
        <is>
          <t>2025-05</t>
        </is>
      </c>
      <c r="B113" s="48" t="n">
        <v>356180</v>
      </c>
      <c r="C113" s="48" t="n">
        <v>6277574</v>
      </c>
      <c r="D113" s="49" t="n"/>
      <c r="E113" s="49" t="n"/>
      <c r="F113" s="49" t="n"/>
      <c r="G113" s="49" t="n"/>
      <c r="H113" s="49" t="n"/>
      <c r="I113" s="49" t="n"/>
      <c r="J113" s="49" t="n"/>
    </row>
    <row r="114" ht="15" customHeight="1">
      <c r="A114" s="39" t="inlineStr">
        <is>
          <t>2025-06</t>
        </is>
      </c>
      <c r="B114" s="48" t="n">
        <v>359179</v>
      </c>
      <c r="C114" s="48" t="n">
        <v>6258140</v>
      </c>
      <c r="D114" s="49" t="n"/>
      <c r="E114" s="49" t="n"/>
      <c r="F114" s="49" t="n"/>
      <c r="G114" s="49" t="n"/>
      <c r="H114" s="49" t="n"/>
      <c r="I114" s="49" t="n"/>
      <c r="J114" s="49" t="n"/>
    </row>
    <row r="115" ht="15" customHeight="1">
      <c r="A115" s="39" t="inlineStr">
        <is>
          <t>2025-07</t>
        </is>
      </c>
      <c r="B115" s="48" t="n">
        <v>364583</v>
      </c>
      <c r="C115" s="48" t="n">
        <v>6316528</v>
      </c>
      <c r="D115" s="49" t="n"/>
      <c r="E115" s="49" t="n"/>
      <c r="F115" s="49" t="n"/>
      <c r="G115" s="49" t="n"/>
      <c r="H115" s="49" t="n"/>
      <c r="I115" s="49" t="n"/>
      <c r="J115" s="49" t="n"/>
    </row>
    <row r="116" ht="15" customHeight="1">
      <c r="A116" s="39" t="inlineStr">
        <is>
          <t>2025-08</t>
        </is>
      </c>
      <c r="B116" s="48" t="n">
        <v>358171</v>
      </c>
      <c r="C116" s="48" t="n">
        <v>6247888</v>
      </c>
      <c r="D116" s="49" t="n"/>
      <c r="E116" s="49" t="n"/>
      <c r="F116" s="49" t="n"/>
      <c r="G116" s="49" t="n"/>
      <c r="H116" s="49" t="n"/>
      <c r="I116" s="49" t="n"/>
      <c r="J116" s="49" t="n"/>
    </row>
    <row r="117" ht="15" customHeight="1">
      <c r="A117" s="39" t="inlineStr">
        <is>
          <t>2025-09</t>
        </is>
      </c>
      <c r="B117" s="48" t="n">
        <v>354709</v>
      </c>
      <c r="C117" s="48" t="n">
        <v>6265008</v>
      </c>
      <c r="D117" s="49" t="n"/>
      <c r="E117" s="49" t="n"/>
      <c r="F117" s="49" t="n"/>
      <c r="G117" s="49" t="n"/>
      <c r="H117" s="49" t="n"/>
      <c r="I117" s="49" t="n"/>
      <c r="J117" s="49" t="n"/>
    </row>
    <row r="118" ht="15" customHeight="1">
      <c r="A118" s="39" t="inlineStr">
        <is>
          <t>2025-10</t>
        </is>
      </c>
      <c r="B118" s="48" t="n">
        <v>357243</v>
      </c>
      <c r="C118" s="48" t="n">
        <v>6345333</v>
      </c>
      <c r="D118" s="49" t="n"/>
      <c r="E118" s="49" t="n"/>
      <c r="F118" s="49" t="n"/>
      <c r="G118" s="49" t="n"/>
      <c r="H118" s="49" t="n"/>
      <c r="I118" s="49" t="n"/>
      <c r="J118" s="49" t="n"/>
    </row>
    <row r="119" ht="15" customHeight="1">
      <c r="A119" s="39" t="inlineStr">
        <is>
          <t>2025-11</t>
        </is>
      </c>
      <c r="B119" s="48" t="n">
        <v>359063</v>
      </c>
      <c r="C119" s="48" t="n">
        <v>6285817</v>
      </c>
      <c r="D119" s="49" t="n"/>
      <c r="E119" s="49" t="n"/>
      <c r="F119" s="49" t="n"/>
      <c r="G119" s="49" t="n"/>
      <c r="H119" s="49" t="n"/>
      <c r="I119" s="49" t="n"/>
      <c r="J119" s="49" t="n"/>
    </row>
    <row r="120" ht="15" customHeight="1">
      <c r="A120" s="39" t="inlineStr">
        <is>
          <t>2025-12</t>
        </is>
      </c>
      <c r="B120" s="48" t="n">
        <v>368061</v>
      </c>
      <c r="C120" s="48" t="n">
        <v>6442658</v>
      </c>
      <c r="D120" s="49" t="n"/>
      <c r="E120" s="49" t="n"/>
      <c r="F120" s="49" t="n"/>
      <c r="G120" s="49" t="n"/>
      <c r="H120" s="49" t="n"/>
      <c r="I120" s="49" t="n"/>
      <c r="J120" s="49" t="n"/>
    </row>
    <row r="121" ht="15" customHeight="1">
      <c r="A121" s="39" t="inlineStr">
        <is>
          <t>2026-01</t>
        </is>
      </c>
      <c r="B121" s="48" t="n">
        <v>349141</v>
      </c>
      <c r="C121" s="48" t="n">
        <v>6209500</v>
      </c>
      <c r="D121" s="49" t="n"/>
      <c r="E121" s="49" t="n"/>
      <c r="F121" s="49" t="n"/>
      <c r="G121" s="49" t="n"/>
      <c r="H121" s="49" t="n"/>
      <c r="I121" s="49" t="n"/>
      <c r="J121" s="49" t="n"/>
    </row>
    <row r="122" ht="15" customHeight="1">
      <c r="A122" s="39" t="inlineStr">
        <is>
          <t>2026-02</t>
        </is>
      </c>
      <c r="B122" s="48" t="n">
        <v>368888</v>
      </c>
      <c r="C122" s="48" t="n">
        <v>6469532</v>
      </c>
      <c r="D122" s="49" t="n"/>
      <c r="E122" s="49" t="n"/>
      <c r="F122" s="49" t="n"/>
      <c r="G122" s="49" t="n"/>
      <c r="H122" s="49" t="n"/>
      <c r="I122" s="49" t="n"/>
      <c r="J122" s="49" t="n"/>
    </row>
    <row r="123" ht="15" customHeight="1">
      <c r="A123" s="39" t="inlineStr">
        <is>
          <t>2026-03</t>
        </is>
      </c>
      <c r="B123" s="48" t="n">
        <v>394932</v>
      </c>
      <c r="C123" s="48" t="n">
        <v>7028533</v>
      </c>
      <c r="D123" s="49" t="n"/>
      <c r="E123" s="49" t="n"/>
      <c r="F123" s="49" t="n"/>
      <c r="G123" s="49" t="n"/>
      <c r="H123" s="49" t="n"/>
      <c r="I123" s="49" t="n"/>
      <c r="J123" s="49" t="n"/>
    </row>
    <row r="124" ht="15" customHeight="1">
      <c r="A124" s="39" t="inlineStr">
        <is>
          <t>2026-04</t>
        </is>
      </c>
      <c r="B124" s="48" t="n">
        <v>344960</v>
      </c>
      <c r="C124" s="48" t="n">
        <v>5638070</v>
      </c>
      <c r="D124" s="49" t="n"/>
      <c r="E124" s="49" t="n"/>
      <c r="F124" s="49" t="n"/>
      <c r="G124" s="49" t="n"/>
      <c r="H124" s="49" t="n"/>
      <c r="I124" s="49" t="n"/>
      <c r="J124" s="49" t="n"/>
    </row>
    <row r="125" ht="15" customHeight="1">
      <c r="A125" s="39" t="inlineStr">
        <is>
          <t>2026-05</t>
        </is>
      </c>
      <c r="B125" s="48" t="n">
        <v>356164</v>
      </c>
      <c r="C125" s="48" t="n">
        <v>5908158</v>
      </c>
      <c r="D125" s="49" t="n"/>
      <c r="E125" s="49" t="n"/>
      <c r="F125" s="49" t="n"/>
      <c r="G125" s="49" t="n"/>
      <c r="H125" s="49" t="n"/>
      <c r="I125" s="49" t="n"/>
      <c r="J125" s="49" t="n"/>
    </row>
    <row r="126" ht="15" customHeight="1">
      <c r="A126" s="42" t="inlineStr">
        <is>
          <t>2026-06</t>
        </is>
      </c>
      <c r="B126" s="51" t="n"/>
      <c r="C126" s="51" t="n"/>
      <c r="D126" s="52">
        <f>FORECAST.ETS(A126,$B$85:$B$125,$A$85:$A$125,12,1)</f>
        <v/>
      </c>
      <c r="E126" s="52">
        <f>FORECAST.ETS(A126,$B$85:$B$125,$A$85:$A$125,12,1)-FORECAST.ETS.CONFINT(A126,$B$85:$B$125,$A$85:$A$125,0.8,12,1)</f>
        <v/>
      </c>
      <c r="F126" s="52">
        <f>FORECAST.ETS(A126,$B$85:$B$125,$A$85:$A$125,12,1)+FORECAST.ETS.CONFINT(A126,$B$85:$B$125,$A$85:$A$125,0.8,12,1)</f>
        <v/>
      </c>
      <c r="G126" s="52">
        <f>FORECAST.ETS(A126,$B$85:$B$125,$A$85:$A$125,12,1)-FORECAST.ETS.CONFINT(A126,$B$85:$B$125,$A$85:$A$125,0.95,12,1)</f>
        <v/>
      </c>
      <c r="H126" s="52">
        <f>FORECAST.ETS(A126,$B$85:$B$125,$A$85:$A$125,12,1)+FORECAST.ETS.CONFINT(A126,$B$85:$B$125,$A$85:$A$125,0.95,12,1)</f>
        <v/>
      </c>
      <c r="I126" s="52">
        <f>FORECAST.ETS(A126,$C$85:$C$125,$A$85:$A$125,12,1)</f>
        <v/>
      </c>
      <c r="J126" s="53" t="inlineStr">
        <is>
          <t>← 予測開始 (2026-06)</t>
        </is>
      </c>
    </row>
    <row r="127" ht="15" customHeight="1">
      <c r="A127" s="42" t="inlineStr">
        <is>
          <t>2026-07</t>
        </is>
      </c>
      <c r="B127" s="51" t="n"/>
      <c r="C127" s="51" t="n"/>
      <c r="D127" s="52">
        <f>FORECAST.ETS(A127,$B$85:$B$125,$A$85:$A$125,12,1)</f>
        <v/>
      </c>
      <c r="E127" s="52">
        <f>FORECAST.ETS(A127,$B$85:$B$125,$A$85:$A$125,12,1)-FORECAST.ETS.CONFINT(A127,$B$85:$B$125,$A$85:$A$125,0.8,12,1)</f>
        <v/>
      </c>
      <c r="F127" s="52">
        <f>FORECAST.ETS(A127,$B$85:$B$125,$A$85:$A$125,12,1)+FORECAST.ETS.CONFINT(A127,$B$85:$B$125,$A$85:$A$125,0.8,12,1)</f>
        <v/>
      </c>
      <c r="G127" s="52">
        <f>FORECAST.ETS(A127,$B$85:$B$125,$A$85:$A$125,12,1)-FORECAST.ETS.CONFINT(A127,$B$85:$B$125,$A$85:$A$125,0.95,12,1)</f>
        <v/>
      </c>
      <c r="H127" s="52">
        <f>FORECAST.ETS(A127,$B$85:$B$125,$A$85:$A$125,12,1)+FORECAST.ETS.CONFINT(A127,$B$85:$B$125,$A$85:$A$125,0.95,12,1)</f>
        <v/>
      </c>
      <c r="I127" s="52">
        <f>FORECAST.ETS(A127,$C$85:$C$125,$A$85:$A$125,12,1)</f>
        <v/>
      </c>
      <c r="J127" s="51" t="n"/>
    </row>
    <row r="128" ht="15" customHeight="1">
      <c r="A128" s="42" t="inlineStr">
        <is>
          <t>2026-08</t>
        </is>
      </c>
      <c r="B128" s="51" t="n"/>
      <c r="C128" s="51" t="n"/>
      <c r="D128" s="52">
        <f>FORECAST.ETS(A128,$B$85:$B$125,$A$85:$A$125,12,1)</f>
        <v/>
      </c>
      <c r="E128" s="52">
        <f>FORECAST.ETS(A128,$B$85:$B$125,$A$85:$A$125,12,1)-FORECAST.ETS.CONFINT(A128,$B$85:$B$125,$A$85:$A$125,0.8,12,1)</f>
        <v/>
      </c>
      <c r="F128" s="52">
        <f>FORECAST.ETS(A128,$B$85:$B$125,$A$85:$A$125,12,1)+FORECAST.ETS.CONFINT(A128,$B$85:$B$125,$A$85:$A$125,0.8,12,1)</f>
        <v/>
      </c>
      <c r="G128" s="52">
        <f>FORECAST.ETS(A128,$B$85:$B$125,$A$85:$A$125,12,1)-FORECAST.ETS.CONFINT(A128,$B$85:$B$125,$A$85:$A$125,0.95,12,1)</f>
        <v/>
      </c>
      <c r="H128" s="52">
        <f>FORECAST.ETS(A128,$B$85:$B$125,$A$85:$A$125,12,1)+FORECAST.ETS.CONFINT(A128,$B$85:$B$125,$A$85:$A$125,0.95,12,1)</f>
        <v/>
      </c>
      <c r="I128" s="52">
        <f>FORECAST.ETS(A128,$C$85:$C$125,$A$85:$A$125,12,1)</f>
        <v/>
      </c>
      <c r="J128" s="51" t="n"/>
    </row>
    <row r="129" ht="15" customHeight="1">
      <c r="A129" s="42" t="inlineStr">
        <is>
          <t>2026-09</t>
        </is>
      </c>
      <c r="B129" s="51" t="n"/>
      <c r="C129" s="51" t="n"/>
      <c r="D129" s="52">
        <f>FORECAST.ETS(A129,$B$85:$B$125,$A$85:$A$125,12,1)</f>
        <v/>
      </c>
      <c r="E129" s="52">
        <f>FORECAST.ETS(A129,$B$85:$B$125,$A$85:$A$125,12,1)-FORECAST.ETS.CONFINT(A129,$B$85:$B$125,$A$85:$A$125,0.8,12,1)</f>
        <v/>
      </c>
      <c r="F129" s="52">
        <f>FORECAST.ETS(A129,$B$85:$B$125,$A$85:$A$125,12,1)+FORECAST.ETS.CONFINT(A129,$B$85:$B$125,$A$85:$A$125,0.8,12,1)</f>
        <v/>
      </c>
      <c r="G129" s="52">
        <f>FORECAST.ETS(A129,$B$85:$B$125,$A$85:$A$125,12,1)-FORECAST.ETS.CONFINT(A129,$B$85:$B$125,$A$85:$A$125,0.95,12,1)</f>
        <v/>
      </c>
      <c r="H129" s="52">
        <f>FORECAST.ETS(A129,$B$85:$B$125,$A$85:$A$125,12,1)+FORECAST.ETS.CONFINT(A129,$B$85:$B$125,$A$85:$A$125,0.95,12,1)</f>
        <v/>
      </c>
      <c r="I129" s="52">
        <f>FORECAST.ETS(A129,$C$85:$C$125,$A$85:$A$125,12,1)</f>
        <v/>
      </c>
      <c r="J129" s="51" t="n"/>
    </row>
    <row r="130" ht="15" customHeight="1">
      <c r="A130" s="42" t="inlineStr">
        <is>
          <t>2026-10</t>
        </is>
      </c>
      <c r="B130" s="51" t="n"/>
      <c r="C130" s="51" t="n"/>
      <c r="D130" s="52">
        <f>FORECAST.ETS(A130,$B$85:$B$125,$A$85:$A$125,12,1)</f>
        <v/>
      </c>
      <c r="E130" s="52">
        <f>FORECAST.ETS(A130,$B$85:$B$125,$A$85:$A$125,12,1)-FORECAST.ETS.CONFINT(A130,$B$85:$B$125,$A$85:$A$125,0.8,12,1)</f>
        <v/>
      </c>
      <c r="F130" s="52">
        <f>FORECAST.ETS(A130,$B$85:$B$125,$A$85:$A$125,12,1)+FORECAST.ETS.CONFINT(A130,$B$85:$B$125,$A$85:$A$125,0.8,12,1)</f>
        <v/>
      </c>
      <c r="G130" s="52">
        <f>FORECAST.ETS(A130,$B$85:$B$125,$A$85:$A$125,12,1)-FORECAST.ETS.CONFINT(A130,$B$85:$B$125,$A$85:$A$125,0.95,12,1)</f>
        <v/>
      </c>
      <c r="H130" s="52">
        <f>FORECAST.ETS(A130,$B$85:$B$125,$A$85:$A$125,12,1)+FORECAST.ETS.CONFINT(A130,$B$85:$B$125,$A$85:$A$125,0.95,12,1)</f>
        <v/>
      </c>
      <c r="I130" s="52">
        <f>FORECAST.ETS(A130,$C$85:$C$125,$A$85:$A$125,12,1)</f>
        <v/>
      </c>
      <c r="J130" s="51" t="n"/>
    </row>
    <row r="131" ht="15" customHeight="1">
      <c r="A131" s="42" t="inlineStr">
        <is>
          <t>2026-11</t>
        </is>
      </c>
      <c r="B131" s="51" t="n"/>
      <c r="C131" s="51" t="n"/>
      <c r="D131" s="52">
        <f>FORECAST.ETS(A131,$B$85:$B$125,$A$85:$A$125,12,1)</f>
        <v/>
      </c>
      <c r="E131" s="52">
        <f>FORECAST.ETS(A131,$B$85:$B$125,$A$85:$A$125,12,1)-FORECAST.ETS.CONFINT(A131,$B$85:$B$125,$A$85:$A$125,0.8,12,1)</f>
        <v/>
      </c>
      <c r="F131" s="52">
        <f>FORECAST.ETS(A131,$B$85:$B$125,$A$85:$A$125,12,1)+FORECAST.ETS.CONFINT(A131,$B$85:$B$125,$A$85:$A$125,0.8,12,1)</f>
        <v/>
      </c>
      <c r="G131" s="52">
        <f>FORECAST.ETS(A131,$B$85:$B$125,$A$85:$A$125,12,1)-FORECAST.ETS.CONFINT(A131,$B$85:$B$125,$A$85:$A$125,0.95,12,1)</f>
        <v/>
      </c>
      <c r="H131" s="52">
        <f>FORECAST.ETS(A131,$B$85:$B$125,$A$85:$A$125,12,1)+FORECAST.ETS.CONFINT(A131,$B$85:$B$125,$A$85:$A$125,0.95,12,1)</f>
        <v/>
      </c>
      <c r="I131" s="52">
        <f>FORECAST.ETS(A131,$C$85:$C$125,$A$85:$A$125,12,1)</f>
        <v/>
      </c>
      <c r="J131" s="51" t="n"/>
    </row>
    <row r="132" ht="15" customHeight="1">
      <c r="A132" s="42" t="inlineStr">
        <is>
          <t>2026-12</t>
        </is>
      </c>
      <c r="B132" s="51" t="n"/>
      <c r="C132" s="51" t="n"/>
      <c r="D132" s="52">
        <f>FORECAST.ETS(A132,$B$85:$B$125,$A$85:$A$125,12,1)</f>
        <v/>
      </c>
      <c r="E132" s="52">
        <f>FORECAST.ETS(A132,$B$85:$B$125,$A$85:$A$125,12,1)-FORECAST.ETS.CONFINT(A132,$B$85:$B$125,$A$85:$A$125,0.8,12,1)</f>
        <v/>
      </c>
      <c r="F132" s="52">
        <f>FORECAST.ETS(A132,$B$85:$B$125,$A$85:$A$125,12,1)+FORECAST.ETS.CONFINT(A132,$B$85:$B$125,$A$85:$A$125,0.8,12,1)</f>
        <v/>
      </c>
      <c r="G132" s="52">
        <f>FORECAST.ETS(A132,$B$85:$B$125,$A$85:$A$125,12,1)-FORECAST.ETS.CONFINT(A132,$B$85:$B$125,$A$85:$A$125,0.95,12,1)</f>
        <v/>
      </c>
      <c r="H132" s="52">
        <f>FORECAST.ETS(A132,$B$85:$B$125,$A$85:$A$125,12,1)+FORECAST.ETS.CONFINT(A132,$B$85:$B$125,$A$85:$A$125,0.95,12,1)</f>
        <v/>
      </c>
      <c r="I132" s="52">
        <f>FORECAST.ETS(A132,$C$85:$C$125,$A$85:$A$125,12,1)</f>
        <v/>
      </c>
      <c r="J132" s="51" t="n"/>
    </row>
    <row r="133" ht="15" customHeight="1">
      <c r="A133" s="42" t="inlineStr">
        <is>
          <t>2027-01</t>
        </is>
      </c>
      <c r="B133" s="51" t="n"/>
      <c r="C133" s="51" t="n"/>
      <c r="D133" s="52">
        <f>FORECAST.ETS(A133,$B$85:$B$125,$A$85:$A$125,12,1)</f>
        <v/>
      </c>
      <c r="E133" s="52">
        <f>FORECAST.ETS(A133,$B$85:$B$125,$A$85:$A$125,12,1)-FORECAST.ETS.CONFINT(A133,$B$85:$B$125,$A$85:$A$125,0.8,12,1)</f>
        <v/>
      </c>
      <c r="F133" s="52">
        <f>FORECAST.ETS(A133,$B$85:$B$125,$A$85:$A$125,12,1)+FORECAST.ETS.CONFINT(A133,$B$85:$B$125,$A$85:$A$125,0.8,12,1)</f>
        <v/>
      </c>
      <c r="G133" s="52">
        <f>FORECAST.ETS(A133,$B$85:$B$125,$A$85:$A$125,12,1)-FORECAST.ETS.CONFINT(A133,$B$85:$B$125,$A$85:$A$125,0.95,12,1)</f>
        <v/>
      </c>
      <c r="H133" s="52">
        <f>FORECAST.ETS(A133,$B$85:$B$125,$A$85:$A$125,12,1)+FORECAST.ETS.CONFINT(A133,$B$85:$B$125,$A$85:$A$125,0.95,12,1)</f>
        <v/>
      </c>
      <c r="I133" s="52">
        <f>FORECAST.ETS(A133,$C$85:$C$125,$A$85:$A$125,12,1)</f>
        <v/>
      </c>
      <c r="J133" s="51" t="n"/>
    </row>
    <row r="134" ht="15" customHeight="1">
      <c r="A134" s="42" t="inlineStr">
        <is>
          <t>2027-02</t>
        </is>
      </c>
      <c r="B134" s="51" t="n"/>
      <c r="C134" s="51" t="n"/>
      <c r="D134" s="52">
        <f>FORECAST.ETS(A134,$B$85:$B$125,$A$85:$A$125,12,1)</f>
        <v/>
      </c>
      <c r="E134" s="52">
        <f>FORECAST.ETS(A134,$B$85:$B$125,$A$85:$A$125,12,1)-FORECAST.ETS.CONFINT(A134,$B$85:$B$125,$A$85:$A$125,0.8,12,1)</f>
        <v/>
      </c>
      <c r="F134" s="52">
        <f>FORECAST.ETS(A134,$B$85:$B$125,$A$85:$A$125,12,1)+FORECAST.ETS.CONFINT(A134,$B$85:$B$125,$A$85:$A$125,0.8,12,1)</f>
        <v/>
      </c>
      <c r="G134" s="52">
        <f>FORECAST.ETS(A134,$B$85:$B$125,$A$85:$A$125,12,1)-FORECAST.ETS.CONFINT(A134,$B$85:$B$125,$A$85:$A$125,0.95,12,1)</f>
        <v/>
      </c>
      <c r="H134" s="52">
        <f>FORECAST.ETS(A134,$B$85:$B$125,$A$85:$A$125,12,1)+FORECAST.ETS.CONFINT(A134,$B$85:$B$125,$A$85:$A$125,0.95,12,1)</f>
        <v/>
      </c>
      <c r="I134" s="52">
        <f>FORECAST.ETS(A134,$C$85:$C$125,$A$85:$A$125,12,1)</f>
        <v/>
      </c>
      <c r="J134" s="51" t="n"/>
    </row>
    <row r="135" ht="15" customHeight="1">
      <c r="A135" s="42" t="inlineStr">
        <is>
          <t>2027-03</t>
        </is>
      </c>
      <c r="B135" s="51" t="n"/>
      <c r="C135" s="51" t="n"/>
      <c r="D135" s="52">
        <f>FORECAST.ETS(A135,$B$85:$B$125,$A$85:$A$125,12,1)</f>
        <v/>
      </c>
      <c r="E135" s="52">
        <f>FORECAST.ETS(A135,$B$85:$B$125,$A$85:$A$125,12,1)-FORECAST.ETS.CONFINT(A135,$B$85:$B$125,$A$85:$A$125,0.8,12,1)</f>
        <v/>
      </c>
      <c r="F135" s="52">
        <f>FORECAST.ETS(A135,$B$85:$B$125,$A$85:$A$125,12,1)+FORECAST.ETS.CONFINT(A135,$B$85:$B$125,$A$85:$A$125,0.8,12,1)</f>
        <v/>
      </c>
      <c r="G135" s="52">
        <f>FORECAST.ETS(A135,$B$85:$B$125,$A$85:$A$125,12,1)-FORECAST.ETS.CONFINT(A135,$B$85:$B$125,$A$85:$A$125,0.95,12,1)</f>
        <v/>
      </c>
      <c r="H135" s="52">
        <f>FORECAST.ETS(A135,$B$85:$B$125,$A$85:$A$125,12,1)+FORECAST.ETS.CONFINT(A135,$B$85:$B$125,$A$85:$A$125,0.95,12,1)</f>
        <v/>
      </c>
      <c r="I135" s="52">
        <f>FORECAST.ETS(A135,$C$85:$C$125,$A$85:$A$125,12,1)</f>
        <v/>
      </c>
      <c r="J135" s="51" t="n"/>
    </row>
    <row r="136" ht="15" customHeight="1">
      <c r="A136" s="42" t="inlineStr">
        <is>
          <t>2027-04</t>
        </is>
      </c>
      <c r="B136" s="51" t="n"/>
      <c r="C136" s="51" t="n"/>
      <c r="D136" s="52">
        <f>FORECAST.ETS(A136,$B$85:$B$125,$A$85:$A$125,12,1)</f>
        <v/>
      </c>
      <c r="E136" s="52">
        <f>FORECAST.ETS(A136,$B$85:$B$125,$A$85:$A$125,12,1)-FORECAST.ETS.CONFINT(A136,$B$85:$B$125,$A$85:$A$125,0.8,12,1)</f>
        <v/>
      </c>
      <c r="F136" s="52">
        <f>FORECAST.ETS(A136,$B$85:$B$125,$A$85:$A$125,12,1)+FORECAST.ETS.CONFINT(A136,$B$85:$B$125,$A$85:$A$125,0.8,12,1)</f>
        <v/>
      </c>
      <c r="G136" s="52">
        <f>FORECAST.ETS(A136,$B$85:$B$125,$A$85:$A$125,12,1)-FORECAST.ETS.CONFINT(A136,$B$85:$B$125,$A$85:$A$125,0.95,12,1)</f>
        <v/>
      </c>
      <c r="H136" s="52">
        <f>FORECAST.ETS(A136,$B$85:$B$125,$A$85:$A$125,12,1)+FORECAST.ETS.CONFINT(A136,$B$85:$B$125,$A$85:$A$125,0.95,12,1)</f>
        <v/>
      </c>
      <c r="I136" s="52">
        <f>FORECAST.ETS(A136,$C$85:$C$125,$A$85:$A$125,12,1)</f>
        <v/>
      </c>
      <c r="J136" s="51" t="n"/>
    </row>
    <row r="137" ht="15" customHeight="1">
      <c r="A137" s="42" t="inlineStr">
        <is>
          <t>2027-05</t>
        </is>
      </c>
      <c r="B137" s="51" t="n"/>
      <c r="C137" s="51" t="n"/>
      <c r="D137" s="52">
        <f>FORECAST.ETS(A137,$B$85:$B$125,$A$85:$A$125,12,1)</f>
        <v/>
      </c>
      <c r="E137" s="52">
        <f>FORECAST.ETS(A137,$B$85:$B$125,$A$85:$A$125,12,1)-FORECAST.ETS.CONFINT(A137,$B$85:$B$125,$A$85:$A$125,0.8,12,1)</f>
        <v/>
      </c>
      <c r="F137" s="52">
        <f>FORECAST.ETS(A137,$B$85:$B$125,$A$85:$A$125,12,1)+FORECAST.ETS.CONFINT(A137,$B$85:$B$125,$A$85:$A$125,0.8,12,1)</f>
        <v/>
      </c>
      <c r="G137" s="52">
        <f>FORECAST.ETS(A137,$B$85:$B$125,$A$85:$A$125,12,1)-FORECAST.ETS.CONFINT(A137,$B$85:$B$125,$A$85:$A$125,0.95,12,1)</f>
        <v/>
      </c>
      <c r="H137" s="52">
        <f>FORECAST.ETS(A137,$B$85:$B$125,$A$85:$A$125,12,1)+FORECAST.ETS.CONFINT(A137,$B$85:$B$125,$A$85:$A$125,0.95,12,1)</f>
        <v/>
      </c>
      <c r="I137" s="52">
        <f>FORECAST.ETS(A137,$C$85:$C$125,$A$85:$A$125,12,1)</f>
        <v/>
      </c>
      <c r="J137" s="51" t="n"/>
    </row>
    <row r="138" ht="15" customHeight="1">
      <c r="A138" s="42" t="inlineStr">
        <is>
          <t>2027-06</t>
        </is>
      </c>
      <c r="B138" s="51" t="n"/>
      <c r="C138" s="51" t="n"/>
      <c r="D138" s="52">
        <f>FORECAST.ETS(A138,$B$85:$B$125,$A$85:$A$125,12,1)</f>
        <v/>
      </c>
      <c r="E138" s="52">
        <f>FORECAST.ETS(A138,$B$85:$B$125,$A$85:$A$125,12,1)-FORECAST.ETS.CONFINT(A138,$B$85:$B$125,$A$85:$A$125,0.8,12,1)</f>
        <v/>
      </c>
      <c r="F138" s="52">
        <f>FORECAST.ETS(A138,$B$85:$B$125,$A$85:$A$125,12,1)+FORECAST.ETS.CONFINT(A138,$B$85:$B$125,$A$85:$A$125,0.8,12,1)</f>
        <v/>
      </c>
      <c r="G138" s="52">
        <f>FORECAST.ETS(A138,$B$85:$B$125,$A$85:$A$125,12,1)-FORECAST.ETS.CONFINT(A138,$B$85:$B$125,$A$85:$A$125,0.95,12,1)</f>
        <v/>
      </c>
      <c r="H138" s="52">
        <f>FORECAST.ETS(A138,$B$85:$B$125,$A$85:$A$125,12,1)+FORECAST.ETS.CONFINT(A138,$B$85:$B$125,$A$85:$A$125,0.95,12,1)</f>
        <v/>
      </c>
      <c r="I138" s="52">
        <f>FORECAST.ETS(A138,$C$85:$C$125,$A$85:$A$125,12,1)</f>
        <v/>
      </c>
      <c r="J138" s="51" t="n"/>
    </row>
    <row r="139" ht="15" customHeight="1">
      <c r="A139" s="42" t="inlineStr">
        <is>
          <t>2027-07</t>
        </is>
      </c>
      <c r="B139" s="51" t="n"/>
      <c r="C139" s="51" t="n"/>
      <c r="D139" s="52">
        <f>FORECAST.ETS(A139,$B$85:$B$125,$A$85:$A$125,12,1)</f>
        <v/>
      </c>
      <c r="E139" s="52">
        <f>FORECAST.ETS(A139,$B$85:$B$125,$A$85:$A$125,12,1)-FORECAST.ETS.CONFINT(A139,$B$85:$B$125,$A$85:$A$125,0.8,12,1)</f>
        <v/>
      </c>
      <c r="F139" s="52">
        <f>FORECAST.ETS(A139,$B$85:$B$125,$A$85:$A$125,12,1)+FORECAST.ETS.CONFINT(A139,$B$85:$B$125,$A$85:$A$125,0.8,12,1)</f>
        <v/>
      </c>
      <c r="G139" s="52">
        <f>FORECAST.ETS(A139,$B$85:$B$125,$A$85:$A$125,12,1)-FORECAST.ETS.CONFINT(A139,$B$85:$B$125,$A$85:$A$125,0.95,12,1)</f>
        <v/>
      </c>
      <c r="H139" s="52">
        <f>FORECAST.ETS(A139,$B$85:$B$125,$A$85:$A$125,12,1)+FORECAST.ETS.CONFINT(A139,$B$85:$B$125,$A$85:$A$125,0.95,12,1)</f>
        <v/>
      </c>
      <c r="I139" s="52">
        <f>FORECAST.ETS(A139,$C$85:$C$125,$A$85:$A$125,12,1)</f>
        <v/>
      </c>
      <c r="J139" s="51" t="n"/>
    </row>
    <row r="140" ht="15" customHeight="1">
      <c r="A140" s="42" t="inlineStr">
        <is>
          <t>2027-08</t>
        </is>
      </c>
      <c r="B140" s="51" t="n"/>
      <c r="C140" s="51" t="n"/>
      <c r="D140" s="52">
        <f>FORECAST.ETS(A140,$B$85:$B$125,$A$85:$A$125,12,1)</f>
        <v/>
      </c>
      <c r="E140" s="52">
        <f>FORECAST.ETS(A140,$B$85:$B$125,$A$85:$A$125,12,1)-FORECAST.ETS.CONFINT(A140,$B$85:$B$125,$A$85:$A$125,0.8,12,1)</f>
        <v/>
      </c>
      <c r="F140" s="52">
        <f>FORECAST.ETS(A140,$B$85:$B$125,$A$85:$A$125,12,1)+FORECAST.ETS.CONFINT(A140,$B$85:$B$125,$A$85:$A$125,0.8,12,1)</f>
        <v/>
      </c>
      <c r="G140" s="52">
        <f>FORECAST.ETS(A140,$B$85:$B$125,$A$85:$A$125,12,1)-FORECAST.ETS.CONFINT(A140,$B$85:$B$125,$A$85:$A$125,0.95,12,1)</f>
        <v/>
      </c>
      <c r="H140" s="52">
        <f>FORECAST.ETS(A140,$B$85:$B$125,$A$85:$A$125,12,1)+FORECAST.ETS.CONFINT(A140,$B$85:$B$125,$A$85:$A$125,0.95,12,1)</f>
        <v/>
      </c>
      <c r="I140" s="52">
        <f>FORECAST.ETS(A140,$C$85:$C$125,$A$85:$A$125,12,1)</f>
        <v/>
      </c>
      <c r="J140" s="51" t="n"/>
    </row>
    <row r="141" ht="15" customHeight="1">
      <c r="A141" s="42" t="inlineStr">
        <is>
          <t>2027-09</t>
        </is>
      </c>
      <c r="B141" s="51" t="n"/>
      <c r="C141" s="51" t="n"/>
      <c r="D141" s="52">
        <f>FORECAST.ETS(A141,$B$85:$B$125,$A$85:$A$125,12,1)</f>
        <v/>
      </c>
      <c r="E141" s="52">
        <f>FORECAST.ETS(A141,$B$85:$B$125,$A$85:$A$125,12,1)-FORECAST.ETS.CONFINT(A141,$B$85:$B$125,$A$85:$A$125,0.8,12,1)</f>
        <v/>
      </c>
      <c r="F141" s="52">
        <f>FORECAST.ETS(A141,$B$85:$B$125,$A$85:$A$125,12,1)+FORECAST.ETS.CONFINT(A141,$B$85:$B$125,$A$85:$A$125,0.8,12,1)</f>
        <v/>
      </c>
      <c r="G141" s="52">
        <f>FORECAST.ETS(A141,$B$85:$B$125,$A$85:$A$125,12,1)-FORECAST.ETS.CONFINT(A141,$B$85:$B$125,$A$85:$A$125,0.95,12,1)</f>
        <v/>
      </c>
      <c r="H141" s="52">
        <f>FORECAST.ETS(A141,$B$85:$B$125,$A$85:$A$125,12,1)+FORECAST.ETS.CONFINT(A141,$B$85:$B$125,$A$85:$A$125,0.95,12,1)</f>
        <v/>
      </c>
      <c r="I141" s="52">
        <f>FORECAST.ETS(A141,$C$85:$C$125,$A$85:$A$125,12,1)</f>
        <v/>
      </c>
      <c r="J141" s="51" t="n"/>
    </row>
    <row r="142" ht="15" customHeight="1">
      <c r="A142" s="42" t="inlineStr">
        <is>
          <t>2027-10</t>
        </is>
      </c>
      <c r="B142" s="51" t="n"/>
      <c r="C142" s="51" t="n"/>
      <c r="D142" s="52">
        <f>FORECAST.ETS(A142,$B$85:$B$125,$A$85:$A$125,12,1)</f>
        <v/>
      </c>
      <c r="E142" s="52">
        <f>FORECAST.ETS(A142,$B$85:$B$125,$A$85:$A$125,12,1)-FORECAST.ETS.CONFINT(A142,$B$85:$B$125,$A$85:$A$125,0.8,12,1)</f>
        <v/>
      </c>
      <c r="F142" s="52">
        <f>FORECAST.ETS(A142,$B$85:$B$125,$A$85:$A$125,12,1)+FORECAST.ETS.CONFINT(A142,$B$85:$B$125,$A$85:$A$125,0.8,12,1)</f>
        <v/>
      </c>
      <c r="G142" s="52">
        <f>FORECAST.ETS(A142,$B$85:$B$125,$A$85:$A$125,12,1)-FORECAST.ETS.CONFINT(A142,$B$85:$B$125,$A$85:$A$125,0.95,12,1)</f>
        <v/>
      </c>
      <c r="H142" s="52">
        <f>FORECAST.ETS(A142,$B$85:$B$125,$A$85:$A$125,12,1)+FORECAST.ETS.CONFINT(A142,$B$85:$B$125,$A$85:$A$125,0.95,12,1)</f>
        <v/>
      </c>
      <c r="I142" s="52">
        <f>FORECAST.ETS(A142,$C$85:$C$125,$A$85:$A$125,12,1)</f>
        <v/>
      </c>
      <c r="J142" s="51" t="n"/>
    </row>
    <row r="143" ht="15" customHeight="1">
      <c r="A143" s="42" t="inlineStr">
        <is>
          <t>2027-11</t>
        </is>
      </c>
      <c r="B143" s="51" t="n"/>
      <c r="C143" s="51" t="n"/>
      <c r="D143" s="52">
        <f>FORECAST.ETS(A143,$B$85:$B$125,$A$85:$A$125,12,1)</f>
        <v/>
      </c>
      <c r="E143" s="52">
        <f>FORECAST.ETS(A143,$B$85:$B$125,$A$85:$A$125,12,1)-FORECAST.ETS.CONFINT(A143,$B$85:$B$125,$A$85:$A$125,0.8,12,1)</f>
        <v/>
      </c>
      <c r="F143" s="52">
        <f>FORECAST.ETS(A143,$B$85:$B$125,$A$85:$A$125,12,1)+FORECAST.ETS.CONFINT(A143,$B$85:$B$125,$A$85:$A$125,0.8,12,1)</f>
        <v/>
      </c>
      <c r="G143" s="52">
        <f>FORECAST.ETS(A143,$B$85:$B$125,$A$85:$A$125,12,1)-FORECAST.ETS.CONFINT(A143,$B$85:$B$125,$A$85:$A$125,0.95,12,1)</f>
        <v/>
      </c>
      <c r="H143" s="52">
        <f>FORECAST.ETS(A143,$B$85:$B$125,$A$85:$A$125,12,1)+FORECAST.ETS.CONFINT(A143,$B$85:$B$125,$A$85:$A$125,0.95,12,1)</f>
        <v/>
      </c>
      <c r="I143" s="52">
        <f>FORECAST.ETS(A143,$C$85:$C$125,$A$85:$A$125,12,1)</f>
        <v/>
      </c>
      <c r="J143" s="51" t="n"/>
    </row>
    <row r="144" ht="15" customHeight="1">
      <c r="A144" s="42" t="inlineStr">
        <is>
          <t>2027-12</t>
        </is>
      </c>
      <c r="B144" s="51" t="n"/>
      <c r="C144" s="51" t="n"/>
      <c r="D144" s="52">
        <f>FORECAST.ETS(A144,$B$85:$B$125,$A$85:$A$125,12,1)</f>
        <v/>
      </c>
      <c r="E144" s="52">
        <f>FORECAST.ETS(A144,$B$85:$B$125,$A$85:$A$125,12,1)-FORECAST.ETS.CONFINT(A144,$B$85:$B$125,$A$85:$A$125,0.8,12,1)</f>
        <v/>
      </c>
      <c r="F144" s="52">
        <f>FORECAST.ETS(A144,$B$85:$B$125,$A$85:$A$125,12,1)+FORECAST.ETS.CONFINT(A144,$B$85:$B$125,$A$85:$A$125,0.8,12,1)</f>
        <v/>
      </c>
      <c r="G144" s="52">
        <f>FORECAST.ETS(A144,$B$85:$B$125,$A$85:$A$125,12,1)-FORECAST.ETS.CONFINT(A144,$B$85:$B$125,$A$85:$A$125,0.95,12,1)</f>
        <v/>
      </c>
      <c r="H144" s="52">
        <f>FORECAST.ETS(A144,$B$85:$B$125,$A$85:$A$125,12,1)+FORECAST.ETS.CONFINT(A144,$B$85:$B$125,$A$85:$A$125,0.95,12,1)</f>
        <v/>
      </c>
      <c r="I144" s="52">
        <f>FORECAST.ETS(A144,$C$85:$C$125,$A$85:$A$125,12,1)</f>
        <v/>
      </c>
      <c r="J144" s="51" t="n"/>
    </row>
    <row r="145" ht="15" customHeight="1">
      <c r="A145" s="42" t="inlineStr">
        <is>
          <t>2028-01</t>
        </is>
      </c>
      <c r="B145" s="51" t="n"/>
      <c r="C145" s="51" t="n"/>
      <c r="D145" s="52">
        <f>FORECAST.ETS(A145,$B$85:$B$125,$A$85:$A$125,12,1)</f>
        <v/>
      </c>
      <c r="E145" s="52">
        <f>FORECAST.ETS(A145,$B$85:$B$125,$A$85:$A$125,12,1)-FORECAST.ETS.CONFINT(A145,$B$85:$B$125,$A$85:$A$125,0.8,12,1)</f>
        <v/>
      </c>
      <c r="F145" s="52">
        <f>FORECAST.ETS(A145,$B$85:$B$125,$A$85:$A$125,12,1)+FORECAST.ETS.CONFINT(A145,$B$85:$B$125,$A$85:$A$125,0.8,12,1)</f>
        <v/>
      </c>
      <c r="G145" s="52">
        <f>FORECAST.ETS(A145,$B$85:$B$125,$A$85:$A$125,12,1)-FORECAST.ETS.CONFINT(A145,$B$85:$B$125,$A$85:$A$125,0.95,12,1)</f>
        <v/>
      </c>
      <c r="H145" s="52">
        <f>FORECAST.ETS(A145,$B$85:$B$125,$A$85:$A$125,12,1)+FORECAST.ETS.CONFINT(A145,$B$85:$B$125,$A$85:$A$125,0.95,12,1)</f>
        <v/>
      </c>
      <c r="I145" s="52">
        <f>FORECAST.ETS(A145,$C$85:$C$125,$A$85:$A$125,12,1)</f>
        <v/>
      </c>
      <c r="J145" s="51" t="n"/>
    </row>
    <row r="146" ht="15" customHeight="1">
      <c r="A146" s="42" t="inlineStr">
        <is>
          <t>2028-02</t>
        </is>
      </c>
      <c r="B146" s="51" t="n"/>
      <c r="C146" s="51" t="n"/>
      <c r="D146" s="52">
        <f>FORECAST.ETS(A146,$B$85:$B$125,$A$85:$A$125,12,1)</f>
        <v/>
      </c>
      <c r="E146" s="52">
        <f>FORECAST.ETS(A146,$B$85:$B$125,$A$85:$A$125,12,1)-FORECAST.ETS.CONFINT(A146,$B$85:$B$125,$A$85:$A$125,0.8,12,1)</f>
        <v/>
      </c>
      <c r="F146" s="52">
        <f>FORECAST.ETS(A146,$B$85:$B$125,$A$85:$A$125,12,1)+FORECAST.ETS.CONFINT(A146,$B$85:$B$125,$A$85:$A$125,0.8,12,1)</f>
        <v/>
      </c>
      <c r="G146" s="52">
        <f>FORECAST.ETS(A146,$B$85:$B$125,$A$85:$A$125,12,1)-FORECAST.ETS.CONFINT(A146,$B$85:$B$125,$A$85:$A$125,0.95,12,1)</f>
        <v/>
      </c>
      <c r="H146" s="52">
        <f>FORECAST.ETS(A146,$B$85:$B$125,$A$85:$A$125,12,1)+FORECAST.ETS.CONFINT(A146,$B$85:$B$125,$A$85:$A$125,0.95,12,1)</f>
        <v/>
      </c>
      <c r="I146" s="52">
        <f>FORECAST.ETS(A146,$C$85:$C$125,$A$85:$A$125,12,1)</f>
        <v/>
      </c>
      <c r="J146" s="51" t="n"/>
    </row>
    <row r="147" ht="15" customHeight="1">
      <c r="A147" s="42" t="inlineStr">
        <is>
          <t>2028-03</t>
        </is>
      </c>
      <c r="B147" s="51" t="n"/>
      <c r="C147" s="51" t="n"/>
      <c r="D147" s="52">
        <f>FORECAST.ETS(A147,$B$85:$B$125,$A$85:$A$125,12,1)</f>
        <v/>
      </c>
      <c r="E147" s="52">
        <f>FORECAST.ETS(A147,$B$85:$B$125,$A$85:$A$125,12,1)-FORECAST.ETS.CONFINT(A147,$B$85:$B$125,$A$85:$A$125,0.8,12,1)</f>
        <v/>
      </c>
      <c r="F147" s="52">
        <f>FORECAST.ETS(A147,$B$85:$B$125,$A$85:$A$125,12,1)+FORECAST.ETS.CONFINT(A147,$B$85:$B$125,$A$85:$A$125,0.8,12,1)</f>
        <v/>
      </c>
      <c r="G147" s="52">
        <f>FORECAST.ETS(A147,$B$85:$B$125,$A$85:$A$125,12,1)-FORECAST.ETS.CONFINT(A147,$B$85:$B$125,$A$85:$A$125,0.95,12,1)</f>
        <v/>
      </c>
      <c r="H147" s="52">
        <f>FORECAST.ETS(A147,$B$85:$B$125,$A$85:$A$125,12,1)+FORECAST.ETS.CONFINT(A147,$B$85:$B$125,$A$85:$A$125,0.95,12,1)</f>
        <v/>
      </c>
      <c r="I147" s="52">
        <f>FORECAST.ETS(A147,$C$85:$C$125,$A$85:$A$125,12,1)</f>
        <v/>
      </c>
      <c r="J147" s="51" t="n"/>
    </row>
    <row r="148" ht="15" customHeight="1">
      <c r="A148" s="42" t="inlineStr">
        <is>
          <t>2028-04</t>
        </is>
      </c>
      <c r="B148" s="51" t="n"/>
      <c r="C148" s="51" t="n"/>
      <c r="D148" s="52">
        <f>FORECAST.ETS(A148,$B$85:$B$125,$A$85:$A$125,12,1)</f>
        <v/>
      </c>
      <c r="E148" s="52">
        <f>FORECAST.ETS(A148,$B$85:$B$125,$A$85:$A$125,12,1)-FORECAST.ETS.CONFINT(A148,$B$85:$B$125,$A$85:$A$125,0.8,12,1)</f>
        <v/>
      </c>
      <c r="F148" s="52">
        <f>FORECAST.ETS(A148,$B$85:$B$125,$A$85:$A$125,12,1)+FORECAST.ETS.CONFINT(A148,$B$85:$B$125,$A$85:$A$125,0.8,12,1)</f>
        <v/>
      </c>
      <c r="G148" s="52">
        <f>FORECAST.ETS(A148,$B$85:$B$125,$A$85:$A$125,12,1)-FORECAST.ETS.CONFINT(A148,$B$85:$B$125,$A$85:$A$125,0.95,12,1)</f>
        <v/>
      </c>
      <c r="H148" s="52">
        <f>FORECAST.ETS(A148,$B$85:$B$125,$A$85:$A$125,12,1)+FORECAST.ETS.CONFINT(A148,$B$85:$B$125,$A$85:$A$125,0.95,12,1)</f>
        <v/>
      </c>
      <c r="I148" s="52">
        <f>FORECAST.ETS(A148,$C$85:$C$125,$A$85:$A$125,12,1)</f>
        <v/>
      </c>
      <c r="J148" s="51" t="n"/>
    </row>
    <row r="149" ht="15" customHeight="1">
      <c r="A149" s="42" t="inlineStr">
        <is>
          <t>2028-05</t>
        </is>
      </c>
      <c r="B149" s="51" t="n"/>
      <c r="C149" s="51" t="n"/>
      <c r="D149" s="52">
        <f>FORECAST.ETS(A149,$B$85:$B$125,$A$85:$A$125,12,1)</f>
        <v/>
      </c>
      <c r="E149" s="52">
        <f>FORECAST.ETS(A149,$B$85:$B$125,$A$85:$A$125,12,1)-FORECAST.ETS.CONFINT(A149,$B$85:$B$125,$A$85:$A$125,0.8,12,1)</f>
        <v/>
      </c>
      <c r="F149" s="52">
        <f>FORECAST.ETS(A149,$B$85:$B$125,$A$85:$A$125,12,1)+FORECAST.ETS.CONFINT(A149,$B$85:$B$125,$A$85:$A$125,0.8,12,1)</f>
        <v/>
      </c>
      <c r="G149" s="52">
        <f>FORECAST.ETS(A149,$B$85:$B$125,$A$85:$A$125,12,1)-FORECAST.ETS.CONFINT(A149,$B$85:$B$125,$A$85:$A$125,0.95,12,1)</f>
        <v/>
      </c>
      <c r="H149" s="52">
        <f>FORECAST.ETS(A149,$B$85:$B$125,$A$85:$A$125,12,1)+FORECAST.ETS.CONFINT(A149,$B$85:$B$125,$A$85:$A$125,0.95,12,1)</f>
        <v/>
      </c>
      <c r="I149" s="52">
        <f>FORECAST.ETS(A149,$C$85:$C$125,$A$85:$A$125,12,1)</f>
        <v/>
      </c>
      <c r="J149" s="51" t="n"/>
    </row>
    <row r="150" ht="15" customHeight="1">
      <c r="A150" s="42" t="inlineStr">
        <is>
          <t>2028-06</t>
        </is>
      </c>
      <c r="B150" s="51" t="n"/>
      <c r="C150" s="51" t="n"/>
      <c r="D150" s="52">
        <f>FORECAST.ETS(A150,$B$85:$B$125,$A$85:$A$125,12,1)</f>
        <v/>
      </c>
      <c r="E150" s="52">
        <f>FORECAST.ETS(A150,$B$85:$B$125,$A$85:$A$125,12,1)-FORECAST.ETS.CONFINT(A150,$B$85:$B$125,$A$85:$A$125,0.8,12,1)</f>
        <v/>
      </c>
      <c r="F150" s="52">
        <f>FORECAST.ETS(A150,$B$85:$B$125,$A$85:$A$125,12,1)+FORECAST.ETS.CONFINT(A150,$B$85:$B$125,$A$85:$A$125,0.8,12,1)</f>
        <v/>
      </c>
      <c r="G150" s="52">
        <f>FORECAST.ETS(A150,$B$85:$B$125,$A$85:$A$125,12,1)-FORECAST.ETS.CONFINT(A150,$B$85:$B$125,$A$85:$A$125,0.95,12,1)</f>
        <v/>
      </c>
      <c r="H150" s="52">
        <f>FORECAST.ETS(A150,$B$85:$B$125,$A$85:$A$125,12,1)+FORECAST.ETS.CONFINT(A150,$B$85:$B$125,$A$85:$A$125,0.95,12,1)</f>
        <v/>
      </c>
      <c r="I150" s="52">
        <f>FORECAST.ETS(A150,$C$85:$C$125,$A$85:$A$125,12,1)</f>
        <v/>
      </c>
      <c r="J150" s="51" t="n"/>
    </row>
    <row r="151" ht="15" customHeight="1">
      <c r="A151" s="42" t="inlineStr">
        <is>
          <t>2028-07</t>
        </is>
      </c>
      <c r="B151" s="51" t="n"/>
      <c r="C151" s="51" t="n"/>
      <c r="D151" s="52">
        <f>FORECAST.ETS(A151,$B$85:$B$125,$A$85:$A$125,12,1)</f>
        <v/>
      </c>
      <c r="E151" s="52">
        <f>FORECAST.ETS(A151,$B$85:$B$125,$A$85:$A$125,12,1)-FORECAST.ETS.CONFINT(A151,$B$85:$B$125,$A$85:$A$125,0.8,12,1)</f>
        <v/>
      </c>
      <c r="F151" s="52">
        <f>FORECAST.ETS(A151,$B$85:$B$125,$A$85:$A$125,12,1)+FORECAST.ETS.CONFINT(A151,$B$85:$B$125,$A$85:$A$125,0.8,12,1)</f>
        <v/>
      </c>
      <c r="G151" s="52">
        <f>FORECAST.ETS(A151,$B$85:$B$125,$A$85:$A$125,12,1)-FORECAST.ETS.CONFINT(A151,$B$85:$B$125,$A$85:$A$125,0.95,12,1)</f>
        <v/>
      </c>
      <c r="H151" s="52">
        <f>FORECAST.ETS(A151,$B$85:$B$125,$A$85:$A$125,12,1)+FORECAST.ETS.CONFINT(A151,$B$85:$B$125,$A$85:$A$125,0.95,12,1)</f>
        <v/>
      </c>
      <c r="I151" s="52">
        <f>FORECAST.ETS(A151,$C$85:$C$125,$A$85:$A$125,12,1)</f>
        <v/>
      </c>
      <c r="J151" s="51" t="n"/>
    </row>
    <row r="152" ht="15" customHeight="1">
      <c r="A152" s="42" t="inlineStr">
        <is>
          <t>2028-08</t>
        </is>
      </c>
      <c r="B152" s="51" t="n"/>
      <c r="C152" s="51" t="n"/>
      <c r="D152" s="52">
        <f>FORECAST.ETS(A152,$B$85:$B$125,$A$85:$A$125,12,1)</f>
        <v/>
      </c>
      <c r="E152" s="52">
        <f>FORECAST.ETS(A152,$B$85:$B$125,$A$85:$A$125,12,1)-FORECAST.ETS.CONFINT(A152,$B$85:$B$125,$A$85:$A$125,0.8,12,1)</f>
        <v/>
      </c>
      <c r="F152" s="52">
        <f>FORECAST.ETS(A152,$B$85:$B$125,$A$85:$A$125,12,1)+FORECAST.ETS.CONFINT(A152,$B$85:$B$125,$A$85:$A$125,0.8,12,1)</f>
        <v/>
      </c>
      <c r="G152" s="52">
        <f>FORECAST.ETS(A152,$B$85:$B$125,$A$85:$A$125,12,1)-FORECAST.ETS.CONFINT(A152,$B$85:$B$125,$A$85:$A$125,0.95,12,1)</f>
        <v/>
      </c>
      <c r="H152" s="52">
        <f>FORECAST.ETS(A152,$B$85:$B$125,$A$85:$A$125,12,1)+FORECAST.ETS.CONFINT(A152,$B$85:$B$125,$A$85:$A$125,0.95,12,1)</f>
        <v/>
      </c>
      <c r="I152" s="52">
        <f>FORECAST.ETS(A152,$C$85:$C$125,$A$85:$A$125,12,1)</f>
        <v/>
      </c>
      <c r="J152" s="51" t="n"/>
    </row>
    <row r="153" ht="15" customHeight="1">
      <c r="A153" s="42" t="inlineStr">
        <is>
          <t>2028-09</t>
        </is>
      </c>
      <c r="B153" s="51" t="n"/>
      <c r="C153" s="51" t="n"/>
      <c r="D153" s="52">
        <f>FORECAST.ETS(A153,$B$85:$B$125,$A$85:$A$125,12,1)</f>
        <v/>
      </c>
      <c r="E153" s="52">
        <f>FORECAST.ETS(A153,$B$85:$B$125,$A$85:$A$125,12,1)-FORECAST.ETS.CONFINT(A153,$B$85:$B$125,$A$85:$A$125,0.8,12,1)</f>
        <v/>
      </c>
      <c r="F153" s="52">
        <f>FORECAST.ETS(A153,$B$85:$B$125,$A$85:$A$125,12,1)+FORECAST.ETS.CONFINT(A153,$B$85:$B$125,$A$85:$A$125,0.8,12,1)</f>
        <v/>
      </c>
      <c r="G153" s="52">
        <f>FORECAST.ETS(A153,$B$85:$B$125,$A$85:$A$125,12,1)-FORECAST.ETS.CONFINT(A153,$B$85:$B$125,$A$85:$A$125,0.95,12,1)</f>
        <v/>
      </c>
      <c r="H153" s="52">
        <f>FORECAST.ETS(A153,$B$85:$B$125,$A$85:$A$125,12,1)+FORECAST.ETS.CONFINT(A153,$B$85:$B$125,$A$85:$A$125,0.95,12,1)</f>
        <v/>
      </c>
      <c r="I153" s="52">
        <f>FORECAST.ETS(A153,$C$85:$C$125,$A$85:$A$125,12,1)</f>
        <v/>
      </c>
      <c r="J153" s="51" t="n"/>
    </row>
    <row r="154" ht="15" customHeight="1">
      <c r="A154" s="42" t="inlineStr">
        <is>
          <t>2028-10</t>
        </is>
      </c>
      <c r="B154" s="51" t="n"/>
      <c r="C154" s="51" t="n"/>
      <c r="D154" s="52">
        <f>FORECAST.ETS(A154,$B$85:$B$125,$A$85:$A$125,12,1)</f>
        <v/>
      </c>
      <c r="E154" s="52">
        <f>FORECAST.ETS(A154,$B$85:$B$125,$A$85:$A$125,12,1)-FORECAST.ETS.CONFINT(A154,$B$85:$B$125,$A$85:$A$125,0.8,12,1)</f>
        <v/>
      </c>
      <c r="F154" s="52">
        <f>FORECAST.ETS(A154,$B$85:$B$125,$A$85:$A$125,12,1)+FORECAST.ETS.CONFINT(A154,$B$85:$B$125,$A$85:$A$125,0.8,12,1)</f>
        <v/>
      </c>
      <c r="G154" s="52">
        <f>FORECAST.ETS(A154,$B$85:$B$125,$A$85:$A$125,12,1)-FORECAST.ETS.CONFINT(A154,$B$85:$B$125,$A$85:$A$125,0.95,12,1)</f>
        <v/>
      </c>
      <c r="H154" s="52">
        <f>FORECAST.ETS(A154,$B$85:$B$125,$A$85:$A$125,12,1)+FORECAST.ETS.CONFINT(A154,$B$85:$B$125,$A$85:$A$125,0.95,12,1)</f>
        <v/>
      </c>
      <c r="I154" s="52">
        <f>FORECAST.ETS(A154,$C$85:$C$125,$A$85:$A$125,12,1)</f>
        <v/>
      </c>
      <c r="J154" s="51" t="n"/>
    </row>
    <row r="155" ht="15" customHeight="1">
      <c r="A155" s="42" t="inlineStr">
        <is>
          <t>2028-11</t>
        </is>
      </c>
      <c r="B155" s="51" t="n"/>
      <c r="C155" s="51" t="n"/>
      <c r="D155" s="52">
        <f>FORECAST.ETS(A155,$B$85:$B$125,$A$85:$A$125,12,1)</f>
        <v/>
      </c>
      <c r="E155" s="52">
        <f>FORECAST.ETS(A155,$B$85:$B$125,$A$85:$A$125,12,1)-FORECAST.ETS.CONFINT(A155,$B$85:$B$125,$A$85:$A$125,0.8,12,1)</f>
        <v/>
      </c>
      <c r="F155" s="52">
        <f>FORECAST.ETS(A155,$B$85:$B$125,$A$85:$A$125,12,1)+FORECAST.ETS.CONFINT(A155,$B$85:$B$125,$A$85:$A$125,0.8,12,1)</f>
        <v/>
      </c>
      <c r="G155" s="52">
        <f>FORECAST.ETS(A155,$B$85:$B$125,$A$85:$A$125,12,1)-FORECAST.ETS.CONFINT(A155,$B$85:$B$125,$A$85:$A$125,0.95,12,1)</f>
        <v/>
      </c>
      <c r="H155" s="52">
        <f>FORECAST.ETS(A155,$B$85:$B$125,$A$85:$A$125,12,1)+FORECAST.ETS.CONFINT(A155,$B$85:$B$125,$A$85:$A$125,0.95,12,1)</f>
        <v/>
      </c>
      <c r="I155" s="52">
        <f>FORECAST.ETS(A155,$C$85:$C$125,$A$85:$A$125,12,1)</f>
        <v/>
      </c>
      <c r="J155" s="51" t="n"/>
    </row>
    <row r="156" ht="15" customHeight="1">
      <c r="A156" s="42" t="inlineStr">
        <is>
          <t>2028-12</t>
        </is>
      </c>
      <c r="B156" s="51" t="n"/>
      <c r="C156" s="51" t="n"/>
      <c r="D156" s="52">
        <f>FORECAST.ETS(A156,$B$85:$B$125,$A$85:$A$125,12,1)</f>
        <v/>
      </c>
      <c r="E156" s="52">
        <f>FORECAST.ETS(A156,$B$85:$B$125,$A$85:$A$125,12,1)-FORECAST.ETS.CONFINT(A156,$B$85:$B$125,$A$85:$A$125,0.8,12,1)</f>
        <v/>
      </c>
      <c r="F156" s="52">
        <f>FORECAST.ETS(A156,$B$85:$B$125,$A$85:$A$125,12,1)+FORECAST.ETS.CONFINT(A156,$B$85:$B$125,$A$85:$A$125,0.8,12,1)</f>
        <v/>
      </c>
      <c r="G156" s="52">
        <f>FORECAST.ETS(A156,$B$85:$B$125,$A$85:$A$125,12,1)-FORECAST.ETS.CONFINT(A156,$B$85:$B$125,$A$85:$A$125,0.95,12,1)</f>
        <v/>
      </c>
      <c r="H156" s="52">
        <f>FORECAST.ETS(A156,$B$85:$B$125,$A$85:$A$125,12,1)+FORECAST.ETS.CONFINT(A156,$B$85:$B$125,$A$85:$A$125,0.95,12,1)</f>
        <v/>
      </c>
      <c r="I156" s="52">
        <f>FORECAST.ETS(A156,$C$85:$C$125,$A$85:$A$125,12,1)</f>
        <v/>
      </c>
      <c r="J156" s="51" t="n"/>
    </row>
    <row r="157" ht="15" customHeight="1">
      <c r="A157" s="42" t="inlineStr">
        <is>
          <t>2029-01</t>
        </is>
      </c>
      <c r="B157" s="51" t="n"/>
      <c r="C157" s="51" t="n"/>
      <c r="D157" s="52">
        <f>FORECAST.ETS(A157,$B$85:$B$125,$A$85:$A$125,12,1)</f>
        <v/>
      </c>
      <c r="E157" s="52">
        <f>FORECAST.ETS(A157,$B$85:$B$125,$A$85:$A$125,12,1)-FORECAST.ETS.CONFINT(A157,$B$85:$B$125,$A$85:$A$125,0.8,12,1)</f>
        <v/>
      </c>
      <c r="F157" s="52">
        <f>FORECAST.ETS(A157,$B$85:$B$125,$A$85:$A$125,12,1)+FORECAST.ETS.CONFINT(A157,$B$85:$B$125,$A$85:$A$125,0.8,12,1)</f>
        <v/>
      </c>
      <c r="G157" s="52">
        <f>FORECAST.ETS(A157,$B$85:$B$125,$A$85:$A$125,12,1)-FORECAST.ETS.CONFINT(A157,$B$85:$B$125,$A$85:$A$125,0.95,12,1)</f>
        <v/>
      </c>
      <c r="H157" s="52">
        <f>FORECAST.ETS(A157,$B$85:$B$125,$A$85:$A$125,12,1)+FORECAST.ETS.CONFINT(A157,$B$85:$B$125,$A$85:$A$125,0.95,12,1)</f>
        <v/>
      </c>
      <c r="I157" s="52">
        <f>FORECAST.ETS(A157,$C$85:$C$125,$A$85:$A$125,12,1)</f>
        <v/>
      </c>
      <c r="J157" s="51" t="n"/>
    </row>
    <row r="158" ht="15" customHeight="1">
      <c r="A158" s="42" t="inlineStr">
        <is>
          <t>2029-02</t>
        </is>
      </c>
      <c r="B158" s="51" t="n"/>
      <c r="C158" s="51" t="n"/>
      <c r="D158" s="52">
        <f>FORECAST.ETS(A158,$B$85:$B$125,$A$85:$A$125,12,1)</f>
        <v/>
      </c>
      <c r="E158" s="52">
        <f>FORECAST.ETS(A158,$B$85:$B$125,$A$85:$A$125,12,1)-FORECAST.ETS.CONFINT(A158,$B$85:$B$125,$A$85:$A$125,0.8,12,1)</f>
        <v/>
      </c>
      <c r="F158" s="52">
        <f>FORECAST.ETS(A158,$B$85:$B$125,$A$85:$A$125,12,1)+FORECAST.ETS.CONFINT(A158,$B$85:$B$125,$A$85:$A$125,0.8,12,1)</f>
        <v/>
      </c>
      <c r="G158" s="52">
        <f>FORECAST.ETS(A158,$B$85:$B$125,$A$85:$A$125,12,1)-FORECAST.ETS.CONFINT(A158,$B$85:$B$125,$A$85:$A$125,0.95,12,1)</f>
        <v/>
      </c>
      <c r="H158" s="52">
        <f>FORECAST.ETS(A158,$B$85:$B$125,$A$85:$A$125,12,1)+FORECAST.ETS.CONFINT(A158,$B$85:$B$125,$A$85:$A$125,0.95,12,1)</f>
        <v/>
      </c>
      <c r="I158" s="52">
        <f>FORECAST.ETS(A158,$C$85:$C$125,$A$85:$A$125,12,1)</f>
        <v/>
      </c>
      <c r="J158" s="51" t="n"/>
    </row>
    <row r="159" ht="15" customHeight="1">
      <c r="A159" s="42" t="inlineStr">
        <is>
          <t>2029-03</t>
        </is>
      </c>
      <c r="B159" s="51" t="n"/>
      <c r="C159" s="51" t="n"/>
      <c r="D159" s="52">
        <f>FORECAST.ETS(A159,$B$85:$B$125,$A$85:$A$125,12,1)</f>
        <v/>
      </c>
      <c r="E159" s="52">
        <f>FORECAST.ETS(A159,$B$85:$B$125,$A$85:$A$125,12,1)-FORECAST.ETS.CONFINT(A159,$B$85:$B$125,$A$85:$A$125,0.8,12,1)</f>
        <v/>
      </c>
      <c r="F159" s="52">
        <f>FORECAST.ETS(A159,$B$85:$B$125,$A$85:$A$125,12,1)+FORECAST.ETS.CONFINT(A159,$B$85:$B$125,$A$85:$A$125,0.8,12,1)</f>
        <v/>
      </c>
      <c r="G159" s="52">
        <f>FORECAST.ETS(A159,$B$85:$B$125,$A$85:$A$125,12,1)-FORECAST.ETS.CONFINT(A159,$B$85:$B$125,$A$85:$A$125,0.95,12,1)</f>
        <v/>
      </c>
      <c r="H159" s="52">
        <f>FORECAST.ETS(A159,$B$85:$B$125,$A$85:$A$125,12,1)+FORECAST.ETS.CONFINT(A159,$B$85:$B$125,$A$85:$A$125,0.95,12,1)</f>
        <v/>
      </c>
      <c r="I159" s="52">
        <f>FORECAST.ETS(A159,$C$85:$C$125,$A$85:$A$125,12,1)</f>
        <v/>
      </c>
      <c r="J159" s="51" t="n"/>
    </row>
    <row r="160" ht="15" customHeight="1">
      <c r="A160" s="42" t="inlineStr">
        <is>
          <t>2029-04</t>
        </is>
      </c>
      <c r="B160" s="51" t="n"/>
      <c r="C160" s="51" t="n"/>
      <c r="D160" s="52">
        <f>FORECAST.ETS(A160,$B$85:$B$125,$A$85:$A$125,12,1)</f>
        <v/>
      </c>
      <c r="E160" s="52">
        <f>FORECAST.ETS(A160,$B$85:$B$125,$A$85:$A$125,12,1)-FORECAST.ETS.CONFINT(A160,$B$85:$B$125,$A$85:$A$125,0.8,12,1)</f>
        <v/>
      </c>
      <c r="F160" s="52">
        <f>FORECAST.ETS(A160,$B$85:$B$125,$A$85:$A$125,12,1)+FORECAST.ETS.CONFINT(A160,$B$85:$B$125,$A$85:$A$125,0.8,12,1)</f>
        <v/>
      </c>
      <c r="G160" s="52">
        <f>FORECAST.ETS(A160,$B$85:$B$125,$A$85:$A$125,12,1)-FORECAST.ETS.CONFINT(A160,$B$85:$B$125,$A$85:$A$125,0.95,12,1)</f>
        <v/>
      </c>
      <c r="H160" s="52">
        <f>FORECAST.ETS(A160,$B$85:$B$125,$A$85:$A$125,12,1)+FORECAST.ETS.CONFINT(A160,$B$85:$B$125,$A$85:$A$125,0.95,12,1)</f>
        <v/>
      </c>
      <c r="I160" s="52">
        <f>FORECAST.ETS(A160,$C$85:$C$125,$A$85:$A$125,12,1)</f>
        <v/>
      </c>
      <c r="J160" s="51" t="n"/>
    </row>
    <row r="161" ht="15" customHeight="1">
      <c r="A161" s="42" t="inlineStr">
        <is>
          <t>2029-05</t>
        </is>
      </c>
      <c r="B161" s="51" t="n"/>
      <c r="C161" s="51" t="n"/>
      <c r="D161" s="52">
        <f>FORECAST.ETS(A161,$B$85:$B$125,$A$85:$A$125,12,1)</f>
        <v/>
      </c>
      <c r="E161" s="52">
        <f>FORECAST.ETS(A161,$B$85:$B$125,$A$85:$A$125,12,1)-FORECAST.ETS.CONFINT(A161,$B$85:$B$125,$A$85:$A$125,0.8,12,1)</f>
        <v/>
      </c>
      <c r="F161" s="52">
        <f>FORECAST.ETS(A161,$B$85:$B$125,$A$85:$A$125,12,1)+FORECAST.ETS.CONFINT(A161,$B$85:$B$125,$A$85:$A$125,0.8,12,1)</f>
        <v/>
      </c>
      <c r="G161" s="52">
        <f>FORECAST.ETS(A161,$B$85:$B$125,$A$85:$A$125,12,1)-FORECAST.ETS.CONFINT(A161,$B$85:$B$125,$A$85:$A$125,0.95,12,1)</f>
        <v/>
      </c>
      <c r="H161" s="52">
        <f>FORECAST.ETS(A161,$B$85:$B$125,$A$85:$A$125,12,1)+FORECAST.ETS.CONFINT(A161,$B$85:$B$125,$A$85:$A$125,0.95,12,1)</f>
        <v/>
      </c>
      <c r="I161" s="52">
        <f>FORECAST.ETS(A161,$C$85:$C$125,$A$85:$A$125,12,1)</f>
        <v/>
      </c>
      <c r="J161" s="51" t="n"/>
    </row>
    <row r="164" ht="20" customHeight="1">
      <c r="A164" s="46" t="inlineStr">
        <is>
          <t>【 ING03  フィルグラスチム 】</t>
        </is>
      </c>
    </row>
    <row r="165" ht="18" customHeight="1">
      <c r="A165" s="3" t="inlineStr">
        <is>
          <t>period</t>
        </is>
      </c>
      <c r="B165" s="3" t="inlineStr">
        <is>
          <t>total_units（実績）</t>
        </is>
      </c>
      <c r="C165" s="3" t="inlineStr">
        <is>
          <t>total_amount_jpy（実績）</t>
        </is>
      </c>
      <c r="D165" s="3" t="inlineStr">
        <is>
          <t>fc_units（ETS）</t>
        </is>
      </c>
      <c r="E165" s="3" t="inlineStr">
        <is>
          <t>fc_units_lower80</t>
        </is>
      </c>
      <c r="F165" s="3" t="inlineStr">
        <is>
          <t>fc_units_upper80</t>
        </is>
      </c>
      <c r="G165" s="3" t="inlineStr">
        <is>
          <t>fc_units_lower95</t>
        </is>
      </c>
      <c r="H165" s="3" t="inlineStr">
        <is>
          <t>fc_units_upper95</t>
        </is>
      </c>
      <c r="I165" s="3" t="inlineStr">
        <is>
          <t>fc_amount_jpy（ETS）</t>
        </is>
      </c>
      <c r="J165" s="3" t="inlineStr">
        <is>
          <t>備考</t>
        </is>
      </c>
    </row>
    <row r="166" ht="15" customHeight="1">
      <c r="A166" s="39" t="inlineStr">
        <is>
          <t>2023-01</t>
        </is>
      </c>
      <c r="B166" s="48" t="n">
        <v>7955</v>
      </c>
      <c r="C166" s="48" t="n">
        <v>79017270</v>
      </c>
      <c r="D166" s="49" t="n"/>
      <c r="E166" s="49" t="n"/>
      <c r="F166" s="49" t="n"/>
      <c r="G166" s="49" t="n"/>
      <c r="H166" s="49" t="n"/>
      <c r="I166" s="49" t="n"/>
      <c r="J166" s="50" t="inlineStr">
        <is>
          <t>← 実績開始</t>
        </is>
      </c>
    </row>
    <row r="167" ht="15" customHeight="1">
      <c r="A167" s="39" t="inlineStr">
        <is>
          <t>2023-02</t>
        </is>
      </c>
      <c r="B167" s="48" t="n">
        <v>7693</v>
      </c>
      <c r="C167" s="48" t="n">
        <v>76679139</v>
      </c>
      <c r="D167" s="49" t="n"/>
      <c r="E167" s="49" t="n"/>
      <c r="F167" s="49" t="n"/>
      <c r="G167" s="49" t="n"/>
      <c r="H167" s="49" t="n"/>
      <c r="I167" s="49" t="n"/>
      <c r="J167" s="49" t="n"/>
    </row>
    <row r="168" ht="15" customHeight="1">
      <c r="A168" s="39" t="inlineStr">
        <is>
          <t>2023-03</t>
        </is>
      </c>
      <c r="B168" s="48" t="n">
        <v>8152</v>
      </c>
      <c r="C168" s="48" t="n">
        <v>80916074</v>
      </c>
      <c r="D168" s="49" t="n"/>
      <c r="E168" s="49" t="n"/>
      <c r="F168" s="49" t="n"/>
      <c r="G168" s="49" t="n"/>
      <c r="H168" s="49" t="n"/>
      <c r="I168" s="49" t="n"/>
      <c r="J168" s="49" t="n"/>
    </row>
    <row r="169" ht="15" customHeight="1">
      <c r="A169" s="39" t="inlineStr">
        <is>
          <t>2023-04</t>
        </is>
      </c>
      <c r="B169" s="48" t="n">
        <v>7395</v>
      </c>
      <c r="C169" s="48" t="n">
        <v>73230017</v>
      </c>
      <c r="D169" s="49" t="n"/>
      <c r="E169" s="49" t="n"/>
      <c r="F169" s="49" t="n"/>
      <c r="G169" s="49" t="n"/>
      <c r="H169" s="49" t="n"/>
      <c r="I169" s="49" t="n"/>
      <c r="J169" s="49" t="n"/>
    </row>
    <row r="170" ht="15" customHeight="1">
      <c r="A170" s="39" t="inlineStr">
        <is>
          <t>2023-05</t>
        </is>
      </c>
      <c r="B170" s="48" t="n">
        <v>8155</v>
      </c>
      <c r="C170" s="48" t="n">
        <v>80478986</v>
      </c>
      <c r="D170" s="49" t="n"/>
      <c r="E170" s="49" t="n"/>
      <c r="F170" s="49" t="n"/>
      <c r="G170" s="49" t="n"/>
      <c r="H170" s="49" t="n"/>
      <c r="I170" s="49" t="n"/>
      <c r="J170" s="49" t="n"/>
    </row>
    <row r="171" ht="15" customHeight="1">
      <c r="A171" s="39" t="inlineStr">
        <is>
          <t>2023-06</t>
        </is>
      </c>
      <c r="B171" s="48" t="n">
        <v>8274</v>
      </c>
      <c r="C171" s="48" t="n">
        <v>81482949</v>
      </c>
      <c r="D171" s="49" t="n"/>
      <c r="E171" s="49" t="n"/>
      <c r="F171" s="49" t="n"/>
      <c r="G171" s="49" t="n"/>
      <c r="H171" s="49" t="n"/>
      <c r="I171" s="49" t="n"/>
      <c r="J171" s="49" t="n"/>
    </row>
    <row r="172" ht="15" customHeight="1">
      <c r="A172" s="39" t="inlineStr">
        <is>
          <t>2023-07</t>
        </is>
      </c>
      <c r="B172" s="48" t="n">
        <v>8114</v>
      </c>
      <c r="C172" s="48" t="n">
        <v>79166684</v>
      </c>
      <c r="D172" s="49" t="n"/>
      <c r="E172" s="49" t="n"/>
      <c r="F172" s="49" t="n"/>
      <c r="G172" s="49" t="n"/>
      <c r="H172" s="49" t="n"/>
      <c r="I172" s="49" t="n"/>
      <c r="J172" s="49" t="n"/>
    </row>
    <row r="173" ht="15" customHeight="1">
      <c r="A173" s="39" t="inlineStr">
        <is>
          <t>2023-08</t>
        </is>
      </c>
      <c r="B173" s="48" t="n">
        <v>7831</v>
      </c>
      <c r="C173" s="48" t="n">
        <v>76097166</v>
      </c>
      <c r="D173" s="49" t="n"/>
      <c r="E173" s="49" t="n"/>
      <c r="F173" s="49" t="n"/>
      <c r="G173" s="49" t="n"/>
      <c r="H173" s="49" t="n"/>
      <c r="I173" s="49" t="n"/>
      <c r="J173" s="49" t="n"/>
    </row>
    <row r="174" ht="15" customHeight="1">
      <c r="A174" s="39" t="inlineStr">
        <is>
          <t>2023-09</t>
        </is>
      </c>
      <c r="B174" s="48" t="n">
        <v>7823</v>
      </c>
      <c r="C174" s="48" t="n">
        <v>76235841</v>
      </c>
      <c r="D174" s="49" t="n"/>
      <c r="E174" s="49" t="n"/>
      <c r="F174" s="49" t="n"/>
      <c r="G174" s="49" t="n"/>
      <c r="H174" s="49" t="n"/>
      <c r="I174" s="49" t="n"/>
      <c r="J174" s="49" t="n"/>
    </row>
    <row r="175" ht="15" customHeight="1">
      <c r="A175" s="39" t="inlineStr">
        <is>
          <t>2023-10</t>
        </is>
      </c>
      <c r="B175" s="48" t="n">
        <v>8140</v>
      </c>
      <c r="C175" s="48" t="n">
        <v>79151870</v>
      </c>
      <c r="D175" s="49" t="n"/>
      <c r="E175" s="49" t="n"/>
      <c r="F175" s="49" t="n"/>
      <c r="G175" s="49" t="n"/>
      <c r="H175" s="49" t="n"/>
      <c r="I175" s="49" t="n"/>
      <c r="J175" s="49" t="n"/>
    </row>
    <row r="176" ht="15" customHeight="1">
      <c r="A176" s="39" t="inlineStr">
        <is>
          <t>2023-11</t>
        </is>
      </c>
      <c r="B176" s="48" t="n">
        <v>8168</v>
      </c>
      <c r="C176" s="48" t="n">
        <v>78182783</v>
      </c>
      <c r="D176" s="49" t="n"/>
      <c r="E176" s="49" t="n"/>
      <c r="F176" s="49" t="n"/>
      <c r="G176" s="49" t="n"/>
      <c r="H176" s="49" t="n"/>
      <c r="I176" s="49" t="n"/>
      <c r="J176" s="49" t="n"/>
    </row>
    <row r="177" ht="15" customHeight="1">
      <c r="A177" s="39" t="inlineStr">
        <is>
          <t>2023-12</t>
        </is>
      </c>
      <c r="B177" s="48" t="n">
        <v>7930</v>
      </c>
      <c r="C177" s="48" t="n">
        <v>76275565</v>
      </c>
      <c r="D177" s="49" t="n"/>
      <c r="E177" s="49" t="n"/>
      <c r="F177" s="49" t="n"/>
      <c r="G177" s="49" t="n"/>
      <c r="H177" s="49" t="n"/>
      <c r="I177" s="49" t="n"/>
      <c r="J177" s="49" t="n"/>
    </row>
    <row r="178" ht="15" customHeight="1">
      <c r="A178" s="39" t="inlineStr">
        <is>
          <t>2024-01</t>
        </is>
      </c>
      <c r="B178" s="48" t="n">
        <v>8290</v>
      </c>
      <c r="C178" s="48" t="n">
        <v>79158328</v>
      </c>
      <c r="D178" s="49" t="n"/>
      <c r="E178" s="49" t="n"/>
      <c r="F178" s="49" t="n"/>
      <c r="G178" s="49" t="n"/>
      <c r="H178" s="49" t="n"/>
      <c r="I178" s="49" t="n"/>
      <c r="J178" s="49" t="n"/>
    </row>
    <row r="179" ht="15" customHeight="1">
      <c r="A179" s="39" t="inlineStr">
        <is>
          <t>2024-02</t>
        </is>
      </c>
      <c r="B179" s="48" t="n">
        <v>7921</v>
      </c>
      <c r="C179" s="48" t="n">
        <v>75206083</v>
      </c>
      <c r="D179" s="49" t="n"/>
      <c r="E179" s="49" t="n"/>
      <c r="F179" s="49" t="n"/>
      <c r="G179" s="49" t="n"/>
      <c r="H179" s="49" t="n"/>
      <c r="I179" s="49" t="n"/>
      <c r="J179" s="49" t="n"/>
    </row>
    <row r="180" ht="15" customHeight="1">
      <c r="A180" s="39" t="inlineStr">
        <is>
          <t>2024-03</t>
        </is>
      </c>
      <c r="B180" s="48" t="n">
        <v>9057</v>
      </c>
      <c r="C180" s="48" t="n">
        <v>84880405</v>
      </c>
      <c r="D180" s="49" t="n"/>
      <c r="E180" s="49" t="n"/>
      <c r="F180" s="49" t="n"/>
      <c r="G180" s="49" t="n"/>
      <c r="H180" s="49" t="n"/>
      <c r="I180" s="49" t="n"/>
      <c r="J180" s="49" t="n"/>
    </row>
    <row r="181" ht="15" customHeight="1">
      <c r="A181" s="39" t="inlineStr">
        <is>
          <t>2024-04</t>
        </is>
      </c>
      <c r="B181" s="48" t="n">
        <v>7726</v>
      </c>
      <c r="C181" s="48" t="n">
        <v>68698340</v>
      </c>
      <c r="D181" s="49" t="n"/>
      <c r="E181" s="49" t="n"/>
      <c r="F181" s="49" t="n"/>
      <c r="G181" s="49" t="n"/>
      <c r="H181" s="49" t="n"/>
      <c r="I181" s="49" t="n"/>
      <c r="J181" s="49" t="n"/>
    </row>
    <row r="182" ht="15" customHeight="1">
      <c r="A182" s="39" t="inlineStr">
        <is>
          <t>2024-05</t>
        </is>
      </c>
      <c r="B182" s="48" t="n">
        <v>8232</v>
      </c>
      <c r="C182" s="48" t="n">
        <v>72586937</v>
      </c>
      <c r="D182" s="49" t="n"/>
      <c r="E182" s="49" t="n"/>
      <c r="F182" s="49" t="n"/>
      <c r="G182" s="49" t="n"/>
      <c r="H182" s="49" t="n"/>
      <c r="I182" s="49" t="n"/>
      <c r="J182" s="49" t="n"/>
    </row>
    <row r="183" ht="15" customHeight="1">
      <c r="A183" s="39" t="inlineStr">
        <is>
          <t>2024-06</t>
        </is>
      </c>
      <c r="B183" s="48" t="n">
        <v>7995</v>
      </c>
      <c r="C183" s="48" t="n">
        <v>70285343</v>
      </c>
      <c r="D183" s="49" t="n"/>
      <c r="E183" s="49" t="n"/>
      <c r="F183" s="49" t="n"/>
      <c r="G183" s="49" t="n"/>
      <c r="H183" s="49" t="n"/>
      <c r="I183" s="49" t="n"/>
      <c r="J183" s="49" t="n"/>
    </row>
    <row r="184" ht="15" customHeight="1">
      <c r="A184" s="39" t="inlineStr">
        <is>
          <t>2024-07</t>
        </is>
      </c>
      <c r="B184" s="48" t="n">
        <v>8302</v>
      </c>
      <c r="C184" s="48" t="n">
        <v>72781792</v>
      </c>
      <c r="D184" s="49" t="n"/>
      <c r="E184" s="49" t="n"/>
      <c r="F184" s="49" t="n"/>
      <c r="G184" s="49" t="n"/>
      <c r="H184" s="49" t="n"/>
      <c r="I184" s="49" t="n"/>
      <c r="J184" s="49" t="n"/>
    </row>
    <row r="185" ht="15" customHeight="1">
      <c r="A185" s="39" t="inlineStr">
        <is>
          <t>2024-08</t>
        </is>
      </c>
      <c r="B185" s="48" t="n">
        <v>8355</v>
      </c>
      <c r="C185" s="48" t="n">
        <v>72519608</v>
      </c>
      <c r="D185" s="49" t="n"/>
      <c r="E185" s="49" t="n"/>
      <c r="F185" s="49" t="n"/>
      <c r="G185" s="49" t="n"/>
      <c r="H185" s="49" t="n"/>
      <c r="I185" s="49" t="n"/>
      <c r="J185" s="49" t="n"/>
    </row>
    <row r="186" ht="15" customHeight="1">
      <c r="A186" s="39" t="inlineStr">
        <is>
          <t>2024-09</t>
        </is>
      </c>
      <c r="B186" s="48" t="n">
        <v>8007</v>
      </c>
      <c r="C186" s="48" t="n">
        <v>69454759</v>
      </c>
      <c r="D186" s="49" t="n"/>
      <c r="E186" s="49" t="n"/>
      <c r="F186" s="49" t="n"/>
      <c r="G186" s="49" t="n"/>
      <c r="H186" s="49" t="n"/>
      <c r="I186" s="49" t="n"/>
      <c r="J186" s="49" t="n"/>
    </row>
    <row r="187" ht="15" customHeight="1">
      <c r="A187" s="39" t="inlineStr">
        <is>
          <t>2024-10</t>
        </is>
      </c>
      <c r="B187" s="48" t="n">
        <v>8151</v>
      </c>
      <c r="C187" s="48" t="n">
        <v>69956597</v>
      </c>
      <c r="D187" s="49" t="n"/>
      <c r="E187" s="49" t="n"/>
      <c r="F187" s="49" t="n"/>
      <c r="G187" s="49" t="n"/>
      <c r="H187" s="49" t="n"/>
      <c r="I187" s="49" t="n"/>
      <c r="J187" s="49" t="n"/>
    </row>
    <row r="188" ht="15" customHeight="1">
      <c r="A188" s="39" t="inlineStr">
        <is>
          <t>2024-11</t>
        </is>
      </c>
      <c r="B188" s="48" t="n">
        <v>8344</v>
      </c>
      <c r="C188" s="48" t="n">
        <v>71135920</v>
      </c>
      <c r="D188" s="49" t="n"/>
      <c r="E188" s="49" t="n"/>
      <c r="F188" s="49" t="n"/>
      <c r="G188" s="49" t="n"/>
      <c r="H188" s="49" t="n"/>
      <c r="I188" s="49" t="n"/>
      <c r="J188" s="49" t="n"/>
    </row>
    <row r="189" ht="15" customHeight="1">
      <c r="A189" s="39" t="inlineStr">
        <is>
          <t>2024-12</t>
        </is>
      </c>
      <c r="B189" s="48" t="n">
        <v>8545</v>
      </c>
      <c r="C189" s="48" t="n">
        <v>72330283</v>
      </c>
      <c r="D189" s="49" t="n"/>
      <c r="E189" s="49" t="n"/>
      <c r="F189" s="49" t="n"/>
      <c r="G189" s="49" t="n"/>
      <c r="H189" s="49" t="n"/>
      <c r="I189" s="49" t="n"/>
      <c r="J189" s="49" t="n"/>
    </row>
    <row r="190" ht="15" customHeight="1">
      <c r="A190" s="39" t="inlineStr">
        <is>
          <t>2025-01</t>
        </is>
      </c>
      <c r="B190" s="48" t="n">
        <v>8260</v>
      </c>
      <c r="C190" s="48" t="n">
        <v>70269898</v>
      </c>
      <c r="D190" s="49" t="n"/>
      <c r="E190" s="49" t="n"/>
      <c r="F190" s="49" t="n"/>
      <c r="G190" s="49" t="n"/>
      <c r="H190" s="49" t="n"/>
      <c r="I190" s="49" t="n"/>
      <c r="J190" s="49" t="n"/>
    </row>
    <row r="191" ht="15" customHeight="1">
      <c r="A191" s="39" t="inlineStr">
        <is>
          <t>2025-02</t>
        </is>
      </c>
      <c r="B191" s="48" t="n">
        <v>8643</v>
      </c>
      <c r="C191" s="48" t="n">
        <v>72987620</v>
      </c>
      <c r="D191" s="49" t="n"/>
      <c r="E191" s="49" t="n"/>
      <c r="F191" s="49" t="n"/>
      <c r="G191" s="49" t="n"/>
      <c r="H191" s="49" t="n"/>
      <c r="I191" s="49" t="n"/>
      <c r="J191" s="49" t="n"/>
    </row>
    <row r="192" ht="15" customHeight="1">
      <c r="A192" s="39" t="inlineStr">
        <is>
          <t>2025-03</t>
        </is>
      </c>
      <c r="B192" s="48" t="n">
        <v>9011</v>
      </c>
      <c r="C192" s="48" t="n">
        <v>76285222</v>
      </c>
      <c r="D192" s="49" t="n"/>
      <c r="E192" s="49" t="n"/>
      <c r="F192" s="49" t="n"/>
      <c r="G192" s="49" t="n"/>
      <c r="H192" s="49" t="n"/>
      <c r="I192" s="49" t="n"/>
      <c r="J192" s="49" t="n"/>
    </row>
    <row r="193" ht="15" customHeight="1">
      <c r="A193" s="39" t="inlineStr">
        <is>
          <t>2025-04</t>
        </is>
      </c>
      <c r="B193" s="48" t="n">
        <v>8005</v>
      </c>
      <c r="C193" s="48" t="n">
        <v>65425493</v>
      </c>
      <c r="D193" s="49" t="n"/>
      <c r="E193" s="49" t="n"/>
      <c r="F193" s="49" t="n"/>
      <c r="G193" s="49" t="n"/>
      <c r="H193" s="49" t="n"/>
      <c r="I193" s="49" t="n"/>
      <c r="J193" s="49" t="n"/>
    </row>
    <row r="194" ht="15" customHeight="1">
      <c r="A194" s="39" t="inlineStr">
        <is>
          <t>2025-05</t>
        </is>
      </c>
      <c r="B194" s="48" t="n">
        <v>8058</v>
      </c>
      <c r="C194" s="48" t="n">
        <v>65154668</v>
      </c>
      <c r="D194" s="49" t="n"/>
      <c r="E194" s="49" t="n"/>
      <c r="F194" s="49" t="n"/>
      <c r="G194" s="49" t="n"/>
      <c r="H194" s="49" t="n"/>
      <c r="I194" s="49" t="n"/>
      <c r="J194" s="49" t="n"/>
    </row>
    <row r="195" ht="15" customHeight="1">
      <c r="A195" s="39" t="inlineStr">
        <is>
          <t>2025-06</t>
        </is>
      </c>
      <c r="B195" s="48" t="n">
        <v>8083</v>
      </c>
      <c r="C195" s="48" t="n">
        <v>65616178</v>
      </c>
      <c r="D195" s="49" t="n"/>
      <c r="E195" s="49" t="n"/>
      <c r="F195" s="49" t="n"/>
      <c r="G195" s="49" t="n"/>
      <c r="H195" s="49" t="n"/>
      <c r="I195" s="49" t="n"/>
      <c r="J195" s="49" t="n"/>
    </row>
    <row r="196" ht="15" customHeight="1">
      <c r="A196" s="39" t="inlineStr">
        <is>
          <t>2025-07</t>
        </is>
      </c>
      <c r="B196" s="48" t="n">
        <v>8245</v>
      </c>
      <c r="C196" s="48" t="n">
        <v>67517920</v>
      </c>
      <c r="D196" s="49" t="n"/>
      <c r="E196" s="49" t="n"/>
      <c r="F196" s="49" t="n"/>
      <c r="G196" s="49" t="n"/>
      <c r="H196" s="49" t="n"/>
      <c r="I196" s="49" t="n"/>
      <c r="J196" s="49" t="n"/>
    </row>
    <row r="197" ht="15" customHeight="1">
      <c r="A197" s="39" t="inlineStr">
        <is>
          <t>2025-08</t>
        </is>
      </c>
      <c r="B197" s="48" t="n">
        <v>8442</v>
      </c>
      <c r="C197" s="48" t="n">
        <v>68288771</v>
      </c>
      <c r="D197" s="49" t="n"/>
      <c r="E197" s="49" t="n"/>
      <c r="F197" s="49" t="n"/>
      <c r="G197" s="49" t="n"/>
      <c r="H197" s="49" t="n"/>
      <c r="I197" s="49" t="n"/>
      <c r="J197" s="49" t="n"/>
    </row>
    <row r="198" ht="15" customHeight="1">
      <c r="A198" s="39" t="inlineStr">
        <is>
          <t>2025-09</t>
        </is>
      </c>
      <c r="B198" s="48" t="n">
        <v>8317</v>
      </c>
      <c r="C198" s="48" t="n">
        <v>66770329</v>
      </c>
      <c r="D198" s="49" t="n"/>
      <c r="E198" s="49" t="n"/>
      <c r="F198" s="49" t="n"/>
      <c r="G198" s="49" t="n"/>
      <c r="H198" s="49" t="n"/>
      <c r="I198" s="49" t="n"/>
      <c r="J198" s="49" t="n"/>
    </row>
    <row r="199" ht="15" customHeight="1">
      <c r="A199" s="39" t="inlineStr">
        <is>
          <t>2025-10</t>
        </is>
      </c>
      <c r="B199" s="48" t="n">
        <v>8455</v>
      </c>
      <c r="C199" s="48" t="n">
        <v>67523582</v>
      </c>
      <c r="D199" s="49" t="n"/>
      <c r="E199" s="49" t="n"/>
      <c r="F199" s="49" t="n"/>
      <c r="G199" s="49" t="n"/>
      <c r="H199" s="49" t="n"/>
      <c r="I199" s="49" t="n"/>
      <c r="J199" s="49" t="n"/>
    </row>
    <row r="200" ht="15" customHeight="1">
      <c r="A200" s="39" t="inlineStr">
        <is>
          <t>2025-11</t>
        </is>
      </c>
      <c r="B200" s="48" t="n">
        <v>8023</v>
      </c>
      <c r="C200" s="48" t="n">
        <v>64662544</v>
      </c>
      <c r="D200" s="49" t="n"/>
      <c r="E200" s="49" t="n"/>
      <c r="F200" s="49" t="n"/>
      <c r="G200" s="49" t="n"/>
      <c r="H200" s="49" t="n"/>
      <c r="I200" s="49" t="n"/>
      <c r="J200" s="49" t="n"/>
    </row>
    <row r="201" ht="15" customHeight="1">
      <c r="A201" s="39" t="inlineStr">
        <is>
          <t>2025-12</t>
        </is>
      </c>
      <c r="B201" s="48" t="n">
        <v>8254</v>
      </c>
      <c r="C201" s="48" t="n">
        <v>65899254</v>
      </c>
      <c r="D201" s="49" t="n"/>
      <c r="E201" s="49" t="n"/>
      <c r="F201" s="49" t="n"/>
      <c r="G201" s="49" t="n"/>
      <c r="H201" s="49" t="n"/>
      <c r="I201" s="49" t="n"/>
      <c r="J201" s="49" t="n"/>
    </row>
    <row r="202" ht="15" customHeight="1">
      <c r="A202" s="39" t="inlineStr">
        <is>
          <t>2026-01</t>
        </is>
      </c>
      <c r="B202" s="48" t="n">
        <v>8403</v>
      </c>
      <c r="C202" s="48" t="n">
        <v>66652133</v>
      </c>
      <c r="D202" s="49" t="n"/>
      <c r="E202" s="49" t="n"/>
      <c r="F202" s="49" t="n"/>
      <c r="G202" s="49" t="n"/>
      <c r="H202" s="49" t="n"/>
      <c r="I202" s="49" t="n"/>
      <c r="J202" s="49" t="n"/>
    </row>
    <row r="203" ht="15" customHeight="1">
      <c r="A203" s="39" t="inlineStr">
        <is>
          <t>2026-02</t>
        </is>
      </c>
      <c r="B203" s="48" t="n">
        <v>8417</v>
      </c>
      <c r="C203" s="48" t="n">
        <v>67031944</v>
      </c>
      <c r="D203" s="49" t="n"/>
      <c r="E203" s="49" t="n"/>
      <c r="F203" s="49" t="n"/>
      <c r="G203" s="49" t="n"/>
      <c r="H203" s="49" t="n"/>
      <c r="I203" s="49" t="n"/>
      <c r="J203" s="49" t="n"/>
    </row>
    <row r="204" ht="15" customHeight="1">
      <c r="A204" s="39" t="inlineStr">
        <is>
          <t>2026-03</t>
        </is>
      </c>
      <c r="B204" s="48" t="n">
        <v>9124</v>
      </c>
      <c r="C204" s="48" t="n">
        <v>72533990</v>
      </c>
      <c r="D204" s="49" t="n"/>
      <c r="E204" s="49" t="n"/>
      <c r="F204" s="49" t="n"/>
      <c r="G204" s="49" t="n"/>
      <c r="H204" s="49" t="n"/>
      <c r="I204" s="49" t="n"/>
      <c r="J204" s="49" t="n"/>
    </row>
    <row r="205" ht="15" customHeight="1">
      <c r="A205" s="39" t="inlineStr">
        <is>
          <t>2026-04</t>
        </is>
      </c>
      <c r="B205" s="48" t="n">
        <v>8099</v>
      </c>
      <c r="C205" s="48" t="n">
        <v>60518460</v>
      </c>
      <c r="D205" s="49" t="n"/>
      <c r="E205" s="49" t="n"/>
      <c r="F205" s="49" t="n"/>
      <c r="G205" s="49" t="n"/>
      <c r="H205" s="49" t="n"/>
      <c r="I205" s="49" t="n"/>
      <c r="J205" s="49" t="n"/>
    </row>
    <row r="206" ht="15" customHeight="1">
      <c r="A206" s="39" t="inlineStr">
        <is>
          <t>2026-05</t>
        </is>
      </c>
      <c r="B206" s="48" t="n">
        <v>8584</v>
      </c>
      <c r="C206" s="48" t="n">
        <v>64499221</v>
      </c>
      <c r="D206" s="49" t="n"/>
      <c r="E206" s="49" t="n"/>
      <c r="F206" s="49" t="n"/>
      <c r="G206" s="49" t="n"/>
      <c r="H206" s="49" t="n"/>
      <c r="I206" s="49" t="n"/>
      <c r="J206" s="49" t="n"/>
    </row>
    <row r="207" ht="15" customHeight="1">
      <c r="A207" s="42" t="inlineStr">
        <is>
          <t>2026-06</t>
        </is>
      </c>
      <c r="B207" s="51" t="n"/>
      <c r="C207" s="51" t="n"/>
      <c r="D207" s="52">
        <f>FORECAST.ETS(A207,$B$166:$B$206,$A$166:$A$206,12,1)</f>
        <v/>
      </c>
      <c r="E207" s="52">
        <f>FORECAST.ETS(A207,$B$166:$B$206,$A$166:$A$206,12,1)-FORECAST.ETS.CONFINT(A207,$B$166:$B$206,$A$166:$A$206,0.8,12,1)</f>
        <v/>
      </c>
      <c r="F207" s="52">
        <f>FORECAST.ETS(A207,$B$166:$B$206,$A$166:$A$206,12,1)+FORECAST.ETS.CONFINT(A207,$B$166:$B$206,$A$166:$A$206,0.8,12,1)</f>
        <v/>
      </c>
      <c r="G207" s="52">
        <f>FORECAST.ETS(A207,$B$166:$B$206,$A$166:$A$206,12,1)-FORECAST.ETS.CONFINT(A207,$B$166:$B$206,$A$166:$A$206,0.95,12,1)</f>
        <v/>
      </c>
      <c r="H207" s="52">
        <f>FORECAST.ETS(A207,$B$166:$B$206,$A$166:$A$206,12,1)+FORECAST.ETS.CONFINT(A207,$B$166:$B$206,$A$166:$A$206,0.95,12,1)</f>
        <v/>
      </c>
      <c r="I207" s="52">
        <f>FORECAST.ETS(A207,$C$166:$C$206,$A$166:$A$206,12,1)</f>
        <v/>
      </c>
      <c r="J207" s="53" t="inlineStr">
        <is>
          <t>← 予測開始 (2026-06)</t>
        </is>
      </c>
    </row>
    <row r="208" ht="15" customHeight="1">
      <c r="A208" s="42" t="inlineStr">
        <is>
          <t>2026-07</t>
        </is>
      </c>
      <c r="B208" s="51" t="n"/>
      <c r="C208" s="51" t="n"/>
      <c r="D208" s="52">
        <f>FORECAST.ETS(A208,$B$166:$B$206,$A$166:$A$206,12,1)</f>
        <v/>
      </c>
      <c r="E208" s="52">
        <f>FORECAST.ETS(A208,$B$166:$B$206,$A$166:$A$206,12,1)-FORECAST.ETS.CONFINT(A208,$B$166:$B$206,$A$166:$A$206,0.8,12,1)</f>
        <v/>
      </c>
      <c r="F208" s="52">
        <f>FORECAST.ETS(A208,$B$166:$B$206,$A$166:$A$206,12,1)+FORECAST.ETS.CONFINT(A208,$B$166:$B$206,$A$166:$A$206,0.8,12,1)</f>
        <v/>
      </c>
      <c r="G208" s="52">
        <f>FORECAST.ETS(A208,$B$166:$B$206,$A$166:$A$206,12,1)-FORECAST.ETS.CONFINT(A208,$B$166:$B$206,$A$166:$A$206,0.95,12,1)</f>
        <v/>
      </c>
      <c r="H208" s="52">
        <f>FORECAST.ETS(A208,$B$166:$B$206,$A$166:$A$206,12,1)+FORECAST.ETS.CONFINT(A208,$B$166:$B$206,$A$166:$A$206,0.95,12,1)</f>
        <v/>
      </c>
      <c r="I208" s="52">
        <f>FORECAST.ETS(A208,$C$166:$C$206,$A$166:$A$206,12,1)</f>
        <v/>
      </c>
      <c r="J208" s="51" t="n"/>
    </row>
    <row r="209" ht="15" customHeight="1">
      <c r="A209" s="42" t="inlineStr">
        <is>
          <t>2026-08</t>
        </is>
      </c>
      <c r="B209" s="51" t="n"/>
      <c r="C209" s="51" t="n"/>
      <c r="D209" s="52">
        <f>FORECAST.ETS(A209,$B$166:$B$206,$A$166:$A$206,12,1)</f>
        <v/>
      </c>
      <c r="E209" s="52">
        <f>FORECAST.ETS(A209,$B$166:$B$206,$A$166:$A$206,12,1)-FORECAST.ETS.CONFINT(A209,$B$166:$B$206,$A$166:$A$206,0.8,12,1)</f>
        <v/>
      </c>
      <c r="F209" s="52">
        <f>FORECAST.ETS(A209,$B$166:$B$206,$A$166:$A$206,12,1)+FORECAST.ETS.CONFINT(A209,$B$166:$B$206,$A$166:$A$206,0.8,12,1)</f>
        <v/>
      </c>
      <c r="G209" s="52">
        <f>FORECAST.ETS(A209,$B$166:$B$206,$A$166:$A$206,12,1)-FORECAST.ETS.CONFINT(A209,$B$166:$B$206,$A$166:$A$206,0.95,12,1)</f>
        <v/>
      </c>
      <c r="H209" s="52">
        <f>FORECAST.ETS(A209,$B$166:$B$206,$A$166:$A$206,12,1)+FORECAST.ETS.CONFINT(A209,$B$166:$B$206,$A$166:$A$206,0.95,12,1)</f>
        <v/>
      </c>
      <c r="I209" s="52">
        <f>FORECAST.ETS(A209,$C$166:$C$206,$A$166:$A$206,12,1)</f>
        <v/>
      </c>
      <c r="J209" s="51" t="n"/>
    </row>
    <row r="210" ht="15" customHeight="1">
      <c r="A210" s="42" t="inlineStr">
        <is>
          <t>2026-09</t>
        </is>
      </c>
      <c r="B210" s="51" t="n"/>
      <c r="C210" s="51" t="n"/>
      <c r="D210" s="52">
        <f>FORECAST.ETS(A210,$B$166:$B$206,$A$166:$A$206,12,1)</f>
        <v/>
      </c>
      <c r="E210" s="52">
        <f>FORECAST.ETS(A210,$B$166:$B$206,$A$166:$A$206,12,1)-FORECAST.ETS.CONFINT(A210,$B$166:$B$206,$A$166:$A$206,0.8,12,1)</f>
        <v/>
      </c>
      <c r="F210" s="52">
        <f>FORECAST.ETS(A210,$B$166:$B$206,$A$166:$A$206,12,1)+FORECAST.ETS.CONFINT(A210,$B$166:$B$206,$A$166:$A$206,0.8,12,1)</f>
        <v/>
      </c>
      <c r="G210" s="52">
        <f>FORECAST.ETS(A210,$B$166:$B$206,$A$166:$A$206,12,1)-FORECAST.ETS.CONFINT(A210,$B$166:$B$206,$A$166:$A$206,0.95,12,1)</f>
        <v/>
      </c>
      <c r="H210" s="52">
        <f>FORECAST.ETS(A210,$B$166:$B$206,$A$166:$A$206,12,1)+FORECAST.ETS.CONFINT(A210,$B$166:$B$206,$A$166:$A$206,0.95,12,1)</f>
        <v/>
      </c>
      <c r="I210" s="52">
        <f>FORECAST.ETS(A210,$C$166:$C$206,$A$166:$A$206,12,1)</f>
        <v/>
      </c>
      <c r="J210" s="51" t="n"/>
    </row>
    <row r="211" ht="15" customHeight="1">
      <c r="A211" s="42" t="inlineStr">
        <is>
          <t>2026-10</t>
        </is>
      </c>
      <c r="B211" s="51" t="n"/>
      <c r="C211" s="51" t="n"/>
      <c r="D211" s="52">
        <f>FORECAST.ETS(A211,$B$166:$B$206,$A$166:$A$206,12,1)</f>
        <v/>
      </c>
      <c r="E211" s="52">
        <f>FORECAST.ETS(A211,$B$166:$B$206,$A$166:$A$206,12,1)-FORECAST.ETS.CONFINT(A211,$B$166:$B$206,$A$166:$A$206,0.8,12,1)</f>
        <v/>
      </c>
      <c r="F211" s="52">
        <f>FORECAST.ETS(A211,$B$166:$B$206,$A$166:$A$206,12,1)+FORECAST.ETS.CONFINT(A211,$B$166:$B$206,$A$166:$A$206,0.8,12,1)</f>
        <v/>
      </c>
      <c r="G211" s="52">
        <f>FORECAST.ETS(A211,$B$166:$B$206,$A$166:$A$206,12,1)-FORECAST.ETS.CONFINT(A211,$B$166:$B$206,$A$166:$A$206,0.95,12,1)</f>
        <v/>
      </c>
      <c r="H211" s="52">
        <f>FORECAST.ETS(A211,$B$166:$B$206,$A$166:$A$206,12,1)+FORECAST.ETS.CONFINT(A211,$B$166:$B$206,$A$166:$A$206,0.95,12,1)</f>
        <v/>
      </c>
      <c r="I211" s="52">
        <f>FORECAST.ETS(A211,$C$166:$C$206,$A$166:$A$206,12,1)</f>
        <v/>
      </c>
      <c r="J211" s="51" t="n"/>
    </row>
    <row r="212" ht="15" customHeight="1">
      <c r="A212" s="42" t="inlineStr">
        <is>
          <t>2026-11</t>
        </is>
      </c>
      <c r="B212" s="51" t="n"/>
      <c r="C212" s="51" t="n"/>
      <c r="D212" s="52">
        <f>FORECAST.ETS(A212,$B$166:$B$206,$A$166:$A$206,12,1)</f>
        <v/>
      </c>
      <c r="E212" s="52">
        <f>FORECAST.ETS(A212,$B$166:$B$206,$A$166:$A$206,12,1)-FORECAST.ETS.CONFINT(A212,$B$166:$B$206,$A$166:$A$206,0.8,12,1)</f>
        <v/>
      </c>
      <c r="F212" s="52">
        <f>FORECAST.ETS(A212,$B$166:$B$206,$A$166:$A$206,12,1)+FORECAST.ETS.CONFINT(A212,$B$166:$B$206,$A$166:$A$206,0.8,12,1)</f>
        <v/>
      </c>
      <c r="G212" s="52">
        <f>FORECAST.ETS(A212,$B$166:$B$206,$A$166:$A$206,12,1)-FORECAST.ETS.CONFINT(A212,$B$166:$B$206,$A$166:$A$206,0.95,12,1)</f>
        <v/>
      </c>
      <c r="H212" s="52">
        <f>FORECAST.ETS(A212,$B$166:$B$206,$A$166:$A$206,12,1)+FORECAST.ETS.CONFINT(A212,$B$166:$B$206,$A$166:$A$206,0.95,12,1)</f>
        <v/>
      </c>
      <c r="I212" s="52">
        <f>FORECAST.ETS(A212,$C$166:$C$206,$A$166:$A$206,12,1)</f>
        <v/>
      </c>
      <c r="J212" s="51" t="n"/>
    </row>
    <row r="213" ht="15" customHeight="1">
      <c r="A213" s="42" t="inlineStr">
        <is>
          <t>2026-12</t>
        </is>
      </c>
      <c r="B213" s="51" t="n"/>
      <c r="C213" s="51" t="n"/>
      <c r="D213" s="52">
        <f>FORECAST.ETS(A213,$B$166:$B$206,$A$166:$A$206,12,1)</f>
        <v/>
      </c>
      <c r="E213" s="52">
        <f>FORECAST.ETS(A213,$B$166:$B$206,$A$166:$A$206,12,1)-FORECAST.ETS.CONFINT(A213,$B$166:$B$206,$A$166:$A$206,0.8,12,1)</f>
        <v/>
      </c>
      <c r="F213" s="52">
        <f>FORECAST.ETS(A213,$B$166:$B$206,$A$166:$A$206,12,1)+FORECAST.ETS.CONFINT(A213,$B$166:$B$206,$A$166:$A$206,0.8,12,1)</f>
        <v/>
      </c>
      <c r="G213" s="52">
        <f>FORECAST.ETS(A213,$B$166:$B$206,$A$166:$A$206,12,1)-FORECAST.ETS.CONFINT(A213,$B$166:$B$206,$A$166:$A$206,0.95,12,1)</f>
        <v/>
      </c>
      <c r="H213" s="52">
        <f>FORECAST.ETS(A213,$B$166:$B$206,$A$166:$A$206,12,1)+FORECAST.ETS.CONFINT(A213,$B$166:$B$206,$A$166:$A$206,0.95,12,1)</f>
        <v/>
      </c>
      <c r="I213" s="52">
        <f>FORECAST.ETS(A213,$C$166:$C$206,$A$166:$A$206,12,1)</f>
        <v/>
      </c>
      <c r="J213" s="51" t="n"/>
    </row>
    <row r="214" ht="15" customHeight="1">
      <c r="A214" s="42" t="inlineStr">
        <is>
          <t>2027-01</t>
        </is>
      </c>
      <c r="B214" s="51" t="n"/>
      <c r="C214" s="51" t="n"/>
      <c r="D214" s="52">
        <f>FORECAST.ETS(A214,$B$166:$B$206,$A$166:$A$206,12,1)</f>
        <v/>
      </c>
      <c r="E214" s="52">
        <f>FORECAST.ETS(A214,$B$166:$B$206,$A$166:$A$206,12,1)-FORECAST.ETS.CONFINT(A214,$B$166:$B$206,$A$166:$A$206,0.8,12,1)</f>
        <v/>
      </c>
      <c r="F214" s="52">
        <f>FORECAST.ETS(A214,$B$166:$B$206,$A$166:$A$206,12,1)+FORECAST.ETS.CONFINT(A214,$B$166:$B$206,$A$166:$A$206,0.8,12,1)</f>
        <v/>
      </c>
      <c r="G214" s="52">
        <f>FORECAST.ETS(A214,$B$166:$B$206,$A$166:$A$206,12,1)-FORECAST.ETS.CONFINT(A214,$B$166:$B$206,$A$166:$A$206,0.95,12,1)</f>
        <v/>
      </c>
      <c r="H214" s="52">
        <f>FORECAST.ETS(A214,$B$166:$B$206,$A$166:$A$206,12,1)+FORECAST.ETS.CONFINT(A214,$B$166:$B$206,$A$166:$A$206,0.95,12,1)</f>
        <v/>
      </c>
      <c r="I214" s="52">
        <f>FORECAST.ETS(A214,$C$166:$C$206,$A$166:$A$206,12,1)</f>
        <v/>
      </c>
      <c r="J214" s="51" t="n"/>
    </row>
    <row r="215" ht="15" customHeight="1">
      <c r="A215" s="42" t="inlineStr">
        <is>
          <t>2027-02</t>
        </is>
      </c>
      <c r="B215" s="51" t="n"/>
      <c r="C215" s="51" t="n"/>
      <c r="D215" s="52">
        <f>FORECAST.ETS(A215,$B$166:$B$206,$A$166:$A$206,12,1)</f>
        <v/>
      </c>
      <c r="E215" s="52">
        <f>FORECAST.ETS(A215,$B$166:$B$206,$A$166:$A$206,12,1)-FORECAST.ETS.CONFINT(A215,$B$166:$B$206,$A$166:$A$206,0.8,12,1)</f>
        <v/>
      </c>
      <c r="F215" s="52">
        <f>FORECAST.ETS(A215,$B$166:$B$206,$A$166:$A$206,12,1)+FORECAST.ETS.CONFINT(A215,$B$166:$B$206,$A$166:$A$206,0.8,12,1)</f>
        <v/>
      </c>
      <c r="G215" s="52">
        <f>FORECAST.ETS(A215,$B$166:$B$206,$A$166:$A$206,12,1)-FORECAST.ETS.CONFINT(A215,$B$166:$B$206,$A$166:$A$206,0.95,12,1)</f>
        <v/>
      </c>
      <c r="H215" s="52">
        <f>FORECAST.ETS(A215,$B$166:$B$206,$A$166:$A$206,12,1)+FORECAST.ETS.CONFINT(A215,$B$166:$B$206,$A$166:$A$206,0.95,12,1)</f>
        <v/>
      </c>
      <c r="I215" s="52">
        <f>FORECAST.ETS(A215,$C$166:$C$206,$A$166:$A$206,12,1)</f>
        <v/>
      </c>
      <c r="J215" s="51" t="n"/>
    </row>
    <row r="216" ht="15" customHeight="1">
      <c r="A216" s="42" t="inlineStr">
        <is>
          <t>2027-03</t>
        </is>
      </c>
      <c r="B216" s="51" t="n"/>
      <c r="C216" s="51" t="n"/>
      <c r="D216" s="52">
        <f>FORECAST.ETS(A216,$B$166:$B$206,$A$166:$A$206,12,1)</f>
        <v/>
      </c>
      <c r="E216" s="52">
        <f>FORECAST.ETS(A216,$B$166:$B$206,$A$166:$A$206,12,1)-FORECAST.ETS.CONFINT(A216,$B$166:$B$206,$A$166:$A$206,0.8,12,1)</f>
        <v/>
      </c>
      <c r="F216" s="52">
        <f>FORECAST.ETS(A216,$B$166:$B$206,$A$166:$A$206,12,1)+FORECAST.ETS.CONFINT(A216,$B$166:$B$206,$A$166:$A$206,0.8,12,1)</f>
        <v/>
      </c>
      <c r="G216" s="52">
        <f>FORECAST.ETS(A216,$B$166:$B$206,$A$166:$A$206,12,1)-FORECAST.ETS.CONFINT(A216,$B$166:$B$206,$A$166:$A$206,0.95,12,1)</f>
        <v/>
      </c>
      <c r="H216" s="52">
        <f>FORECAST.ETS(A216,$B$166:$B$206,$A$166:$A$206,12,1)+FORECAST.ETS.CONFINT(A216,$B$166:$B$206,$A$166:$A$206,0.95,12,1)</f>
        <v/>
      </c>
      <c r="I216" s="52">
        <f>FORECAST.ETS(A216,$C$166:$C$206,$A$166:$A$206,12,1)</f>
        <v/>
      </c>
      <c r="J216" s="51" t="n"/>
    </row>
    <row r="217" ht="15" customHeight="1">
      <c r="A217" s="42" t="inlineStr">
        <is>
          <t>2027-04</t>
        </is>
      </c>
      <c r="B217" s="51" t="n"/>
      <c r="C217" s="51" t="n"/>
      <c r="D217" s="52">
        <f>FORECAST.ETS(A217,$B$166:$B$206,$A$166:$A$206,12,1)</f>
        <v/>
      </c>
      <c r="E217" s="52">
        <f>FORECAST.ETS(A217,$B$166:$B$206,$A$166:$A$206,12,1)-FORECAST.ETS.CONFINT(A217,$B$166:$B$206,$A$166:$A$206,0.8,12,1)</f>
        <v/>
      </c>
      <c r="F217" s="52">
        <f>FORECAST.ETS(A217,$B$166:$B$206,$A$166:$A$206,12,1)+FORECAST.ETS.CONFINT(A217,$B$166:$B$206,$A$166:$A$206,0.8,12,1)</f>
        <v/>
      </c>
      <c r="G217" s="52">
        <f>FORECAST.ETS(A217,$B$166:$B$206,$A$166:$A$206,12,1)-FORECAST.ETS.CONFINT(A217,$B$166:$B$206,$A$166:$A$206,0.95,12,1)</f>
        <v/>
      </c>
      <c r="H217" s="52">
        <f>FORECAST.ETS(A217,$B$166:$B$206,$A$166:$A$206,12,1)+FORECAST.ETS.CONFINT(A217,$B$166:$B$206,$A$166:$A$206,0.95,12,1)</f>
        <v/>
      </c>
      <c r="I217" s="52">
        <f>FORECAST.ETS(A217,$C$166:$C$206,$A$166:$A$206,12,1)</f>
        <v/>
      </c>
      <c r="J217" s="51" t="n"/>
    </row>
    <row r="218" ht="15" customHeight="1">
      <c r="A218" s="42" t="inlineStr">
        <is>
          <t>2027-05</t>
        </is>
      </c>
      <c r="B218" s="51" t="n"/>
      <c r="C218" s="51" t="n"/>
      <c r="D218" s="52">
        <f>FORECAST.ETS(A218,$B$166:$B$206,$A$166:$A$206,12,1)</f>
        <v/>
      </c>
      <c r="E218" s="52">
        <f>FORECAST.ETS(A218,$B$166:$B$206,$A$166:$A$206,12,1)-FORECAST.ETS.CONFINT(A218,$B$166:$B$206,$A$166:$A$206,0.8,12,1)</f>
        <v/>
      </c>
      <c r="F218" s="52">
        <f>FORECAST.ETS(A218,$B$166:$B$206,$A$166:$A$206,12,1)+FORECAST.ETS.CONFINT(A218,$B$166:$B$206,$A$166:$A$206,0.8,12,1)</f>
        <v/>
      </c>
      <c r="G218" s="52">
        <f>FORECAST.ETS(A218,$B$166:$B$206,$A$166:$A$206,12,1)-FORECAST.ETS.CONFINT(A218,$B$166:$B$206,$A$166:$A$206,0.95,12,1)</f>
        <v/>
      </c>
      <c r="H218" s="52">
        <f>FORECAST.ETS(A218,$B$166:$B$206,$A$166:$A$206,12,1)+FORECAST.ETS.CONFINT(A218,$B$166:$B$206,$A$166:$A$206,0.95,12,1)</f>
        <v/>
      </c>
      <c r="I218" s="52">
        <f>FORECAST.ETS(A218,$C$166:$C$206,$A$166:$A$206,12,1)</f>
        <v/>
      </c>
      <c r="J218" s="51" t="n"/>
    </row>
    <row r="219" ht="15" customHeight="1">
      <c r="A219" s="42" t="inlineStr">
        <is>
          <t>2027-06</t>
        </is>
      </c>
      <c r="B219" s="51" t="n"/>
      <c r="C219" s="51" t="n"/>
      <c r="D219" s="52">
        <f>FORECAST.ETS(A219,$B$166:$B$206,$A$166:$A$206,12,1)</f>
        <v/>
      </c>
      <c r="E219" s="52">
        <f>FORECAST.ETS(A219,$B$166:$B$206,$A$166:$A$206,12,1)-FORECAST.ETS.CONFINT(A219,$B$166:$B$206,$A$166:$A$206,0.8,12,1)</f>
        <v/>
      </c>
      <c r="F219" s="52">
        <f>FORECAST.ETS(A219,$B$166:$B$206,$A$166:$A$206,12,1)+FORECAST.ETS.CONFINT(A219,$B$166:$B$206,$A$166:$A$206,0.8,12,1)</f>
        <v/>
      </c>
      <c r="G219" s="52">
        <f>FORECAST.ETS(A219,$B$166:$B$206,$A$166:$A$206,12,1)-FORECAST.ETS.CONFINT(A219,$B$166:$B$206,$A$166:$A$206,0.95,12,1)</f>
        <v/>
      </c>
      <c r="H219" s="52">
        <f>FORECAST.ETS(A219,$B$166:$B$206,$A$166:$A$206,12,1)+FORECAST.ETS.CONFINT(A219,$B$166:$B$206,$A$166:$A$206,0.95,12,1)</f>
        <v/>
      </c>
      <c r="I219" s="52">
        <f>FORECAST.ETS(A219,$C$166:$C$206,$A$166:$A$206,12,1)</f>
        <v/>
      </c>
      <c r="J219" s="51" t="n"/>
    </row>
    <row r="220" ht="15" customHeight="1">
      <c r="A220" s="42" t="inlineStr">
        <is>
          <t>2027-07</t>
        </is>
      </c>
      <c r="B220" s="51" t="n"/>
      <c r="C220" s="51" t="n"/>
      <c r="D220" s="52">
        <f>FORECAST.ETS(A220,$B$166:$B$206,$A$166:$A$206,12,1)</f>
        <v/>
      </c>
      <c r="E220" s="52">
        <f>FORECAST.ETS(A220,$B$166:$B$206,$A$166:$A$206,12,1)-FORECAST.ETS.CONFINT(A220,$B$166:$B$206,$A$166:$A$206,0.8,12,1)</f>
        <v/>
      </c>
      <c r="F220" s="52">
        <f>FORECAST.ETS(A220,$B$166:$B$206,$A$166:$A$206,12,1)+FORECAST.ETS.CONFINT(A220,$B$166:$B$206,$A$166:$A$206,0.8,12,1)</f>
        <v/>
      </c>
      <c r="G220" s="52">
        <f>FORECAST.ETS(A220,$B$166:$B$206,$A$166:$A$206,12,1)-FORECAST.ETS.CONFINT(A220,$B$166:$B$206,$A$166:$A$206,0.95,12,1)</f>
        <v/>
      </c>
      <c r="H220" s="52">
        <f>FORECAST.ETS(A220,$B$166:$B$206,$A$166:$A$206,12,1)+FORECAST.ETS.CONFINT(A220,$B$166:$B$206,$A$166:$A$206,0.95,12,1)</f>
        <v/>
      </c>
      <c r="I220" s="52">
        <f>FORECAST.ETS(A220,$C$166:$C$206,$A$166:$A$206,12,1)</f>
        <v/>
      </c>
      <c r="J220" s="51" t="n"/>
    </row>
    <row r="221" ht="15" customHeight="1">
      <c r="A221" s="42" t="inlineStr">
        <is>
          <t>2027-08</t>
        </is>
      </c>
      <c r="B221" s="51" t="n"/>
      <c r="C221" s="51" t="n"/>
      <c r="D221" s="52">
        <f>FORECAST.ETS(A221,$B$166:$B$206,$A$166:$A$206,12,1)</f>
        <v/>
      </c>
      <c r="E221" s="52">
        <f>FORECAST.ETS(A221,$B$166:$B$206,$A$166:$A$206,12,1)-FORECAST.ETS.CONFINT(A221,$B$166:$B$206,$A$166:$A$206,0.8,12,1)</f>
        <v/>
      </c>
      <c r="F221" s="52">
        <f>FORECAST.ETS(A221,$B$166:$B$206,$A$166:$A$206,12,1)+FORECAST.ETS.CONFINT(A221,$B$166:$B$206,$A$166:$A$206,0.8,12,1)</f>
        <v/>
      </c>
      <c r="G221" s="52">
        <f>FORECAST.ETS(A221,$B$166:$B$206,$A$166:$A$206,12,1)-FORECAST.ETS.CONFINT(A221,$B$166:$B$206,$A$166:$A$206,0.95,12,1)</f>
        <v/>
      </c>
      <c r="H221" s="52">
        <f>FORECAST.ETS(A221,$B$166:$B$206,$A$166:$A$206,12,1)+FORECAST.ETS.CONFINT(A221,$B$166:$B$206,$A$166:$A$206,0.95,12,1)</f>
        <v/>
      </c>
      <c r="I221" s="52">
        <f>FORECAST.ETS(A221,$C$166:$C$206,$A$166:$A$206,12,1)</f>
        <v/>
      </c>
      <c r="J221" s="51" t="n"/>
    </row>
    <row r="222" ht="15" customHeight="1">
      <c r="A222" s="42" t="inlineStr">
        <is>
          <t>2027-09</t>
        </is>
      </c>
      <c r="B222" s="51" t="n"/>
      <c r="C222" s="51" t="n"/>
      <c r="D222" s="52">
        <f>FORECAST.ETS(A222,$B$166:$B$206,$A$166:$A$206,12,1)</f>
        <v/>
      </c>
      <c r="E222" s="52">
        <f>FORECAST.ETS(A222,$B$166:$B$206,$A$166:$A$206,12,1)-FORECAST.ETS.CONFINT(A222,$B$166:$B$206,$A$166:$A$206,0.8,12,1)</f>
        <v/>
      </c>
      <c r="F222" s="52">
        <f>FORECAST.ETS(A222,$B$166:$B$206,$A$166:$A$206,12,1)+FORECAST.ETS.CONFINT(A222,$B$166:$B$206,$A$166:$A$206,0.8,12,1)</f>
        <v/>
      </c>
      <c r="G222" s="52">
        <f>FORECAST.ETS(A222,$B$166:$B$206,$A$166:$A$206,12,1)-FORECAST.ETS.CONFINT(A222,$B$166:$B$206,$A$166:$A$206,0.95,12,1)</f>
        <v/>
      </c>
      <c r="H222" s="52">
        <f>FORECAST.ETS(A222,$B$166:$B$206,$A$166:$A$206,12,1)+FORECAST.ETS.CONFINT(A222,$B$166:$B$206,$A$166:$A$206,0.95,12,1)</f>
        <v/>
      </c>
      <c r="I222" s="52">
        <f>FORECAST.ETS(A222,$C$166:$C$206,$A$166:$A$206,12,1)</f>
        <v/>
      </c>
      <c r="J222" s="51" t="n"/>
    </row>
    <row r="223" ht="15" customHeight="1">
      <c r="A223" s="42" t="inlineStr">
        <is>
          <t>2027-10</t>
        </is>
      </c>
      <c r="B223" s="51" t="n"/>
      <c r="C223" s="51" t="n"/>
      <c r="D223" s="52">
        <f>FORECAST.ETS(A223,$B$166:$B$206,$A$166:$A$206,12,1)</f>
        <v/>
      </c>
      <c r="E223" s="52">
        <f>FORECAST.ETS(A223,$B$166:$B$206,$A$166:$A$206,12,1)-FORECAST.ETS.CONFINT(A223,$B$166:$B$206,$A$166:$A$206,0.8,12,1)</f>
        <v/>
      </c>
      <c r="F223" s="52">
        <f>FORECAST.ETS(A223,$B$166:$B$206,$A$166:$A$206,12,1)+FORECAST.ETS.CONFINT(A223,$B$166:$B$206,$A$166:$A$206,0.8,12,1)</f>
        <v/>
      </c>
      <c r="G223" s="52">
        <f>FORECAST.ETS(A223,$B$166:$B$206,$A$166:$A$206,12,1)-FORECAST.ETS.CONFINT(A223,$B$166:$B$206,$A$166:$A$206,0.95,12,1)</f>
        <v/>
      </c>
      <c r="H223" s="52">
        <f>FORECAST.ETS(A223,$B$166:$B$206,$A$166:$A$206,12,1)+FORECAST.ETS.CONFINT(A223,$B$166:$B$206,$A$166:$A$206,0.95,12,1)</f>
        <v/>
      </c>
      <c r="I223" s="52">
        <f>FORECAST.ETS(A223,$C$166:$C$206,$A$166:$A$206,12,1)</f>
        <v/>
      </c>
      <c r="J223" s="51" t="n"/>
    </row>
    <row r="224" ht="15" customHeight="1">
      <c r="A224" s="42" t="inlineStr">
        <is>
          <t>2027-11</t>
        </is>
      </c>
      <c r="B224" s="51" t="n"/>
      <c r="C224" s="51" t="n"/>
      <c r="D224" s="52">
        <f>FORECAST.ETS(A224,$B$166:$B$206,$A$166:$A$206,12,1)</f>
        <v/>
      </c>
      <c r="E224" s="52">
        <f>FORECAST.ETS(A224,$B$166:$B$206,$A$166:$A$206,12,1)-FORECAST.ETS.CONFINT(A224,$B$166:$B$206,$A$166:$A$206,0.8,12,1)</f>
        <v/>
      </c>
      <c r="F224" s="52">
        <f>FORECAST.ETS(A224,$B$166:$B$206,$A$166:$A$206,12,1)+FORECAST.ETS.CONFINT(A224,$B$166:$B$206,$A$166:$A$206,0.8,12,1)</f>
        <v/>
      </c>
      <c r="G224" s="52">
        <f>FORECAST.ETS(A224,$B$166:$B$206,$A$166:$A$206,12,1)-FORECAST.ETS.CONFINT(A224,$B$166:$B$206,$A$166:$A$206,0.95,12,1)</f>
        <v/>
      </c>
      <c r="H224" s="52">
        <f>FORECAST.ETS(A224,$B$166:$B$206,$A$166:$A$206,12,1)+FORECAST.ETS.CONFINT(A224,$B$166:$B$206,$A$166:$A$206,0.95,12,1)</f>
        <v/>
      </c>
      <c r="I224" s="52">
        <f>FORECAST.ETS(A224,$C$166:$C$206,$A$166:$A$206,12,1)</f>
        <v/>
      </c>
      <c r="J224" s="51" t="n"/>
    </row>
    <row r="225" ht="15" customHeight="1">
      <c r="A225" s="42" t="inlineStr">
        <is>
          <t>2027-12</t>
        </is>
      </c>
      <c r="B225" s="51" t="n"/>
      <c r="C225" s="51" t="n"/>
      <c r="D225" s="52">
        <f>FORECAST.ETS(A225,$B$166:$B$206,$A$166:$A$206,12,1)</f>
        <v/>
      </c>
      <c r="E225" s="52">
        <f>FORECAST.ETS(A225,$B$166:$B$206,$A$166:$A$206,12,1)-FORECAST.ETS.CONFINT(A225,$B$166:$B$206,$A$166:$A$206,0.8,12,1)</f>
        <v/>
      </c>
      <c r="F225" s="52">
        <f>FORECAST.ETS(A225,$B$166:$B$206,$A$166:$A$206,12,1)+FORECAST.ETS.CONFINT(A225,$B$166:$B$206,$A$166:$A$206,0.8,12,1)</f>
        <v/>
      </c>
      <c r="G225" s="52">
        <f>FORECAST.ETS(A225,$B$166:$B$206,$A$166:$A$206,12,1)-FORECAST.ETS.CONFINT(A225,$B$166:$B$206,$A$166:$A$206,0.95,12,1)</f>
        <v/>
      </c>
      <c r="H225" s="52">
        <f>FORECAST.ETS(A225,$B$166:$B$206,$A$166:$A$206,12,1)+FORECAST.ETS.CONFINT(A225,$B$166:$B$206,$A$166:$A$206,0.95,12,1)</f>
        <v/>
      </c>
      <c r="I225" s="52">
        <f>FORECAST.ETS(A225,$C$166:$C$206,$A$166:$A$206,12,1)</f>
        <v/>
      </c>
      <c r="J225" s="51" t="n"/>
    </row>
    <row r="226" ht="15" customHeight="1">
      <c r="A226" s="42" t="inlineStr">
        <is>
          <t>2028-01</t>
        </is>
      </c>
      <c r="B226" s="51" t="n"/>
      <c r="C226" s="51" t="n"/>
      <c r="D226" s="52">
        <f>FORECAST.ETS(A226,$B$166:$B$206,$A$166:$A$206,12,1)</f>
        <v/>
      </c>
      <c r="E226" s="52">
        <f>FORECAST.ETS(A226,$B$166:$B$206,$A$166:$A$206,12,1)-FORECAST.ETS.CONFINT(A226,$B$166:$B$206,$A$166:$A$206,0.8,12,1)</f>
        <v/>
      </c>
      <c r="F226" s="52">
        <f>FORECAST.ETS(A226,$B$166:$B$206,$A$166:$A$206,12,1)+FORECAST.ETS.CONFINT(A226,$B$166:$B$206,$A$166:$A$206,0.8,12,1)</f>
        <v/>
      </c>
      <c r="G226" s="52">
        <f>FORECAST.ETS(A226,$B$166:$B$206,$A$166:$A$206,12,1)-FORECAST.ETS.CONFINT(A226,$B$166:$B$206,$A$166:$A$206,0.95,12,1)</f>
        <v/>
      </c>
      <c r="H226" s="52">
        <f>FORECAST.ETS(A226,$B$166:$B$206,$A$166:$A$206,12,1)+FORECAST.ETS.CONFINT(A226,$B$166:$B$206,$A$166:$A$206,0.95,12,1)</f>
        <v/>
      </c>
      <c r="I226" s="52">
        <f>FORECAST.ETS(A226,$C$166:$C$206,$A$166:$A$206,12,1)</f>
        <v/>
      </c>
      <c r="J226" s="51" t="n"/>
    </row>
    <row r="227" ht="15" customHeight="1">
      <c r="A227" s="42" t="inlineStr">
        <is>
          <t>2028-02</t>
        </is>
      </c>
      <c r="B227" s="51" t="n"/>
      <c r="C227" s="51" t="n"/>
      <c r="D227" s="52">
        <f>FORECAST.ETS(A227,$B$166:$B$206,$A$166:$A$206,12,1)</f>
        <v/>
      </c>
      <c r="E227" s="52">
        <f>FORECAST.ETS(A227,$B$166:$B$206,$A$166:$A$206,12,1)-FORECAST.ETS.CONFINT(A227,$B$166:$B$206,$A$166:$A$206,0.8,12,1)</f>
        <v/>
      </c>
      <c r="F227" s="52">
        <f>FORECAST.ETS(A227,$B$166:$B$206,$A$166:$A$206,12,1)+FORECAST.ETS.CONFINT(A227,$B$166:$B$206,$A$166:$A$206,0.8,12,1)</f>
        <v/>
      </c>
      <c r="G227" s="52">
        <f>FORECAST.ETS(A227,$B$166:$B$206,$A$166:$A$206,12,1)-FORECAST.ETS.CONFINT(A227,$B$166:$B$206,$A$166:$A$206,0.95,12,1)</f>
        <v/>
      </c>
      <c r="H227" s="52">
        <f>FORECAST.ETS(A227,$B$166:$B$206,$A$166:$A$206,12,1)+FORECAST.ETS.CONFINT(A227,$B$166:$B$206,$A$166:$A$206,0.95,12,1)</f>
        <v/>
      </c>
      <c r="I227" s="52">
        <f>FORECAST.ETS(A227,$C$166:$C$206,$A$166:$A$206,12,1)</f>
        <v/>
      </c>
      <c r="J227" s="51" t="n"/>
    </row>
    <row r="228" ht="15" customHeight="1">
      <c r="A228" s="42" t="inlineStr">
        <is>
          <t>2028-03</t>
        </is>
      </c>
      <c r="B228" s="51" t="n"/>
      <c r="C228" s="51" t="n"/>
      <c r="D228" s="52">
        <f>FORECAST.ETS(A228,$B$166:$B$206,$A$166:$A$206,12,1)</f>
        <v/>
      </c>
      <c r="E228" s="52">
        <f>FORECAST.ETS(A228,$B$166:$B$206,$A$166:$A$206,12,1)-FORECAST.ETS.CONFINT(A228,$B$166:$B$206,$A$166:$A$206,0.8,12,1)</f>
        <v/>
      </c>
      <c r="F228" s="52">
        <f>FORECAST.ETS(A228,$B$166:$B$206,$A$166:$A$206,12,1)+FORECAST.ETS.CONFINT(A228,$B$166:$B$206,$A$166:$A$206,0.8,12,1)</f>
        <v/>
      </c>
      <c r="G228" s="52">
        <f>FORECAST.ETS(A228,$B$166:$B$206,$A$166:$A$206,12,1)-FORECAST.ETS.CONFINT(A228,$B$166:$B$206,$A$166:$A$206,0.95,12,1)</f>
        <v/>
      </c>
      <c r="H228" s="52">
        <f>FORECAST.ETS(A228,$B$166:$B$206,$A$166:$A$206,12,1)+FORECAST.ETS.CONFINT(A228,$B$166:$B$206,$A$166:$A$206,0.95,12,1)</f>
        <v/>
      </c>
      <c r="I228" s="52">
        <f>FORECAST.ETS(A228,$C$166:$C$206,$A$166:$A$206,12,1)</f>
        <v/>
      </c>
      <c r="J228" s="51" t="n"/>
    </row>
    <row r="229" ht="15" customHeight="1">
      <c r="A229" s="42" t="inlineStr">
        <is>
          <t>2028-04</t>
        </is>
      </c>
      <c r="B229" s="51" t="n"/>
      <c r="C229" s="51" t="n"/>
      <c r="D229" s="52">
        <f>FORECAST.ETS(A229,$B$166:$B$206,$A$166:$A$206,12,1)</f>
        <v/>
      </c>
      <c r="E229" s="52">
        <f>FORECAST.ETS(A229,$B$166:$B$206,$A$166:$A$206,12,1)-FORECAST.ETS.CONFINT(A229,$B$166:$B$206,$A$166:$A$206,0.8,12,1)</f>
        <v/>
      </c>
      <c r="F229" s="52">
        <f>FORECAST.ETS(A229,$B$166:$B$206,$A$166:$A$206,12,1)+FORECAST.ETS.CONFINT(A229,$B$166:$B$206,$A$166:$A$206,0.8,12,1)</f>
        <v/>
      </c>
      <c r="G229" s="52">
        <f>FORECAST.ETS(A229,$B$166:$B$206,$A$166:$A$206,12,1)-FORECAST.ETS.CONFINT(A229,$B$166:$B$206,$A$166:$A$206,0.95,12,1)</f>
        <v/>
      </c>
      <c r="H229" s="52">
        <f>FORECAST.ETS(A229,$B$166:$B$206,$A$166:$A$206,12,1)+FORECAST.ETS.CONFINT(A229,$B$166:$B$206,$A$166:$A$206,0.95,12,1)</f>
        <v/>
      </c>
      <c r="I229" s="52">
        <f>FORECAST.ETS(A229,$C$166:$C$206,$A$166:$A$206,12,1)</f>
        <v/>
      </c>
      <c r="J229" s="51" t="n"/>
    </row>
    <row r="230" ht="15" customHeight="1">
      <c r="A230" s="42" t="inlineStr">
        <is>
          <t>2028-05</t>
        </is>
      </c>
      <c r="B230" s="51" t="n"/>
      <c r="C230" s="51" t="n"/>
      <c r="D230" s="52">
        <f>FORECAST.ETS(A230,$B$166:$B$206,$A$166:$A$206,12,1)</f>
        <v/>
      </c>
      <c r="E230" s="52">
        <f>FORECAST.ETS(A230,$B$166:$B$206,$A$166:$A$206,12,1)-FORECAST.ETS.CONFINT(A230,$B$166:$B$206,$A$166:$A$206,0.8,12,1)</f>
        <v/>
      </c>
      <c r="F230" s="52">
        <f>FORECAST.ETS(A230,$B$166:$B$206,$A$166:$A$206,12,1)+FORECAST.ETS.CONFINT(A230,$B$166:$B$206,$A$166:$A$206,0.8,12,1)</f>
        <v/>
      </c>
      <c r="G230" s="52">
        <f>FORECAST.ETS(A230,$B$166:$B$206,$A$166:$A$206,12,1)-FORECAST.ETS.CONFINT(A230,$B$166:$B$206,$A$166:$A$206,0.95,12,1)</f>
        <v/>
      </c>
      <c r="H230" s="52">
        <f>FORECAST.ETS(A230,$B$166:$B$206,$A$166:$A$206,12,1)+FORECAST.ETS.CONFINT(A230,$B$166:$B$206,$A$166:$A$206,0.95,12,1)</f>
        <v/>
      </c>
      <c r="I230" s="52">
        <f>FORECAST.ETS(A230,$C$166:$C$206,$A$166:$A$206,12,1)</f>
        <v/>
      </c>
      <c r="J230" s="51" t="n"/>
    </row>
    <row r="231" ht="15" customHeight="1">
      <c r="A231" s="42" t="inlineStr">
        <is>
          <t>2028-06</t>
        </is>
      </c>
      <c r="B231" s="51" t="n"/>
      <c r="C231" s="51" t="n"/>
      <c r="D231" s="52">
        <f>FORECAST.ETS(A231,$B$166:$B$206,$A$166:$A$206,12,1)</f>
        <v/>
      </c>
      <c r="E231" s="52">
        <f>FORECAST.ETS(A231,$B$166:$B$206,$A$166:$A$206,12,1)-FORECAST.ETS.CONFINT(A231,$B$166:$B$206,$A$166:$A$206,0.8,12,1)</f>
        <v/>
      </c>
      <c r="F231" s="52">
        <f>FORECAST.ETS(A231,$B$166:$B$206,$A$166:$A$206,12,1)+FORECAST.ETS.CONFINT(A231,$B$166:$B$206,$A$166:$A$206,0.8,12,1)</f>
        <v/>
      </c>
      <c r="G231" s="52">
        <f>FORECAST.ETS(A231,$B$166:$B$206,$A$166:$A$206,12,1)-FORECAST.ETS.CONFINT(A231,$B$166:$B$206,$A$166:$A$206,0.95,12,1)</f>
        <v/>
      </c>
      <c r="H231" s="52">
        <f>FORECAST.ETS(A231,$B$166:$B$206,$A$166:$A$206,12,1)+FORECAST.ETS.CONFINT(A231,$B$166:$B$206,$A$166:$A$206,0.95,12,1)</f>
        <v/>
      </c>
      <c r="I231" s="52">
        <f>FORECAST.ETS(A231,$C$166:$C$206,$A$166:$A$206,12,1)</f>
        <v/>
      </c>
      <c r="J231" s="51" t="n"/>
    </row>
    <row r="232" ht="15" customHeight="1">
      <c r="A232" s="42" t="inlineStr">
        <is>
          <t>2028-07</t>
        </is>
      </c>
      <c r="B232" s="51" t="n"/>
      <c r="C232" s="51" t="n"/>
      <c r="D232" s="52">
        <f>FORECAST.ETS(A232,$B$166:$B$206,$A$166:$A$206,12,1)</f>
        <v/>
      </c>
      <c r="E232" s="52">
        <f>FORECAST.ETS(A232,$B$166:$B$206,$A$166:$A$206,12,1)-FORECAST.ETS.CONFINT(A232,$B$166:$B$206,$A$166:$A$206,0.8,12,1)</f>
        <v/>
      </c>
      <c r="F232" s="52">
        <f>FORECAST.ETS(A232,$B$166:$B$206,$A$166:$A$206,12,1)+FORECAST.ETS.CONFINT(A232,$B$166:$B$206,$A$166:$A$206,0.8,12,1)</f>
        <v/>
      </c>
      <c r="G232" s="52">
        <f>FORECAST.ETS(A232,$B$166:$B$206,$A$166:$A$206,12,1)-FORECAST.ETS.CONFINT(A232,$B$166:$B$206,$A$166:$A$206,0.95,12,1)</f>
        <v/>
      </c>
      <c r="H232" s="52">
        <f>FORECAST.ETS(A232,$B$166:$B$206,$A$166:$A$206,12,1)+FORECAST.ETS.CONFINT(A232,$B$166:$B$206,$A$166:$A$206,0.95,12,1)</f>
        <v/>
      </c>
      <c r="I232" s="52">
        <f>FORECAST.ETS(A232,$C$166:$C$206,$A$166:$A$206,12,1)</f>
        <v/>
      </c>
      <c r="J232" s="51" t="n"/>
    </row>
    <row r="233" ht="15" customHeight="1">
      <c r="A233" s="42" t="inlineStr">
        <is>
          <t>2028-08</t>
        </is>
      </c>
      <c r="B233" s="51" t="n"/>
      <c r="C233" s="51" t="n"/>
      <c r="D233" s="52">
        <f>FORECAST.ETS(A233,$B$166:$B$206,$A$166:$A$206,12,1)</f>
        <v/>
      </c>
      <c r="E233" s="52">
        <f>FORECAST.ETS(A233,$B$166:$B$206,$A$166:$A$206,12,1)-FORECAST.ETS.CONFINT(A233,$B$166:$B$206,$A$166:$A$206,0.8,12,1)</f>
        <v/>
      </c>
      <c r="F233" s="52">
        <f>FORECAST.ETS(A233,$B$166:$B$206,$A$166:$A$206,12,1)+FORECAST.ETS.CONFINT(A233,$B$166:$B$206,$A$166:$A$206,0.8,12,1)</f>
        <v/>
      </c>
      <c r="G233" s="52">
        <f>FORECAST.ETS(A233,$B$166:$B$206,$A$166:$A$206,12,1)-FORECAST.ETS.CONFINT(A233,$B$166:$B$206,$A$166:$A$206,0.95,12,1)</f>
        <v/>
      </c>
      <c r="H233" s="52">
        <f>FORECAST.ETS(A233,$B$166:$B$206,$A$166:$A$206,12,1)+FORECAST.ETS.CONFINT(A233,$B$166:$B$206,$A$166:$A$206,0.95,12,1)</f>
        <v/>
      </c>
      <c r="I233" s="52">
        <f>FORECAST.ETS(A233,$C$166:$C$206,$A$166:$A$206,12,1)</f>
        <v/>
      </c>
      <c r="J233" s="51" t="n"/>
    </row>
    <row r="234" ht="15" customHeight="1">
      <c r="A234" s="42" t="inlineStr">
        <is>
          <t>2028-09</t>
        </is>
      </c>
      <c r="B234" s="51" t="n"/>
      <c r="C234" s="51" t="n"/>
      <c r="D234" s="52">
        <f>FORECAST.ETS(A234,$B$166:$B$206,$A$166:$A$206,12,1)</f>
        <v/>
      </c>
      <c r="E234" s="52">
        <f>FORECAST.ETS(A234,$B$166:$B$206,$A$166:$A$206,12,1)-FORECAST.ETS.CONFINT(A234,$B$166:$B$206,$A$166:$A$206,0.8,12,1)</f>
        <v/>
      </c>
      <c r="F234" s="52">
        <f>FORECAST.ETS(A234,$B$166:$B$206,$A$166:$A$206,12,1)+FORECAST.ETS.CONFINT(A234,$B$166:$B$206,$A$166:$A$206,0.8,12,1)</f>
        <v/>
      </c>
      <c r="G234" s="52">
        <f>FORECAST.ETS(A234,$B$166:$B$206,$A$166:$A$206,12,1)-FORECAST.ETS.CONFINT(A234,$B$166:$B$206,$A$166:$A$206,0.95,12,1)</f>
        <v/>
      </c>
      <c r="H234" s="52">
        <f>FORECAST.ETS(A234,$B$166:$B$206,$A$166:$A$206,12,1)+FORECAST.ETS.CONFINT(A234,$B$166:$B$206,$A$166:$A$206,0.95,12,1)</f>
        <v/>
      </c>
      <c r="I234" s="52">
        <f>FORECAST.ETS(A234,$C$166:$C$206,$A$166:$A$206,12,1)</f>
        <v/>
      </c>
      <c r="J234" s="51" t="n"/>
    </row>
    <row r="235" ht="15" customHeight="1">
      <c r="A235" s="42" t="inlineStr">
        <is>
          <t>2028-10</t>
        </is>
      </c>
      <c r="B235" s="51" t="n"/>
      <c r="C235" s="51" t="n"/>
      <c r="D235" s="52">
        <f>FORECAST.ETS(A235,$B$166:$B$206,$A$166:$A$206,12,1)</f>
        <v/>
      </c>
      <c r="E235" s="52">
        <f>FORECAST.ETS(A235,$B$166:$B$206,$A$166:$A$206,12,1)-FORECAST.ETS.CONFINT(A235,$B$166:$B$206,$A$166:$A$206,0.8,12,1)</f>
        <v/>
      </c>
      <c r="F235" s="52">
        <f>FORECAST.ETS(A235,$B$166:$B$206,$A$166:$A$206,12,1)+FORECAST.ETS.CONFINT(A235,$B$166:$B$206,$A$166:$A$206,0.8,12,1)</f>
        <v/>
      </c>
      <c r="G235" s="52">
        <f>FORECAST.ETS(A235,$B$166:$B$206,$A$166:$A$206,12,1)-FORECAST.ETS.CONFINT(A235,$B$166:$B$206,$A$166:$A$206,0.95,12,1)</f>
        <v/>
      </c>
      <c r="H235" s="52">
        <f>FORECAST.ETS(A235,$B$166:$B$206,$A$166:$A$206,12,1)+FORECAST.ETS.CONFINT(A235,$B$166:$B$206,$A$166:$A$206,0.95,12,1)</f>
        <v/>
      </c>
      <c r="I235" s="52">
        <f>FORECAST.ETS(A235,$C$166:$C$206,$A$166:$A$206,12,1)</f>
        <v/>
      </c>
      <c r="J235" s="51" t="n"/>
    </row>
    <row r="236" ht="15" customHeight="1">
      <c r="A236" s="42" t="inlineStr">
        <is>
          <t>2028-11</t>
        </is>
      </c>
      <c r="B236" s="51" t="n"/>
      <c r="C236" s="51" t="n"/>
      <c r="D236" s="52">
        <f>FORECAST.ETS(A236,$B$166:$B$206,$A$166:$A$206,12,1)</f>
        <v/>
      </c>
      <c r="E236" s="52">
        <f>FORECAST.ETS(A236,$B$166:$B$206,$A$166:$A$206,12,1)-FORECAST.ETS.CONFINT(A236,$B$166:$B$206,$A$166:$A$206,0.8,12,1)</f>
        <v/>
      </c>
      <c r="F236" s="52">
        <f>FORECAST.ETS(A236,$B$166:$B$206,$A$166:$A$206,12,1)+FORECAST.ETS.CONFINT(A236,$B$166:$B$206,$A$166:$A$206,0.8,12,1)</f>
        <v/>
      </c>
      <c r="G236" s="52">
        <f>FORECAST.ETS(A236,$B$166:$B$206,$A$166:$A$206,12,1)-FORECAST.ETS.CONFINT(A236,$B$166:$B$206,$A$166:$A$206,0.95,12,1)</f>
        <v/>
      </c>
      <c r="H236" s="52">
        <f>FORECAST.ETS(A236,$B$166:$B$206,$A$166:$A$206,12,1)+FORECAST.ETS.CONFINT(A236,$B$166:$B$206,$A$166:$A$206,0.95,12,1)</f>
        <v/>
      </c>
      <c r="I236" s="52">
        <f>FORECAST.ETS(A236,$C$166:$C$206,$A$166:$A$206,12,1)</f>
        <v/>
      </c>
      <c r="J236" s="51" t="n"/>
    </row>
    <row r="237" ht="15" customHeight="1">
      <c r="A237" s="42" t="inlineStr">
        <is>
          <t>2028-12</t>
        </is>
      </c>
      <c r="B237" s="51" t="n"/>
      <c r="C237" s="51" t="n"/>
      <c r="D237" s="52">
        <f>FORECAST.ETS(A237,$B$166:$B$206,$A$166:$A$206,12,1)</f>
        <v/>
      </c>
      <c r="E237" s="52">
        <f>FORECAST.ETS(A237,$B$166:$B$206,$A$166:$A$206,12,1)-FORECAST.ETS.CONFINT(A237,$B$166:$B$206,$A$166:$A$206,0.8,12,1)</f>
        <v/>
      </c>
      <c r="F237" s="52">
        <f>FORECAST.ETS(A237,$B$166:$B$206,$A$166:$A$206,12,1)+FORECAST.ETS.CONFINT(A237,$B$166:$B$206,$A$166:$A$206,0.8,12,1)</f>
        <v/>
      </c>
      <c r="G237" s="52">
        <f>FORECAST.ETS(A237,$B$166:$B$206,$A$166:$A$206,12,1)-FORECAST.ETS.CONFINT(A237,$B$166:$B$206,$A$166:$A$206,0.95,12,1)</f>
        <v/>
      </c>
      <c r="H237" s="52">
        <f>FORECAST.ETS(A237,$B$166:$B$206,$A$166:$A$206,12,1)+FORECAST.ETS.CONFINT(A237,$B$166:$B$206,$A$166:$A$206,0.95,12,1)</f>
        <v/>
      </c>
      <c r="I237" s="52">
        <f>FORECAST.ETS(A237,$C$166:$C$206,$A$166:$A$206,12,1)</f>
        <v/>
      </c>
      <c r="J237" s="51" t="n"/>
    </row>
    <row r="238" ht="15" customHeight="1">
      <c r="A238" s="42" t="inlineStr">
        <is>
          <t>2029-01</t>
        </is>
      </c>
      <c r="B238" s="51" t="n"/>
      <c r="C238" s="51" t="n"/>
      <c r="D238" s="52">
        <f>FORECAST.ETS(A238,$B$166:$B$206,$A$166:$A$206,12,1)</f>
        <v/>
      </c>
      <c r="E238" s="52">
        <f>FORECAST.ETS(A238,$B$166:$B$206,$A$166:$A$206,12,1)-FORECAST.ETS.CONFINT(A238,$B$166:$B$206,$A$166:$A$206,0.8,12,1)</f>
        <v/>
      </c>
      <c r="F238" s="52">
        <f>FORECAST.ETS(A238,$B$166:$B$206,$A$166:$A$206,12,1)+FORECAST.ETS.CONFINT(A238,$B$166:$B$206,$A$166:$A$206,0.8,12,1)</f>
        <v/>
      </c>
      <c r="G238" s="52">
        <f>FORECAST.ETS(A238,$B$166:$B$206,$A$166:$A$206,12,1)-FORECAST.ETS.CONFINT(A238,$B$166:$B$206,$A$166:$A$206,0.95,12,1)</f>
        <v/>
      </c>
      <c r="H238" s="52">
        <f>FORECAST.ETS(A238,$B$166:$B$206,$A$166:$A$206,12,1)+FORECAST.ETS.CONFINT(A238,$B$166:$B$206,$A$166:$A$206,0.95,12,1)</f>
        <v/>
      </c>
      <c r="I238" s="52">
        <f>FORECAST.ETS(A238,$C$166:$C$206,$A$166:$A$206,12,1)</f>
        <v/>
      </c>
      <c r="J238" s="51" t="n"/>
    </row>
    <row r="239" ht="15" customHeight="1">
      <c r="A239" s="42" t="inlineStr">
        <is>
          <t>2029-02</t>
        </is>
      </c>
      <c r="B239" s="51" t="n"/>
      <c r="C239" s="51" t="n"/>
      <c r="D239" s="52">
        <f>FORECAST.ETS(A239,$B$166:$B$206,$A$166:$A$206,12,1)</f>
        <v/>
      </c>
      <c r="E239" s="52">
        <f>FORECAST.ETS(A239,$B$166:$B$206,$A$166:$A$206,12,1)-FORECAST.ETS.CONFINT(A239,$B$166:$B$206,$A$166:$A$206,0.8,12,1)</f>
        <v/>
      </c>
      <c r="F239" s="52">
        <f>FORECAST.ETS(A239,$B$166:$B$206,$A$166:$A$206,12,1)+FORECAST.ETS.CONFINT(A239,$B$166:$B$206,$A$166:$A$206,0.8,12,1)</f>
        <v/>
      </c>
      <c r="G239" s="52">
        <f>FORECAST.ETS(A239,$B$166:$B$206,$A$166:$A$206,12,1)-FORECAST.ETS.CONFINT(A239,$B$166:$B$206,$A$166:$A$206,0.95,12,1)</f>
        <v/>
      </c>
      <c r="H239" s="52">
        <f>FORECAST.ETS(A239,$B$166:$B$206,$A$166:$A$206,12,1)+FORECAST.ETS.CONFINT(A239,$B$166:$B$206,$A$166:$A$206,0.95,12,1)</f>
        <v/>
      </c>
      <c r="I239" s="52">
        <f>FORECAST.ETS(A239,$C$166:$C$206,$A$166:$A$206,12,1)</f>
        <v/>
      </c>
      <c r="J239" s="51" t="n"/>
    </row>
    <row r="240" ht="15" customHeight="1">
      <c r="A240" s="42" t="inlineStr">
        <is>
          <t>2029-03</t>
        </is>
      </c>
      <c r="B240" s="51" t="n"/>
      <c r="C240" s="51" t="n"/>
      <c r="D240" s="52">
        <f>FORECAST.ETS(A240,$B$166:$B$206,$A$166:$A$206,12,1)</f>
        <v/>
      </c>
      <c r="E240" s="52">
        <f>FORECAST.ETS(A240,$B$166:$B$206,$A$166:$A$206,12,1)-FORECAST.ETS.CONFINT(A240,$B$166:$B$206,$A$166:$A$206,0.8,12,1)</f>
        <v/>
      </c>
      <c r="F240" s="52">
        <f>FORECAST.ETS(A240,$B$166:$B$206,$A$166:$A$206,12,1)+FORECAST.ETS.CONFINT(A240,$B$166:$B$206,$A$166:$A$206,0.8,12,1)</f>
        <v/>
      </c>
      <c r="G240" s="52">
        <f>FORECAST.ETS(A240,$B$166:$B$206,$A$166:$A$206,12,1)-FORECAST.ETS.CONFINT(A240,$B$166:$B$206,$A$166:$A$206,0.95,12,1)</f>
        <v/>
      </c>
      <c r="H240" s="52">
        <f>FORECAST.ETS(A240,$B$166:$B$206,$A$166:$A$206,12,1)+FORECAST.ETS.CONFINT(A240,$B$166:$B$206,$A$166:$A$206,0.95,12,1)</f>
        <v/>
      </c>
      <c r="I240" s="52">
        <f>FORECAST.ETS(A240,$C$166:$C$206,$A$166:$A$206,12,1)</f>
        <v/>
      </c>
      <c r="J240" s="51" t="n"/>
    </row>
    <row r="241" ht="15" customHeight="1">
      <c r="A241" s="42" t="inlineStr">
        <is>
          <t>2029-04</t>
        </is>
      </c>
      <c r="B241" s="51" t="n"/>
      <c r="C241" s="51" t="n"/>
      <c r="D241" s="52">
        <f>FORECAST.ETS(A241,$B$166:$B$206,$A$166:$A$206,12,1)</f>
        <v/>
      </c>
      <c r="E241" s="52">
        <f>FORECAST.ETS(A241,$B$166:$B$206,$A$166:$A$206,12,1)-FORECAST.ETS.CONFINT(A241,$B$166:$B$206,$A$166:$A$206,0.8,12,1)</f>
        <v/>
      </c>
      <c r="F241" s="52">
        <f>FORECAST.ETS(A241,$B$166:$B$206,$A$166:$A$206,12,1)+FORECAST.ETS.CONFINT(A241,$B$166:$B$206,$A$166:$A$206,0.8,12,1)</f>
        <v/>
      </c>
      <c r="G241" s="52">
        <f>FORECAST.ETS(A241,$B$166:$B$206,$A$166:$A$206,12,1)-FORECAST.ETS.CONFINT(A241,$B$166:$B$206,$A$166:$A$206,0.95,12,1)</f>
        <v/>
      </c>
      <c r="H241" s="52">
        <f>FORECAST.ETS(A241,$B$166:$B$206,$A$166:$A$206,12,1)+FORECAST.ETS.CONFINT(A241,$B$166:$B$206,$A$166:$A$206,0.95,12,1)</f>
        <v/>
      </c>
      <c r="I241" s="52">
        <f>FORECAST.ETS(A241,$C$166:$C$206,$A$166:$A$206,12,1)</f>
        <v/>
      </c>
      <c r="J241" s="51" t="n"/>
    </row>
    <row r="242" ht="15" customHeight="1">
      <c r="A242" s="42" t="inlineStr">
        <is>
          <t>2029-05</t>
        </is>
      </c>
      <c r="B242" s="51" t="n"/>
      <c r="C242" s="51" t="n"/>
      <c r="D242" s="52">
        <f>FORECAST.ETS(A242,$B$166:$B$206,$A$166:$A$206,12,1)</f>
        <v/>
      </c>
      <c r="E242" s="52">
        <f>FORECAST.ETS(A242,$B$166:$B$206,$A$166:$A$206,12,1)-FORECAST.ETS.CONFINT(A242,$B$166:$B$206,$A$166:$A$206,0.8,12,1)</f>
        <v/>
      </c>
      <c r="F242" s="52">
        <f>FORECAST.ETS(A242,$B$166:$B$206,$A$166:$A$206,12,1)+FORECAST.ETS.CONFINT(A242,$B$166:$B$206,$A$166:$A$206,0.8,12,1)</f>
        <v/>
      </c>
      <c r="G242" s="52">
        <f>FORECAST.ETS(A242,$B$166:$B$206,$A$166:$A$206,12,1)-FORECAST.ETS.CONFINT(A242,$B$166:$B$206,$A$166:$A$206,0.95,12,1)</f>
        <v/>
      </c>
      <c r="H242" s="52">
        <f>FORECAST.ETS(A242,$B$166:$B$206,$A$166:$A$206,12,1)+FORECAST.ETS.CONFINT(A242,$B$166:$B$206,$A$166:$A$206,0.95,12,1)</f>
        <v/>
      </c>
      <c r="I242" s="52">
        <f>FORECAST.ETS(A242,$C$166:$C$206,$A$166:$A$206,12,1)</f>
        <v/>
      </c>
      <c r="J242" s="51" t="n"/>
    </row>
    <row r="245" ht="20" customHeight="1">
      <c r="A245" s="47" t="inlineStr">
        <is>
          <t>【 ING04  インフリキシマブ 】</t>
        </is>
      </c>
    </row>
    <row r="246" ht="18" customHeight="1">
      <c r="A246" s="3" t="inlineStr">
        <is>
          <t>period</t>
        </is>
      </c>
      <c r="B246" s="3" t="inlineStr">
        <is>
          <t>total_units（実績）</t>
        </is>
      </c>
      <c r="C246" s="3" t="inlineStr">
        <is>
          <t>total_amount_jpy（実績）</t>
        </is>
      </c>
      <c r="D246" s="3" t="inlineStr">
        <is>
          <t>fc_units（ETS）</t>
        </is>
      </c>
      <c r="E246" s="3" t="inlineStr">
        <is>
          <t>fc_units_lower80</t>
        </is>
      </c>
      <c r="F246" s="3" t="inlineStr">
        <is>
          <t>fc_units_upper80</t>
        </is>
      </c>
      <c r="G246" s="3" t="inlineStr">
        <is>
          <t>fc_units_lower95</t>
        </is>
      </c>
      <c r="H246" s="3" t="inlineStr">
        <is>
          <t>fc_units_upper95</t>
        </is>
      </c>
      <c r="I246" s="3" t="inlineStr">
        <is>
          <t>fc_amount_jpy（ETS）</t>
        </is>
      </c>
      <c r="J246" s="3" t="inlineStr">
        <is>
          <t>備考</t>
        </is>
      </c>
    </row>
    <row r="247" ht="15" customHeight="1">
      <c r="A247" s="39" t="inlineStr">
        <is>
          <t>2023-01</t>
        </is>
      </c>
      <c r="B247" s="48" t="n">
        <v>3386</v>
      </c>
      <c r="C247" s="48" t="n">
        <v>163707921</v>
      </c>
      <c r="D247" s="49" t="n"/>
      <c r="E247" s="49" t="n"/>
      <c r="F247" s="49" t="n"/>
      <c r="G247" s="49" t="n"/>
      <c r="H247" s="49" t="n"/>
      <c r="I247" s="49" t="n"/>
      <c r="J247" s="50" t="inlineStr">
        <is>
          <t>← 実績開始</t>
        </is>
      </c>
    </row>
    <row r="248" ht="15" customHeight="1">
      <c r="A248" s="39" t="inlineStr">
        <is>
          <t>2023-02</t>
        </is>
      </c>
      <c r="B248" s="48" t="n">
        <v>3513</v>
      </c>
      <c r="C248" s="48" t="n">
        <v>168192922</v>
      </c>
      <c r="D248" s="49" t="n"/>
      <c r="E248" s="49" t="n"/>
      <c r="F248" s="49" t="n"/>
      <c r="G248" s="49" t="n"/>
      <c r="H248" s="49" t="n"/>
      <c r="I248" s="49" t="n"/>
      <c r="J248" s="49" t="n"/>
    </row>
    <row r="249" ht="15" customHeight="1">
      <c r="A249" s="39" t="inlineStr">
        <is>
          <t>2023-03</t>
        </is>
      </c>
      <c r="B249" s="48" t="n">
        <v>3793</v>
      </c>
      <c r="C249" s="48" t="n">
        <v>182231454</v>
      </c>
      <c r="D249" s="49" t="n"/>
      <c r="E249" s="49" t="n"/>
      <c r="F249" s="49" t="n"/>
      <c r="G249" s="49" t="n"/>
      <c r="H249" s="49" t="n"/>
      <c r="I249" s="49" t="n"/>
      <c r="J249" s="49" t="n"/>
    </row>
    <row r="250" ht="15" customHeight="1">
      <c r="A250" s="39" t="inlineStr">
        <is>
          <t>2023-04</t>
        </is>
      </c>
      <c r="B250" s="48" t="n">
        <v>3280</v>
      </c>
      <c r="C250" s="48" t="n">
        <v>156856236</v>
      </c>
      <c r="D250" s="49" t="n"/>
      <c r="E250" s="49" t="n"/>
      <c r="F250" s="49" t="n"/>
      <c r="G250" s="49" t="n"/>
      <c r="H250" s="49" t="n"/>
      <c r="I250" s="49" t="n"/>
      <c r="J250" s="49" t="n"/>
    </row>
    <row r="251" ht="15" customHeight="1">
      <c r="A251" s="39" t="inlineStr">
        <is>
          <t>2023-05</t>
        </is>
      </c>
      <c r="B251" s="48" t="n">
        <v>3576</v>
      </c>
      <c r="C251" s="48" t="n">
        <v>170662501</v>
      </c>
      <c r="D251" s="49" t="n"/>
      <c r="E251" s="49" t="n"/>
      <c r="F251" s="49" t="n"/>
      <c r="G251" s="49" t="n"/>
      <c r="H251" s="49" t="n"/>
      <c r="I251" s="49" t="n"/>
      <c r="J251" s="49" t="n"/>
    </row>
    <row r="252" ht="15" customHeight="1">
      <c r="A252" s="39" t="inlineStr">
        <is>
          <t>2023-06</t>
        </is>
      </c>
      <c r="B252" s="48" t="n">
        <v>3439</v>
      </c>
      <c r="C252" s="48" t="n">
        <v>163576151</v>
      </c>
      <c r="D252" s="49" t="n"/>
      <c r="E252" s="49" t="n"/>
      <c r="F252" s="49" t="n"/>
      <c r="G252" s="49" t="n"/>
      <c r="H252" s="49" t="n"/>
      <c r="I252" s="49" t="n"/>
      <c r="J252" s="49" t="n"/>
    </row>
    <row r="253" ht="15" customHeight="1">
      <c r="A253" s="39" t="inlineStr">
        <is>
          <t>2023-07</t>
        </is>
      </c>
      <c r="B253" s="48" t="n">
        <v>3535</v>
      </c>
      <c r="C253" s="48" t="n">
        <v>168354668</v>
      </c>
      <c r="D253" s="49" t="n"/>
      <c r="E253" s="49" t="n"/>
      <c r="F253" s="49" t="n"/>
      <c r="G253" s="49" t="n"/>
      <c r="H253" s="49" t="n"/>
      <c r="I253" s="49" t="n"/>
      <c r="J253" s="49" t="n"/>
    </row>
    <row r="254" ht="15" customHeight="1">
      <c r="A254" s="39" t="inlineStr">
        <is>
          <t>2023-08</t>
        </is>
      </c>
      <c r="B254" s="48" t="n">
        <v>3537</v>
      </c>
      <c r="C254" s="48" t="n">
        <v>168339412</v>
      </c>
      <c r="D254" s="49" t="n"/>
      <c r="E254" s="49" t="n"/>
      <c r="F254" s="49" t="n"/>
      <c r="G254" s="49" t="n"/>
      <c r="H254" s="49" t="n"/>
      <c r="I254" s="49" t="n"/>
      <c r="J254" s="49" t="n"/>
    </row>
    <row r="255" ht="15" customHeight="1">
      <c r="A255" s="39" t="inlineStr">
        <is>
          <t>2023-09</t>
        </is>
      </c>
      <c r="B255" s="48" t="n">
        <v>3550</v>
      </c>
      <c r="C255" s="48" t="n">
        <v>168466067</v>
      </c>
      <c r="D255" s="49" t="n"/>
      <c r="E255" s="49" t="n"/>
      <c r="F255" s="49" t="n"/>
      <c r="G255" s="49" t="n"/>
      <c r="H255" s="49" t="n"/>
      <c r="I255" s="49" t="n"/>
      <c r="J255" s="49" t="n"/>
    </row>
    <row r="256" ht="15" customHeight="1">
      <c r="A256" s="39" t="inlineStr">
        <is>
          <t>2023-10</t>
        </is>
      </c>
      <c r="B256" s="48" t="n">
        <v>3588</v>
      </c>
      <c r="C256" s="48" t="n">
        <v>170091389</v>
      </c>
      <c r="D256" s="49" t="n"/>
      <c r="E256" s="49" t="n"/>
      <c r="F256" s="49" t="n"/>
      <c r="G256" s="49" t="n"/>
      <c r="H256" s="49" t="n"/>
      <c r="I256" s="49" t="n"/>
      <c r="J256" s="49" t="n"/>
    </row>
    <row r="257" ht="15" customHeight="1">
      <c r="A257" s="39" t="inlineStr">
        <is>
          <t>2023-11</t>
        </is>
      </c>
      <c r="B257" s="48" t="n">
        <v>3631</v>
      </c>
      <c r="C257" s="48" t="n">
        <v>171742743</v>
      </c>
      <c r="D257" s="49" t="n"/>
      <c r="E257" s="49" t="n"/>
      <c r="F257" s="49" t="n"/>
      <c r="G257" s="49" t="n"/>
      <c r="H257" s="49" t="n"/>
      <c r="I257" s="49" t="n"/>
      <c r="J257" s="49" t="n"/>
    </row>
    <row r="258" ht="15" customHeight="1">
      <c r="A258" s="39" t="inlineStr">
        <is>
          <t>2023-12</t>
        </is>
      </c>
      <c r="B258" s="48" t="n">
        <v>3657</v>
      </c>
      <c r="C258" s="48" t="n">
        <v>171912273</v>
      </c>
      <c r="D258" s="49" t="n"/>
      <c r="E258" s="49" t="n"/>
      <c r="F258" s="49" t="n"/>
      <c r="G258" s="49" t="n"/>
      <c r="H258" s="49" t="n"/>
      <c r="I258" s="49" t="n"/>
      <c r="J258" s="49" t="n"/>
    </row>
    <row r="259" ht="15" customHeight="1">
      <c r="A259" s="39" t="inlineStr">
        <is>
          <t>2024-01</t>
        </is>
      </c>
      <c r="B259" s="48" t="n">
        <v>3555</v>
      </c>
      <c r="C259" s="48" t="n">
        <v>167496964</v>
      </c>
      <c r="D259" s="49" t="n"/>
      <c r="E259" s="49" t="n"/>
      <c r="F259" s="49" t="n"/>
      <c r="G259" s="49" t="n"/>
      <c r="H259" s="49" t="n"/>
      <c r="I259" s="49" t="n"/>
      <c r="J259" s="49" t="n"/>
    </row>
    <row r="260" ht="15" customHeight="1">
      <c r="A260" s="39" t="inlineStr">
        <is>
          <t>2024-02</t>
        </is>
      </c>
      <c r="B260" s="48" t="n">
        <v>3547</v>
      </c>
      <c r="C260" s="48" t="n">
        <v>166465970</v>
      </c>
      <c r="D260" s="49" t="n"/>
      <c r="E260" s="49" t="n"/>
      <c r="F260" s="49" t="n"/>
      <c r="G260" s="49" t="n"/>
      <c r="H260" s="49" t="n"/>
      <c r="I260" s="49" t="n"/>
      <c r="J260" s="49" t="n"/>
    </row>
    <row r="261" ht="15" customHeight="1">
      <c r="A261" s="39" t="inlineStr">
        <is>
          <t>2024-03</t>
        </is>
      </c>
      <c r="B261" s="48" t="n">
        <v>3779</v>
      </c>
      <c r="C261" s="48" t="n">
        <v>177816822</v>
      </c>
      <c r="D261" s="49" t="n"/>
      <c r="E261" s="49" t="n"/>
      <c r="F261" s="49" t="n"/>
      <c r="G261" s="49" t="n"/>
      <c r="H261" s="49" t="n"/>
      <c r="I261" s="49" t="n"/>
      <c r="J261" s="49" t="n"/>
    </row>
    <row r="262" ht="15" customHeight="1">
      <c r="A262" s="39" t="inlineStr">
        <is>
          <t>2024-04</t>
        </is>
      </c>
      <c r="B262" s="48" t="n">
        <v>3491</v>
      </c>
      <c r="C262" s="48" t="n">
        <v>154859663</v>
      </c>
      <c r="D262" s="49" t="n"/>
      <c r="E262" s="49" t="n"/>
      <c r="F262" s="49" t="n"/>
      <c r="G262" s="49" t="n"/>
      <c r="H262" s="49" t="n"/>
      <c r="I262" s="49" t="n"/>
      <c r="J262" s="49" t="n"/>
    </row>
    <row r="263" ht="15" customHeight="1">
      <c r="A263" s="39" t="inlineStr">
        <is>
          <t>2024-05</t>
        </is>
      </c>
      <c r="B263" s="48" t="n">
        <v>3540</v>
      </c>
      <c r="C263" s="48" t="n">
        <v>156290848</v>
      </c>
      <c r="D263" s="49" t="n"/>
      <c r="E263" s="49" t="n"/>
      <c r="F263" s="49" t="n"/>
      <c r="G263" s="49" t="n"/>
      <c r="H263" s="49" t="n"/>
      <c r="I263" s="49" t="n"/>
      <c r="J263" s="49" t="n"/>
    </row>
    <row r="264" ht="15" customHeight="1">
      <c r="A264" s="39" t="inlineStr">
        <is>
          <t>2024-06</t>
        </is>
      </c>
      <c r="B264" s="48" t="n">
        <v>3737</v>
      </c>
      <c r="C264" s="48" t="n">
        <v>163868466</v>
      </c>
      <c r="D264" s="49" t="n"/>
      <c r="E264" s="49" t="n"/>
      <c r="F264" s="49" t="n"/>
      <c r="G264" s="49" t="n"/>
      <c r="H264" s="49" t="n"/>
      <c r="I264" s="49" t="n"/>
      <c r="J264" s="49" t="n"/>
    </row>
    <row r="265" ht="15" customHeight="1">
      <c r="A265" s="39" t="inlineStr">
        <is>
          <t>2024-07</t>
        </is>
      </c>
      <c r="B265" s="48" t="n">
        <v>3834</v>
      </c>
      <c r="C265" s="48" t="n">
        <v>167020233</v>
      </c>
      <c r="D265" s="49" t="n"/>
      <c r="E265" s="49" t="n"/>
      <c r="F265" s="49" t="n"/>
      <c r="G265" s="49" t="n"/>
      <c r="H265" s="49" t="n"/>
      <c r="I265" s="49" t="n"/>
      <c r="J265" s="49" t="n"/>
    </row>
    <row r="266" ht="15" customHeight="1">
      <c r="A266" s="39" t="inlineStr">
        <is>
          <t>2024-08</t>
        </is>
      </c>
      <c r="B266" s="48" t="n">
        <v>3676</v>
      </c>
      <c r="C266" s="48" t="n">
        <v>160324912</v>
      </c>
      <c r="D266" s="49" t="n"/>
      <c r="E266" s="49" t="n"/>
      <c r="F266" s="49" t="n"/>
      <c r="G266" s="49" t="n"/>
      <c r="H266" s="49" t="n"/>
      <c r="I266" s="49" t="n"/>
      <c r="J266" s="49" t="n"/>
    </row>
    <row r="267" ht="15" customHeight="1">
      <c r="A267" s="39" t="inlineStr">
        <is>
          <t>2024-09</t>
        </is>
      </c>
      <c r="B267" s="48" t="n">
        <v>3477</v>
      </c>
      <c r="C267" s="48" t="n">
        <v>150736227</v>
      </c>
      <c r="D267" s="49" t="n"/>
      <c r="E267" s="49" t="n"/>
      <c r="F267" s="49" t="n"/>
      <c r="G267" s="49" t="n"/>
      <c r="H267" s="49" t="n"/>
      <c r="I267" s="49" t="n"/>
      <c r="J267" s="49" t="n"/>
    </row>
    <row r="268" ht="15" customHeight="1">
      <c r="A268" s="39" t="inlineStr">
        <is>
          <t>2024-10</t>
        </is>
      </c>
      <c r="B268" s="48" t="n">
        <v>3573</v>
      </c>
      <c r="C268" s="48" t="n">
        <v>154172893</v>
      </c>
      <c r="D268" s="49" t="n"/>
      <c r="E268" s="49" t="n"/>
      <c r="F268" s="49" t="n"/>
      <c r="G268" s="49" t="n"/>
      <c r="H268" s="49" t="n"/>
      <c r="I268" s="49" t="n"/>
      <c r="J268" s="49" t="n"/>
    </row>
    <row r="269" ht="15" customHeight="1">
      <c r="A269" s="39" t="inlineStr">
        <is>
          <t>2024-11</t>
        </is>
      </c>
      <c r="B269" s="48" t="n">
        <v>3649</v>
      </c>
      <c r="C269" s="48" t="n">
        <v>157088280</v>
      </c>
      <c r="D269" s="49" t="n"/>
      <c r="E269" s="49" t="n"/>
      <c r="F269" s="49" t="n"/>
      <c r="G269" s="49" t="n"/>
      <c r="H269" s="49" t="n"/>
      <c r="I269" s="49" t="n"/>
      <c r="J269" s="49" t="n"/>
    </row>
    <row r="270" ht="15" customHeight="1">
      <c r="A270" s="39" t="inlineStr">
        <is>
          <t>2024-12</t>
        </is>
      </c>
      <c r="B270" s="48" t="n">
        <v>3635</v>
      </c>
      <c r="C270" s="48" t="n">
        <v>156706641</v>
      </c>
      <c r="D270" s="49" t="n"/>
      <c r="E270" s="49" t="n"/>
      <c r="F270" s="49" t="n"/>
      <c r="G270" s="49" t="n"/>
      <c r="H270" s="49" t="n"/>
      <c r="I270" s="49" t="n"/>
      <c r="J270" s="49" t="n"/>
    </row>
    <row r="271" ht="15" customHeight="1">
      <c r="A271" s="39" t="inlineStr">
        <is>
          <t>2025-01</t>
        </is>
      </c>
      <c r="B271" s="48" t="n">
        <v>3561</v>
      </c>
      <c r="C271" s="48" t="n">
        <v>153429228</v>
      </c>
      <c r="D271" s="49" t="n"/>
      <c r="E271" s="49" t="n"/>
      <c r="F271" s="49" t="n"/>
      <c r="G271" s="49" t="n"/>
      <c r="H271" s="49" t="n"/>
      <c r="I271" s="49" t="n"/>
      <c r="J271" s="49" t="n"/>
    </row>
    <row r="272" ht="15" customHeight="1">
      <c r="A272" s="39" t="inlineStr">
        <is>
          <t>2025-02</t>
        </is>
      </c>
      <c r="B272" s="48" t="n">
        <v>3465</v>
      </c>
      <c r="C272" s="48" t="n">
        <v>148753835</v>
      </c>
      <c r="D272" s="49" t="n"/>
      <c r="E272" s="49" t="n"/>
      <c r="F272" s="49" t="n"/>
      <c r="G272" s="49" t="n"/>
      <c r="H272" s="49" t="n"/>
      <c r="I272" s="49" t="n"/>
      <c r="J272" s="49" t="n"/>
    </row>
    <row r="273" ht="15" customHeight="1">
      <c r="A273" s="39" t="inlineStr">
        <is>
          <t>2025-03</t>
        </is>
      </c>
      <c r="B273" s="48" t="n">
        <v>3921</v>
      </c>
      <c r="C273" s="48" t="n">
        <v>166372825</v>
      </c>
      <c r="D273" s="49" t="n"/>
      <c r="E273" s="49" t="n"/>
      <c r="F273" s="49" t="n"/>
      <c r="G273" s="49" t="n"/>
      <c r="H273" s="49" t="n"/>
      <c r="I273" s="49" t="n"/>
      <c r="J273" s="49" t="n"/>
    </row>
    <row r="274" ht="15" customHeight="1">
      <c r="A274" s="39" t="inlineStr">
        <is>
          <t>2025-04</t>
        </is>
      </c>
      <c r="B274" s="48" t="n">
        <v>3503</v>
      </c>
      <c r="C274" s="48" t="n">
        <v>144665829</v>
      </c>
      <c r="D274" s="49" t="n"/>
      <c r="E274" s="49" t="n"/>
      <c r="F274" s="49" t="n"/>
      <c r="G274" s="49" t="n"/>
      <c r="H274" s="49" t="n"/>
      <c r="I274" s="49" t="n"/>
      <c r="J274" s="49" t="n"/>
    </row>
    <row r="275" ht="15" customHeight="1">
      <c r="A275" s="39" t="inlineStr">
        <is>
          <t>2025-05</t>
        </is>
      </c>
      <c r="B275" s="48" t="n">
        <v>3649</v>
      </c>
      <c r="C275" s="48" t="n">
        <v>150479279</v>
      </c>
      <c r="D275" s="49" t="n"/>
      <c r="E275" s="49" t="n"/>
      <c r="F275" s="49" t="n"/>
      <c r="G275" s="49" t="n"/>
      <c r="H275" s="49" t="n"/>
      <c r="I275" s="49" t="n"/>
      <c r="J275" s="49" t="n"/>
    </row>
    <row r="276" ht="15" customHeight="1">
      <c r="A276" s="39" t="inlineStr">
        <is>
          <t>2025-06</t>
        </is>
      </c>
      <c r="B276" s="48" t="n">
        <v>3713</v>
      </c>
      <c r="C276" s="48" t="n">
        <v>153128448</v>
      </c>
      <c r="D276" s="49" t="n"/>
      <c r="E276" s="49" t="n"/>
      <c r="F276" s="49" t="n"/>
      <c r="G276" s="49" t="n"/>
      <c r="H276" s="49" t="n"/>
      <c r="I276" s="49" t="n"/>
      <c r="J276" s="49" t="n"/>
    </row>
    <row r="277" ht="15" customHeight="1">
      <c r="A277" s="39" t="inlineStr">
        <is>
          <t>2025-07</t>
        </is>
      </c>
      <c r="B277" s="48" t="n">
        <v>3779</v>
      </c>
      <c r="C277" s="48" t="n">
        <v>155251522</v>
      </c>
      <c r="D277" s="49" t="n"/>
      <c r="E277" s="49" t="n"/>
      <c r="F277" s="49" t="n"/>
      <c r="G277" s="49" t="n"/>
      <c r="H277" s="49" t="n"/>
      <c r="I277" s="49" t="n"/>
      <c r="J277" s="49" t="n"/>
    </row>
    <row r="278" ht="15" customHeight="1">
      <c r="A278" s="39" t="inlineStr">
        <is>
          <t>2025-08</t>
        </is>
      </c>
      <c r="B278" s="48" t="n">
        <v>3672</v>
      </c>
      <c r="C278" s="48" t="n">
        <v>148979765</v>
      </c>
      <c r="D278" s="49" t="n"/>
      <c r="E278" s="49" t="n"/>
      <c r="F278" s="49" t="n"/>
      <c r="G278" s="49" t="n"/>
      <c r="H278" s="49" t="n"/>
      <c r="I278" s="49" t="n"/>
      <c r="J278" s="49" t="n"/>
    </row>
    <row r="279" ht="15" customHeight="1">
      <c r="A279" s="39" t="inlineStr">
        <is>
          <t>2025-09</t>
        </is>
      </c>
      <c r="B279" s="48" t="n">
        <v>3691</v>
      </c>
      <c r="C279" s="48" t="n">
        <v>150346673</v>
      </c>
      <c r="D279" s="49" t="n"/>
      <c r="E279" s="49" t="n"/>
      <c r="F279" s="49" t="n"/>
      <c r="G279" s="49" t="n"/>
      <c r="H279" s="49" t="n"/>
      <c r="I279" s="49" t="n"/>
      <c r="J279" s="49" t="n"/>
    </row>
    <row r="280" ht="15" customHeight="1">
      <c r="A280" s="39" t="inlineStr">
        <is>
          <t>2025-10</t>
        </is>
      </c>
      <c r="B280" s="48" t="n">
        <v>3610</v>
      </c>
      <c r="C280" s="48" t="n">
        <v>147073877</v>
      </c>
      <c r="D280" s="49" t="n"/>
      <c r="E280" s="49" t="n"/>
      <c r="F280" s="49" t="n"/>
      <c r="G280" s="49" t="n"/>
      <c r="H280" s="49" t="n"/>
      <c r="I280" s="49" t="n"/>
      <c r="J280" s="49" t="n"/>
    </row>
    <row r="281" ht="15" customHeight="1">
      <c r="A281" s="39" t="inlineStr">
        <is>
          <t>2025-11</t>
        </is>
      </c>
      <c r="B281" s="48" t="n">
        <v>3739</v>
      </c>
      <c r="C281" s="48" t="n">
        <v>150279974</v>
      </c>
      <c r="D281" s="49" t="n"/>
      <c r="E281" s="49" t="n"/>
      <c r="F281" s="49" t="n"/>
      <c r="G281" s="49" t="n"/>
      <c r="H281" s="49" t="n"/>
      <c r="I281" s="49" t="n"/>
      <c r="J281" s="49" t="n"/>
    </row>
    <row r="282" ht="15" customHeight="1">
      <c r="A282" s="39" t="inlineStr">
        <is>
          <t>2025-12</t>
        </is>
      </c>
      <c r="B282" s="48" t="n">
        <v>3736</v>
      </c>
      <c r="C282" s="48" t="n">
        <v>152678404</v>
      </c>
      <c r="D282" s="49" t="n"/>
      <c r="E282" s="49" t="n"/>
      <c r="F282" s="49" t="n"/>
      <c r="G282" s="49" t="n"/>
      <c r="H282" s="49" t="n"/>
      <c r="I282" s="49" t="n"/>
      <c r="J282" s="49" t="n"/>
    </row>
    <row r="283" ht="15" customHeight="1">
      <c r="A283" s="39" t="inlineStr">
        <is>
          <t>2026-01</t>
        </is>
      </c>
      <c r="B283" s="48" t="n">
        <v>3661</v>
      </c>
      <c r="C283" s="48" t="n">
        <v>147485942</v>
      </c>
      <c r="D283" s="49" t="n"/>
      <c r="E283" s="49" t="n"/>
      <c r="F283" s="49" t="n"/>
      <c r="G283" s="49" t="n"/>
      <c r="H283" s="49" t="n"/>
      <c r="I283" s="49" t="n"/>
      <c r="J283" s="49" t="n"/>
    </row>
    <row r="284" ht="15" customHeight="1">
      <c r="A284" s="39" t="inlineStr">
        <is>
          <t>2026-02</t>
        </is>
      </c>
      <c r="B284" s="48" t="n">
        <v>3840</v>
      </c>
      <c r="C284" s="48" t="n">
        <v>154429368</v>
      </c>
      <c r="D284" s="49" t="n"/>
      <c r="E284" s="49" t="n"/>
      <c r="F284" s="49" t="n"/>
      <c r="G284" s="49" t="n"/>
      <c r="H284" s="49" t="n"/>
      <c r="I284" s="49" t="n"/>
      <c r="J284" s="49" t="n"/>
    </row>
    <row r="285" ht="15" customHeight="1">
      <c r="A285" s="39" t="inlineStr">
        <is>
          <t>2026-03</t>
        </is>
      </c>
      <c r="B285" s="48" t="n">
        <v>4004</v>
      </c>
      <c r="C285" s="48" t="n">
        <v>161502641</v>
      </c>
      <c r="D285" s="49" t="n"/>
      <c r="E285" s="49" t="n"/>
      <c r="F285" s="49" t="n"/>
      <c r="G285" s="49" t="n"/>
      <c r="H285" s="49" t="n"/>
      <c r="I285" s="49" t="n"/>
      <c r="J285" s="49" t="n"/>
    </row>
    <row r="286" ht="15" customHeight="1">
      <c r="A286" s="39" t="inlineStr">
        <is>
          <t>2026-04</t>
        </is>
      </c>
      <c r="B286" s="48" t="n">
        <v>3562</v>
      </c>
      <c r="C286" s="48" t="n">
        <v>134713445</v>
      </c>
      <c r="D286" s="49" t="n"/>
      <c r="E286" s="49" t="n"/>
      <c r="F286" s="49" t="n"/>
      <c r="G286" s="49" t="n"/>
      <c r="H286" s="49" t="n"/>
      <c r="I286" s="49" t="n"/>
      <c r="J286" s="49" t="n"/>
    </row>
    <row r="287" ht="15" customHeight="1">
      <c r="A287" s="39" t="inlineStr">
        <is>
          <t>2026-05</t>
        </is>
      </c>
      <c r="B287" s="48" t="n">
        <v>3632</v>
      </c>
      <c r="C287" s="48" t="n">
        <v>137364481</v>
      </c>
      <c r="D287" s="49" t="n"/>
      <c r="E287" s="49" t="n"/>
      <c r="F287" s="49" t="n"/>
      <c r="G287" s="49" t="n"/>
      <c r="H287" s="49" t="n"/>
      <c r="I287" s="49" t="n"/>
      <c r="J287" s="49" t="n"/>
    </row>
    <row r="288" ht="15" customHeight="1">
      <c r="A288" s="42" t="inlineStr">
        <is>
          <t>2026-06</t>
        </is>
      </c>
      <c r="B288" s="51" t="n"/>
      <c r="C288" s="51" t="n"/>
      <c r="D288" s="52">
        <f>FORECAST.ETS(A288,$B$247:$B$287,$A$247:$A$287,12,1)</f>
        <v/>
      </c>
      <c r="E288" s="52">
        <f>FORECAST.ETS(A288,$B$247:$B$287,$A$247:$A$287,12,1)-FORECAST.ETS.CONFINT(A288,$B$247:$B$287,$A$247:$A$287,0.8,12,1)</f>
        <v/>
      </c>
      <c r="F288" s="52">
        <f>FORECAST.ETS(A288,$B$247:$B$287,$A$247:$A$287,12,1)+FORECAST.ETS.CONFINT(A288,$B$247:$B$287,$A$247:$A$287,0.8,12,1)</f>
        <v/>
      </c>
      <c r="G288" s="52">
        <f>FORECAST.ETS(A288,$B$247:$B$287,$A$247:$A$287,12,1)-FORECAST.ETS.CONFINT(A288,$B$247:$B$287,$A$247:$A$287,0.95,12,1)</f>
        <v/>
      </c>
      <c r="H288" s="52">
        <f>FORECAST.ETS(A288,$B$247:$B$287,$A$247:$A$287,12,1)+FORECAST.ETS.CONFINT(A288,$B$247:$B$287,$A$247:$A$287,0.95,12,1)</f>
        <v/>
      </c>
      <c r="I288" s="52">
        <f>FORECAST.ETS(A288,$C$247:$C$287,$A$247:$A$287,12,1)</f>
        <v/>
      </c>
      <c r="J288" s="53" t="inlineStr">
        <is>
          <t>← 予測開始 (2026-06)</t>
        </is>
      </c>
    </row>
    <row r="289" ht="15" customHeight="1">
      <c r="A289" s="42" t="inlineStr">
        <is>
          <t>2026-07</t>
        </is>
      </c>
      <c r="B289" s="51" t="n"/>
      <c r="C289" s="51" t="n"/>
      <c r="D289" s="52">
        <f>FORECAST.ETS(A289,$B$247:$B$287,$A$247:$A$287,12,1)</f>
        <v/>
      </c>
      <c r="E289" s="52">
        <f>FORECAST.ETS(A289,$B$247:$B$287,$A$247:$A$287,12,1)-FORECAST.ETS.CONFINT(A289,$B$247:$B$287,$A$247:$A$287,0.8,12,1)</f>
        <v/>
      </c>
      <c r="F289" s="52">
        <f>FORECAST.ETS(A289,$B$247:$B$287,$A$247:$A$287,12,1)+FORECAST.ETS.CONFINT(A289,$B$247:$B$287,$A$247:$A$287,0.8,12,1)</f>
        <v/>
      </c>
      <c r="G289" s="52">
        <f>FORECAST.ETS(A289,$B$247:$B$287,$A$247:$A$287,12,1)-FORECAST.ETS.CONFINT(A289,$B$247:$B$287,$A$247:$A$287,0.95,12,1)</f>
        <v/>
      </c>
      <c r="H289" s="52">
        <f>FORECAST.ETS(A289,$B$247:$B$287,$A$247:$A$287,12,1)+FORECAST.ETS.CONFINT(A289,$B$247:$B$287,$A$247:$A$287,0.95,12,1)</f>
        <v/>
      </c>
      <c r="I289" s="52">
        <f>FORECAST.ETS(A289,$C$247:$C$287,$A$247:$A$287,12,1)</f>
        <v/>
      </c>
      <c r="J289" s="51" t="n"/>
    </row>
    <row r="290" ht="15" customHeight="1">
      <c r="A290" s="42" t="inlineStr">
        <is>
          <t>2026-08</t>
        </is>
      </c>
      <c r="B290" s="51" t="n"/>
      <c r="C290" s="51" t="n"/>
      <c r="D290" s="52">
        <f>FORECAST.ETS(A290,$B$247:$B$287,$A$247:$A$287,12,1)</f>
        <v/>
      </c>
      <c r="E290" s="52">
        <f>FORECAST.ETS(A290,$B$247:$B$287,$A$247:$A$287,12,1)-FORECAST.ETS.CONFINT(A290,$B$247:$B$287,$A$247:$A$287,0.8,12,1)</f>
        <v/>
      </c>
      <c r="F290" s="52">
        <f>FORECAST.ETS(A290,$B$247:$B$287,$A$247:$A$287,12,1)+FORECAST.ETS.CONFINT(A290,$B$247:$B$287,$A$247:$A$287,0.8,12,1)</f>
        <v/>
      </c>
      <c r="G290" s="52">
        <f>FORECAST.ETS(A290,$B$247:$B$287,$A$247:$A$287,12,1)-FORECAST.ETS.CONFINT(A290,$B$247:$B$287,$A$247:$A$287,0.95,12,1)</f>
        <v/>
      </c>
      <c r="H290" s="52">
        <f>FORECAST.ETS(A290,$B$247:$B$287,$A$247:$A$287,12,1)+FORECAST.ETS.CONFINT(A290,$B$247:$B$287,$A$247:$A$287,0.95,12,1)</f>
        <v/>
      </c>
      <c r="I290" s="52">
        <f>FORECAST.ETS(A290,$C$247:$C$287,$A$247:$A$287,12,1)</f>
        <v/>
      </c>
      <c r="J290" s="51" t="n"/>
    </row>
    <row r="291" ht="15" customHeight="1">
      <c r="A291" s="42" t="inlineStr">
        <is>
          <t>2026-09</t>
        </is>
      </c>
      <c r="B291" s="51" t="n"/>
      <c r="C291" s="51" t="n"/>
      <c r="D291" s="52">
        <f>FORECAST.ETS(A291,$B$247:$B$287,$A$247:$A$287,12,1)</f>
        <v/>
      </c>
      <c r="E291" s="52">
        <f>FORECAST.ETS(A291,$B$247:$B$287,$A$247:$A$287,12,1)-FORECAST.ETS.CONFINT(A291,$B$247:$B$287,$A$247:$A$287,0.8,12,1)</f>
        <v/>
      </c>
      <c r="F291" s="52">
        <f>FORECAST.ETS(A291,$B$247:$B$287,$A$247:$A$287,12,1)+FORECAST.ETS.CONFINT(A291,$B$247:$B$287,$A$247:$A$287,0.8,12,1)</f>
        <v/>
      </c>
      <c r="G291" s="52">
        <f>FORECAST.ETS(A291,$B$247:$B$287,$A$247:$A$287,12,1)-FORECAST.ETS.CONFINT(A291,$B$247:$B$287,$A$247:$A$287,0.95,12,1)</f>
        <v/>
      </c>
      <c r="H291" s="52">
        <f>FORECAST.ETS(A291,$B$247:$B$287,$A$247:$A$287,12,1)+FORECAST.ETS.CONFINT(A291,$B$247:$B$287,$A$247:$A$287,0.95,12,1)</f>
        <v/>
      </c>
      <c r="I291" s="52">
        <f>FORECAST.ETS(A291,$C$247:$C$287,$A$247:$A$287,12,1)</f>
        <v/>
      </c>
      <c r="J291" s="51" t="n"/>
    </row>
    <row r="292" ht="15" customHeight="1">
      <c r="A292" s="42" t="inlineStr">
        <is>
          <t>2026-10</t>
        </is>
      </c>
      <c r="B292" s="51" t="n"/>
      <c r="C292" s="51" t="n"/>
      <c r="D292" s="52">
        <f>FORECAST.ETS(A292,$B$247:$B$287,$A$247:$A$287,12,1)</f>
        <v/>
      </c>
      <c r="E292" s="52">
        <f>FORECAST.ETS(A292,$B$247:$B$287,$A$247:$A$287,12,1)-FORECAST.ETS.CONFINT(A292,$B$247:$B$287,$A$247:$A$287,0.8,12,1)</f>
        <v/>
      </c>
      <c r="F292" s="52">
        <f>FORECAST.ETS(A292,$B$247:$B$287,$A$247:$A$287,12,1)+FORECAST.ETS.CONFINT(A292,$B$247:$B$287,$A$247:$A$287,0.8,12,1)</f>
        <v/>
      </c>
      <c r="G292" s="52">
        <f>FORECAST.ETS(A292,$B$247:$B$287,$A$247:$A$287,12,1)-FORECAST.ETS.CONFINT(A292,$B$247:$B$287,$A$247:$A$287,0.95,12,1)</f>
        <v/>
      </c>
      <c r="H292" s="52">
        <f>FORECAST.ETS(A292,$B$247:$B$287,$A$247:$A$287,12,1)+FORECAST.ETS.CONFINT(A292,$B$247:$B$287,$A$247:$A$287,0.95,12,1)</f>
        <v/>
      </c>
      <c r="I292" s="52">
        <f>FORECAST.ETS(A292,$C$247:$C$287,$A$247:$A$287,12,1)</f>
        <v/>
      </c>
      <c r="J292" s="51" t="n"/>
    </row>
    <row r="293" ht="15" customHeight="1">
      <c r="A293" s="42" t="inlineStr">
        <is>
          <t>2026-11</t>
        </is>
      </c>
      <c r="B293" s="51" t="n"/>
      <c r="C293" s="51" t="n"/>
      <c r="D293" s="52">
        <f>FORECAST.ETS(A293,$B$247:$B$287,$A$247:$A$287,12,1)</f>
        <v/>
      </c>
      <c r="E293" s="52">
        <f>FORECAST.ETS(A293,$B$247:$B$287,$A$247:$A$287,12,1)-FORECAST.ETS.CONFINT(A293,$B$247:$B$287,$A$247:$A$287,0.8,12,1)</f>
        <v/>
      </c>
      <c r="F293" s="52">
        <f>FORECAST.ETS(A293,$B$247:$B$287,$A$247:$A$287,12,1)+FORECAST.ETS.CONFINT(A293,$B$247:$B$287,$A$247:$A$287,0.8,12,1)</f>
        <v/>
      </c>
      <c r="G293" s="52">
        <f>FORECAST.ETS(A293,$B$247:$B$287,$A$247:$A$287,12,1)-FORECAST.ETS.CONFINT(A293,$B$247:$B$287,$A$247:$A$287,0.95,12,1)</f>
        <v/>
      </c>
      <c r="H293" s="52">
        <f>FORECAST.ETS(A293,$B$247:$B$287,$A$247:$A$287,12,1)+FORECAST.ETS.CONFINT(A293,$B$247:$B$287,$A$247:$A$287,0.95,12,1)</f>
        <v/>
      </c>
      <c r="I293" s="52">
        <f>FORECAST.ETS(A293,$C$247:$C$287,$A$247:$A$287,12,1)</f>
        <v/>
      </c>
      <c r="J293" s="51" t="n"/>
    </row>
    <row r="294" ht="15" customHeight="1">
      <c r="A294" s="42" t="inlineStr">
        <is>
          <t>2026-12</t>
        </is>
      </c>
      <c r="B294" s="51" t="n"/>
      <c r="C294" s="51" t="n"/>
      <c r="D294" s="52">
        <f>FORECAST.ETS(A294,$B$247:$B$287,$A$247:$A$287,12,1)</f>
        <v/>
      </c>
      <c r="E294" s="52">
        <f>FORECAST.ETS(A294,$B$247:$B$287,$A$247:$A$287,12,1)-FORECAST.ETS.CONFINT(A294,$B$247:$B$287,$A$247:$A$287,0.8,12,1)</f>
        <v/>
      </c>
      <c r="F294" s="52">
        <f>FORECAST.ETS(A294,$B$247:$B$287,$A$247:$A$287,12,1)+FORECAST.ETS.CONFINT(A294,$B$247:$B$287,$A$247:$A$287,0.8,12,1)</f>
        <v/>
      </c>
      <c r="G294" s="52">
        <f>FORECAST.ETS(A294,$B$247:$B$287,$A$247:$A$287,12,1)-FORECAST.ETS.CONFINT(A294,$B$247:$B$287,$A$247:$A$287,0.95,12,1)</f>
        <v/>
      </c>
      <c r="H294" s="52">
        <f>FORECAST.ETS(A294,$B$247:$B$287,$A$247:$A$287,12,1)+FORECAST.ETS.CONFINT(A294,$B$247:$B$287,$A$247:$A$287,0.95,12,1)</f>
        <v/>
      </c>
      <c r="I294" s="52">
        <f>FORECAST.ETS(A294,$C$247:$C$287,$A$247:$A$287,12,1)</f>
        <v/>
      </c>
      <c r="J294" s="51" t="n"/>
    </row>
    <row r="295" ht="15" customHeight="1">
      <c r="A295" s="42" t="inlineStr">
        <is>
          <t>2027-01</t>
        </is>
      </c>
      <c r="B295" s="51" t="n"/>
      <c r="C295" s="51" t="n"/>
      <c r="D295" s="52">
        <f>FORECAST.ETS(A295,$B$247:$B$287,$A$247:$A$287,12,1)</f>
        <v/>
      </c>
      <c r="E295" s="52">
        <f>FORECAST.ETS(A295,$B$247:$B$287,$A$247:$A$287,12,1)-FORECAST.ETS.CONFINT(A295,$B$247:$B$287,$A$247:$A$287,0.8,12,1)</f>
        <v/>
      </c>
      <c r="F295" s="52">
        <f>FORECAST.ETS(A295,$B$247:$B$287,$A$247:$A$287,12,1)+FORECAST.ETS.CONFINT(A295,$B$247:$B$287,$A$247:$A$287,0.8,12,1)</f>
        <v/>
      </c>
      <c r="G295" s="52">
        <f>FORECAST.ETS(A295,$B$247:$B$287,$A$247:$A$287,12,1)-FORECAST.ETS.CONFINT(A295,$B$247:$B$287,$A$247:$A$287,0.95,12,1)</f>
        <v/>
      </c>
      <c r="H295" s="52">
        <f>FORECAST.ETS(A295,$B$247:$B$287,$A$247:$A$287,12,1)+FORECAST.ETS.CONFINT(A295,$B$247:$B$287,$A$247:$A$287,0.95,12,1)</f>
        <v/>
      </c>
      <c r="I295" s="52">
        <f>FORECAST.ETS(A295,$C$247:$C$287,$A$247:$A$287,12,1)</f>
        <v/>
      </c>
      <c r="J295" s="51" t="n"/>
    </row>
    <row r="296" ht="15" customHeight="1">
      <c r="A296" s="42" t="inlineStr">
        <is>
          <t>2027-02</t>
        </is>
      </c>
      <c r="B296" s="51" t="n"/>
      <c r="C296" s="51" t="n"/>
      <c r="D296" s="52">
        <f>FORECAST.ETS(A296,$B$247:$B$287,$A$247:$A$287,12,1)</f>
        <v/>
      </c>
      <c r="E296" s="52">
        <f>FORECAST.ETS(A296,$B$247:$B$287,$A$247:$A$287,12,1)-FORECAST.ETS.CONFINT(A296,$B$247:$B$287,$A$247:$A$287,0.8,12,1)</f>
        <v/>
      </c>
      <c r="F296" s="52">
        <f>FORECAST.ETS(A296,$B$247:$B$287,$A$247:$A$287,12,1)+FORECAST.ETS.CONFINT(A296,$B$247:$B$287,$A$247:$A$287,0.8,12,1)</f>
        <v/>
      </c>
      <c r="G296" s="52">
        <f>FORECAST.ETS(A296,$B$247:$B$287,$A$247:$A$287,12,1)-FORECAST.ETS.CONFINT(A296,$B$247:$B$287,$A$247:$A$287,0.95,12,1)</f>
        <v/>
      </c>
      <c r="H296" s="52">
        <f>FORECAST.ETS(A296,$B$247:$B$287,$A$247:$A$287,12,1)+FORECAST.ETS.CONFINT(A296,$B$247:$B$287,$A$247:$A$287,0.95,12,1)</f>
        <v/>
      </c>
      <c r="I296" s="52">
        <f>FORECAST.ETS(A296,$C$247:$C$287,$A$247:$A$287,12,1)</f>
        <v/>
      </c>
      <c r="J296" s="51" t="n"/>
    </row>
    <row r="297" ht="15" customHeight="1">
      <c r="A297" s="42" t="inlineStr">
        <is>
          <t>2027-03</t>
        </is>
      </c>
      <c r="B297" s="51" t="n"/>
      <c r="C297" s="51" t="n"/>
      <c r="D297" s="52">
        <f>FORECAST.ETS(A297,$B$247:$B$287,$A$247:$A$287,12,1)</f>
        <v/>
      </c>
      <c r="E297" s="52">
        <f>FORECAST.ETS(A297,$B$247:$B$287,$A$247:$A$287,12,1)-FORECAST.ETS.CONFINT(A297,$B$247:$B$287,$A$247:$A$287,0.8,12,1)</f>
        <v/>
      </c>
      <c r="F297" s="52">
        <f>FORECAST.ETS(A297,$B$247:$B$287,$A$247:$A$287,12,1)+FORECAST.ETS.CONFINT(A297,$B$247:$B$287,$A$247:$A$287,0.8,12,1)</f>
        <v/>
      </c>
      <c r="G297" s="52">
        <f>FORECAST.ETS(A297,$B$247:$B$287,$A$247:$A$287,12,1)-FORECAST.ETS.CONFINT(A297,$B$247:$B$287,$A$247:$A$287,0.95,12,1)</f>
        <v/>
      </c>
      <c r="H297" s="52">
        <f>FORECAST.ETS(A297,$B$247:$B$287,$A$247:$A$287,12,1)+FORECAST.ETS.CONFINT(A297,$B$247:$B$287,$A$247:$A$287,0.95,12,1)</f>
        <v/>
      </c>
      <c r="I297" s="52">
        <f>FORECAST.ETS(A297,$C$247:$C$287,$A$247:$A$287,12,1)</f>
        <v/>
      </c>
      <c r="J297" s="51" t="n"/>
    </row>
    <row r="298" ht="15" customHeight="1">
      <c r="A298" s="42" t="inlineStr">
        <is>
          <t>2027-04</t>
        </is>
      </c>
      <c r="B298" s="51" t="n"/>
      <c r="C298" s="51" t="n"/>
      <c r="D298" s="52">
        <f>FORECAST.ETS(A298,$B$247:$B$287,$A$247:$A$287,12,1)</f>
        <v/>
      </c>
      <c r="E298" s="52">
        <f>FORECAST.ETS(A298,$B$247:$B$287,$A$247:$A$287,12,1)-FORECAST.ETS.CONFINT(A298,$B$247:$B$287,$A$247:$A$287,0.8,12,1)</f>
        <v/>
      </c>
      <c r="F298" s="52">
        <f>FORECAST.ETS(A298,$B$247:$B$287,$A$247:$A$287,12,1)+FORECAST.ETS.CONFINT(A298,$B$247:$B$287,$A$247:$A$287,0.8,12,1)</f>
        <v/>
      </c>
      <c r="G298" s="52">
        <f>FORECAST.ETS(A298,$B$247:$B$287,$A$247:$A$287,12,1)-FORECAST.ETS.CONFINT(A298,$B$247:$B$287,$A$247:$A$287,0.95,12,1)</f>
        <v/>
      </c>
      <c r="H298" s="52">
        <f>FORECAST.ETS(A298,$B$247:$B$287,$A$247:$A$287,12,1)+FORECAST.ETS.CONFINT(A298,$B$247:$B$287,$A$247:$A$287,0.95,12,1)</f>
        <v/>
      </c>
      <c r="I298" s="52">
        <f>FORECAST.ETS(A298,$C$247:$C$287,$A$247:$A$287,12,1)</f>
        <v/>
      </c>
      <c r="J298" s="51" t="n"/>
    </row>
    <row r="299" ht="15" customHeight="1">
      <c r="A299" s="42" t="inlineStr">
        <is>
          <t>2027-05</t>
        </is>
      </c>
      <c r="B299" s="51" t="n"/>
      <c r="C299" s="51" t="n"/>
      <c r="D299" s="52">
        <f>FORECAST.ETS(A299,$B$247:$B$287,$A$247:$A$287,12,1)</f>
        <v/>
      </c>
      <c r="E299" s="52">
        <f>FORECAST.ETS(A299,$B$247:$B$287,$A$247:$A$287,12,1)-FORECAST.ETS.CONFINT(A299,$B$247:$B$287,$A$247:$A$287,0.8,12,1)</f>
        <v/>
      </c>
      <c r="F299" s="52">
        <f>FORECAST.ETS(A299,$B$247:$B$287,$A$247:$A$287,12,1)+FORECAST.ETS.CONFINT(A299,$B$247:$B$287,$A$247:$A$287,0.8,12,1)</f>
        <v/>
      </c>
      <c r="G299" s="52">
        <f>FORECAST.ETS(A299,$B$247:$B$287,$A$247:$A$287,12,1)-FORECAST.ETS.CONFINT(A299,$B$247:$B$287,$A$247:$A$287,0.95,12,1)</f>
        <v/>
      </c>
      <c r="H299" s="52">
        <f>FORECAST.ETS(A299,$B$247:$B$287,$A$247:$A$287,12,1)+FORECAST.ETS.CONFINT(A299,$B$247:$B$287,$A$247:$A$287,0.95,12,1)</f>
        <v/>
      </c>
      <c r="I299" s="52">
        <f>FORECAST.ETS(A299,$C$247:$C$287,$A$247:$A$287,12,1)</f>
        <v/>
      </c>
      <c r="J299" s="51" t="n"/>
    </row>
    <row r="300" ht="15" customHeight="1">
      <c r="A300" s="42" t="inlineStr">
        <is>
          <t>2027-06</t>
        </is>
      </c>
      <c r="B300" s="51" t="n"/>
      <c r="C300" s="51" t="n"/>
      <c r="D300" s="52">
        <f>FORECAST.ETS(A300,$B$247:$B$287,$A$247:$A$287,12,1)</f>
        <v/>
      </c>
      <c r="E300" s="52">
        <f>FORECAST.ETS(A300,$B$247:$B$287,$A$247:$A$287,12,1)-FORECAST.ETS.CONFINT(A300,$B$247:$B$287,$A$247:$A$287,0.8,12,1)</f>
        <v/>
      </c>
      <c r="F300" s="52">
        <f>FORECAST.ETS(A300,$B$247:$B$287,$A$247:$A$287,12,1)+FORECAST.ETS.CONFINT(A300,$B$247:$B$287,$A$247:$A$287,0.8,12,1)</f>
        <v/>
      </c>
      <c r="G300" s="52">
        <f>FORECAST.ETS(A300,$B$247:$B$287,$A$247:$A$287,12,1)-FORECAST.ETS.CONFINT(A300,$B$247:$B$287,$A$247:$A$287,0.95,12,1)</f>
        <v/>
      </c>
      <c r="H300" s="52">
        <f>FORECAST.ETS(A300,$B$247:$B$287,$A$247:$A$287,12,1)+FORECAST.ETS.CONFINT(A300,$B$247:$B$287,$A$247:$A$287,0.95,12,1)</f>
        <v/>
      </c>
      <c r="I300" s="52">
        <f>FORECAST.ETS(A300,$C$247:$C$287,$A$247:$A$287,12,1)</f>
        <v/>
      </c>
      <c r="J300" s="51" t="n"/>
    </row>
    <row r="301" ht="15" customHeight="1">
      <c r="A301" s="42" t="inlineStr">
        <is>
          <t>2027-07</t>
        </is>
      </c>
      <c r="B301" s="51" t="n"/>
      <c r="C301" s="51" t="n"/>
      <c r="D301" s="52">
        <f>FORECAST.ETS(A301,$B$247:$B$287,$A$247:$A$287,12,1)</f>
        <v/>
      </c>
      <c r="E301" s="52">
        <f>FORECAST.ETS(A301,$B$247:$B$287,$A$247:$A$287,12,1)-FORECAST.ETS.CONFINT(A301,$B$247:$B$287,$A$247:$A$287,0.8,12,1)</f>
        <v/>
      </c>
      <c r="F301" s="52">
        <f>FORECAST.ETS(A301,$B$247:$B$287,$A$247:$A$287,12,1)+FORECAST.ETS.CONFINT(A301,$B$247:$B$287,$A$247:$A$287,0.8,12,1)</f>
        <v/>
      </c>
      <c r="G301" s="52">
        <f>FORECAST.ETS(A301,$B$247:$B$287,$A$247:$A$287,12,1)-FORECAST.ETS.CONFINT(A301,$B$247:$B$287,$A$247:$A$287,0.95,12,1)</f>
        <v/>
      </c>
      <c r="H301" s="52">
        <f>FORECAST.ETS(A301,$B$247:$B$287,$A$247:$A$287,12,1)+FORECAST.ETS.CONFINT(A301,$B$247:$B$287,$A$247:$A$287,0.95,12,1)</f>
        <v/>
      </c>
      <c r="I301" s="52">
        <f>FORECAST.ETS(A301,$C$247:$C$287,$A$247:$A$287,12,1)</f>
        <v/>
      </c>
      <c r="J301" s="51" t="n"/>
    </row>
    <row r="302" ht="15" customHeight="1">
      <c r="A302" s="42" t="inlineStr">
        <is>
          <t>2027-08</t>
        </is>
      </c>
      <c r="B302" s="51" t="n"/>
      <c r="C302" s="51" t="n"/>
      <c r="D302" s="52">
        <f>FORECAST.ETS(A302,$B$247:$B$287,$A$247:$A$287,12,1)</f>
        <v/>
      </c>
      <c r="E302" s="52">
        <f>FORECAST.ETS(A302,$B$247:$B$287,$A$247:$A$287,12,1)-FORECAST.ETS.CONFINT(A302,$B$247:$B$287,$A$247:$A$287,0.8,12,1)</f>
        <v/>
      </c>
      <c r="F302" s="52">
        <f>FORECAST.ETS(A302,$B$247:$B$287,$A$247:$A$287,12,1)+FORECAST.ETS.CONFINT(A302,$B$247:$B$287,$A$247:$A$287,0.8,12,1)</f>
        <v/>
      </c>
      <c r="G302" s="52">
        <f>FORECAST.ETS(A302,$B$247:$B$287,$A$247:$A$287,12,1)-FORECAST.ETS.CONFINT(A302,$B$247:$B$287,$A$247:$A$287,0.95,12,1)</f>
        <v/>
      </c>
      <c r="H302" s="52">
        <f>FORECAST.ETS(A302,$B$247:$B$287,$A$247:$A$287,12,1)+FORECAST.ETS.CONFINT(A302,$B$247:$B$287,$A$247:$A$287,0.95,12,1)</f>
        <v/>
      </c>
      <c r="I302" s="52">
        <f>FORECAST.ETS(A302,$C$247:$C$287,$A$247:$A$287,12,1)</f>
        <v/>
      </c>
      <c r="J302" s="51" t="n"/>
    </row>
    <row r="303" ht="15" customHeight="1">
      <c r="A303" s="42" t="inlineStr">
        <is>
          <t>2027-09</t>
        </is>
      </c>
      <c r="B303" s="51" t="n"/>
      <c r="C303" s="51" t="n"/>
      <c r="D303" s="52">
        <f>FORECAST.ETS(A303,$B$247:$B$287,$A$247:$A$287,12,1)</f>
        <v/>
      </c>
      <c r="E303" s="52">
        <f>FORECAST.ETS(A303,$B$247:$B$287,$A$247:$A$287,12,1)-FORECAST.ETS.CONFINT(A303,$B$247:$B$287,$A$247:$A$287,0.8,12,1)</f>
        <v/>
      </c>
      <c r="F303" s="52">
        <f>FORECAST.ETS(A303,$B$247:$B$287,$A$247:$A$287,12,1)+FORECAST.ETS.CONFINT(A303,$B$247:$B$287,$A$247:$A$287,0.8,12,1)</f>
        <v/>
      </c>
      <c r="G303" s="52">
        <f>FORECAST.ETS(A303,$B$247:$B$287,$A$247:$A$287,12,1)-FORECAST.ETS.CONFINT(A303,$B$247:$B$287,$A$247:$A$287,0.95,12,1)</f>
        <v/>
      </c>
      <c r="H303" s="52">
        <f>FORECAST.ETS(A303,$B$247:$B$287,$A$247:$A$287,12,1)+FORECAST.ETS.CONFINT(A303,$B$247:$B$287,$A$247:$A$287,0.95,12,1)</f>
        <v/>
      </c>
      <c r="I303" s="52">
        <f>FORECAST.ETS(A303,$C$247:$C$287,$A$247:$A$287,12,1)</f>
        <v/>
      </c>
      <c r="J303" s="51" t="n"/>
    </row>
    <row r="304" ht="15" customHeight="1">
      <c r="A304" s="42" t="inlineStr">
        <is>
          <t>2027-10</t>
        </is>
      </c>
      <c r="B304" s="51" t="n"/>
      <c r="C304" s="51" t="n"/>
      <c r="D304" s="52">
        <f>FORECAST.ETS(A304,$B$247:$B$287,$A$247:$A$287,12,1)</f>
        <v/>
      </c>
      <c r="E304" s="52">
        <f>FORECAST.ETS(A304,$B$247:$B$287,$A$247:$A$287,12,1)-FORECAST.ETS.CONFINT(A304,$B$247:$B$287,$A$247:$A$287,0.8,12,1)</f>
        <v/>
      </c>
      <c r="F304" s="52">
        <f>FORECAST.ETS(A304,$B$247:$B$287,$A$247:$A$287,12,1)+FORECAST.ETS.CONFINT(A304,$B$247:$B$287,$A$247:$A$287,0.8,12,1)</f>
        <v/>
      </c>
      <c r="G304" s="52">
        <f>FORECAST.ETS(A304,$B$247:$B$287,$A$247:$A$287,12,1)-FORECAST.ETS.CONFINT(A304,$B$247:$B$287,$A$247:$A$287,0.95,12,1)</f>
        <v/>
      </c>
      <c r="H304" s="52">
        <f>FORECAST.ETS(A304,$B$247:$B$287,$A$247:$A$287,12,1)+FORECAST.ETS.CONFINT(A304,$B$247:$B$287,$A$247:$A$287,0.95,12,1)</f>
        <v/>
      </c>
      <c r="I304" s="52">
        <f>FORECAST.ETS(A304,$C$247:$C$287,$A$247:$A$287,12,1)</f>
        <v/>
      </c>
      <c r="J304" s="51" t="n"/>
    </row>
    <row r="305" ht="15" customHeight="1">
      <c r="A305" s="42" t="inlineStr">
        <is>
          <t>2027-11</t>
        </is>
      </c>
      <c r="B305" s="51" t="n"/>
      <c r="C305" s="51" t="n"/>
      <c r="D305" s="52">
        <f>FORECAST.ETS(A305,$B$247:$B$287,$A$247:$A$287,12,1)</f>
        <v/>
      </c>
      <c r="E305" s="52">
        <f>FORECAST.ETS(A305,$B$247:$B$287,$A$247:$A$287,12,1)-FORECAST.ETS.CONFINT(A305,$B$247:$B$287,$A$247:$A$287,0.8,12,1)</f>
        <v/>
      </c>
      <c r="F305" s="52">
        <f>FORECAST.ETS(A305,$B$247:$B$287,$A$247:$A$287,12,1)+FORECAST.ETS.CONFINT(A305,$B$247:$B$287,$A$247:$A$287,0.8,12,1)</f>
        <v/>
      </c>
      <c r="G305" s="52">
        <f>FORECAST.ETS(A305,$B$247:$B$287,$A$247:$A$287,12,1)-FORECAST.ETS.CONFINT(A305,$B$247:$B$287,$A$247:$A$287,0.95,12,1)</f>
        <v/>
      </c>
      <c r="H305" s="52">
        <f>FORECAST.ETS(A305,$B$247:$B$287,$A$247:$A$287,12,1)+FORECAST.ETS.CONFINT(A305,$B$247:$B$287,$A$247:$A$287,0.95,12,1)</f>
        <v/>
      </c>
      <c r="I305" s="52">
        <f>FORECAST.ETS(A305,$C$247:$C$287,$A$247:$A$287,12,1)</f>
        <v/>
      </c>
      <c r="J305" s="51" t="n"/>
    </row>
    <row r="306" ht="15" customHeight="1">
      <c r="A306" s="42" t="inlineStr">
        <is>
          <t>2027-12</t>
        </is>
      </c>
      <c r="B306" s="51" t="n"/>
      <c r="C306" s="51" t="n"/>
      <c r="D306" s="52">
        <f>FORECAST.ETS(A306,$B$247:$B$287,$A$247:$A$287,12,1)</f>
        <v/>
      </c>
      <c r="E306" s="52">
        <f>FORECAST.ETS(A306,$B$247:$B$287,$A$247:$A$287,12,1)-FORECAST.ETS.CONFINT(A306,$B$247:$B$287,$A$247:$A$287,0.8,12,1)</f>
        <v/>
      </c>
      <c r="F306" s="52">
        <f>FORECAST.ETS(A306,$B$247:$B$287,$A$247:$A$287,12,1)+FORECAST.ETS.CONFINT(A306,$B$247:$B$287,$A$247:$A$287,0.8,12,1)</f>
        <v/>
      </c>
      <c r="G306" s="52">
        <f>FORECAST.ETS(A306,$B$247:$B$287,$A$247:$A$287,12,1)-FORECAST.ETS.CONFINT(A306,$B$247:$B$287,$A$247:$A$287,0.95,12,1)</f>
        <v/>
      </c>
      <c r="H306" s="52">
        <f>FORECAST.ETS(A306,$B$247:$B$287,$A$247:$A$287,12,1)+FORECAST.ETS.CONFINT(A306,$B$247:$B$287,$A$247:$A$287,0.95,12,1)</f>
        <v/>
      </c>
      <c r="I306" s="52">
        <f>FORECAST.ETS(A306,$C$247:$C$287,$A$247:$A$287,12,1)</f>
        <v/>
      </c>
      <c r="J306" s="51" t="n"/>
    </row>
    <row r="307" ht="15" customHeight="1">
      <c r="A307" s="42" t="inlineStr">
        <is>
          <t>2028-01</t>
        </is>
      </c>
      <c r="B307" s="51" t="n"/>
      <c r="C307" s="51" t="n"/>
      <c r="D307" s="52">
        <f>FORECAST.ETS(A307,$B$247:$B$287,$A$247:$A$287,12,1)</f>
        <v/>
      </c>
      <c r="E307" s="52">
        <f>FORECAST.ETS(A307,$B$247:$B$287,$A$247:$A$287,12,1)-FORECAST.ETS.CONFINT(A307,$B$247:$B$287,$A$247:$A$287,0.8,12,1)</f>
        <v/>
      </c>
      <c r="F307" s="52">
        <f>FORECAST.ETS(A307,$B$247:$B$287,$A$247:$A$287,12,1)+FORECAST.ETS.CONFINT(A307,$B$247:$B$287,$A$247:$A$287,0.8,12,1)</f>
        <v/>
      </c>
      <c r="G307" s="52">
        <f>FORECAST.ETS(A307,$B$247:$B$287,$A$247:$A$287,12,1)-FORECAST.ETS.CONFINT(A307,$B$247:$B$287,$A$247:$A$287,0.95,12,1)</f>
        <v/>
      </c>
      <c r="H307" s="52">
        <f>FORECAST.ETS(A307,$B$247:$B$287,$A$247:$A$287,12,1)+FORECAST.ETS.CONFINT(A307,$B$247:$B$287,$A$247:$A$287,0.95,12,1)</f>
        <v/>
      </c>
      <c r="I307" s="52">
        <f>FORECAST.ETS(A307,$C$247:$C$287,$A$247:$A$287,12,1)</f>
        <v/>
      </c>
      <c r="J307" s="51" t="n"/>
    </row>
    <row r="308" ht="15" customHeight="1">
      <c r="A308" s="42" t="inlineStr">
        <is>
          <t>2028-02</t>
        </is>
      </c>
      <c r="B308" s="51" t="n"/>
      <c r="C308" s="51" t="n"/>
      <c r="D308" s="52">
        <f>FORECAST.ETS(A308,$B$247:$B$287,$A$247:$A$287,12,1)</f>
        <v/>
      </c>
      <c r="E308" s="52">
        <f>FORECAST.ETS(A308,$B$247:$B$287,$A$247:$A$287,12,1)-FORECAST.ETS.CONFINT(A308,$B$247:$B$287,$A$247:$A$287,0.8,12,1)</f>
        <v/>
      </c>
      <c r="F308" s="52">
        <f>FORECAST.ETS(A308,$B$247:$B$287,$A$247:$A$287,12,1)+FORECAST.ETS.CONFINT(A308,$B$247:$B$287,$A$247:$A$287,0.8,12,1)</f>
        <v/>
      </c>
      <c r="G308" s="52">
        <f>FORECAST.ETS(A308,$B$247:$B$287,$A$247:$A$287,12,1)-FORECAST.ETS.CONFINT(A308,$B$247:$B$287,$A$247:$A$287,0.95,12,1)</f>
        <v/>
      </c>
      <c r="H308" s="52">
        <f>FORECAST.ETS(A308,$B$247:$B$287,$A$247:$A$287,12,1)+FORECAST.ETS.CONFINT(A308,$B$247:$B$287,$A$247:$A$287,0.95,12,1)</f>
        <v/>
      </c>
      <c r="I308" s="52">
        <f>FORECAST.ETS(A308,$C$247:$C$287,$A$247:$A$287,12,1)</f>
        <v/>
      </c>
      <c r="J308" s="51" t="n"/>
    </row>
    <row r="309" ht="15" customHeight="1">
      <c r="A309" s="42" t="inlineStr">
        <is>
          <t>2028-03</t>
        </is>
      </c>
      <c r="B309" s="51" t="n"/>
      <c r="C309" s="51" t="n"/>
      <c r="D309" s="52">
        <f>FORECAST.ETS(A309,$B$247:$B$287,$A$247:$A$287,12,1)</f>
        <v/>
      </c>
      <c r="E309" s="52">
        <f>FORECAST.ETS(A309,$B$247:$B$287,$A$247:$A$287,12,1)-FORECAST.ETS.CONFINT(A309,$B$247:$B$287,$A$247:$A$287,0.8,12,1)</f>
        <v/>
      </c>
      <c r="F309" s="52">
        <f>FORECAST.ETS(A309,$B$247:$B$287,$A$247:$A$287,12,1)+FORECAST.ETS.CONFINT(A309,$B$247:$B$287,$A$247:$A$287,0.8,12,1)</f>
        <v/>
      </c>
      <c r="G309" s="52">
        <f>FORECAST.ETS(A309,$B$247:$B$287,$A$247:$A$287,12,1)-FORECAST.ETS.CONFINT(A309,$B$247:$B$287,$A$247:$A$287,0.95,12,1)</f>
        <v/>
      </c>
      <c r="H309" s="52">
        <f>FORECAST.ETS(A309,$B$247:$B$287,$A$247:$A$287,12,1)+FORECAST.ETS.CONFINT(A309,$B$247:$B$287,$A$247:$A$287,0.95,12,1)</f>
        <v/>
      </c>
      <c r="I309" s="52">
        <f>FORECAST.ETS(A309,$C$247:$C$287,$A$247:$A$287,12,1)</f>
        <v/>
      </c>
      <c r="J309" s="51" t="n"/>
    </row>
    <row r="310" ht="15" customHeight="1">
      <c r="A310" s="42" t="inlineStr">
        <is>
          <t>2028-04</t>
        </is>
      </c>
      <c r="B310" s="51" t="n"/>
      <c r="C310" s="51" t="n"/>
      <c r="D310" s="52">
        <f>FORECAST.ETS(A310,$B$247:$B$287,$A$247:$A$287,12,1)</f>
        <v/>
      </c>
      <c r="E310" s="52">
        <f>FORECAST.ETS(A310,$B$247:$B$287,$A$247:$A$287,12,1)-FORECAST.ETS.CONFINT(A310,$B$247:$B$287,$A$247:$A$287,0.8,12,1)</f>
        <v/>
      </c>
      <c r="F310" s="52">
        <f>FORECAST.ETS(A310,$B$247:$B$287,$A$247:$A$287,12,1)+FORECAST.ETS.CONFINT(A310,$B$247:$B$287,$A$247:$A$287,0.8,12,1)</f>
        <v/>
      </c>
      <c r="G310" s="52">
        <f>FORECAST.ETS(A310,$B$247:$B$287,$A$247:$A$287,12,1)-FORECAST.ETS.CONFINT(A310,$B$247:$B$287,$A$247:$A$287,0.95,12,1)</f>
        <v/>
      </c>
      <c r="H310" s="52">
        <f>FORECAST.ETS(A310,$B$247:$B$287,$A$247:$A$287,12,1)+FORECAST.ETS.CONFINT(A310,$B$247:$B$287,$A$247:$A$287,0.95,12,1)</f>
        <v/>
      </c>
      <c r="I310" s="52">
        <f>FORECAST.ETS(A310,$C$247:$C$287,$A$247:$A$287,12,1)</f>
        <v/>
      </c>
      <c r="J310" s="51" t="n"/>
    </row>
    <row r="311" ht="15" customHeight="1">
      <c r="A311" s="42" t="inlineStr">
        <is>
          <t>2028-05</t>
        </is>
      </c>
      <c r="B311" s="51" t="n"/>
      <c r="C311" s="51" t="n"/>
      <c r="D311" s="52">
        <f>FORECAST.ETS(A311,$B$247:$B$287,$A$247:$A$287,12,1)</f>
        <v/>
      </c>
      <c r="E311" s="52">
        <f>FORECAST.ETS(A311,$B$247:$B$287,$A$247:$A$287,12,1)-FORECAST.ETS.CONFINT(A311,$B$247:$B$287,$A$247:$A$287,0.8,12,1)</f>
        <v/>
      </c>
      <c r="F311" s="52">
        <f>FORECAST.ETS(A311,$B$247:$B$287,$A$247:$A$287,12,1)+FORECAST.ETS.CONFINT(A311,$B$247:$B$287,$A$247:$A$287,0.8,12,1)</f>
        <v/>
      </c>
      <c r="G311" s="52">
        <f>FORECAST.ETS(A311,$B$247:$B$287,$A$247:$A$287,12,1)-FORECAST.ETS.CONFINT(A311,$B$247:$B$287,$A$247:$A$287,0.95,12,1)</f>
        <v/>
      </c>
      <c r="H311" s="52">
        <f>FORECAST.ETS(A311,$B$247:$B$287,$A$247:$A$287,12,1)+FORECAST.ETS.CONFINT(A311,$B$247:$B$287,$A$247:$A$287,0.95,12,1)</f>
        <v/>
      </c>
      <c r="I311" s="52">
        <f>FORECAST.ETS(A311,$C$247:$C$287,$A$247:$A$287,12,1)</f>
        <v/>
      </c>
      <c r="J311" s="51" t="n"/>
    </row>
    <row r="312" ht="15" customHeight="1">
      <c r="A312" s="42" t="inlineStr">
        <is>
          <t>2028-06</t>
        </is>
      </c>
      <c r="B312" s="51" t="n"/>
      <c r="C312" s="51" t="n"/>
      <c r="D312" s="52">
        <f>FORECAST.ETS(A312,$B$247:$B$287,$A$247:$A$287,12,1)</f>
        <v/>
      </c>
      <c r="E312" s="52">
        <f>FORECAST.ETS(A312,$B$247:$B$287,$A$247:$A$287,12,1)-FORECAST.ETS.CONFINT(A312,$B$247:$B$287,$A$247:$A$287,0.8,12,1)</f>
        <v/>
      </c>
      <c r="F312" s="52">
        <f>FORECAST.ETS(A312,$B$247:$B$287,$A$247:$A$287,12,1)+FORECAST.ETS.CONFINT(A312,$B$247:$B$287,$A$247:$A$287,0.8,12,1)</f>
        <v/>
      </c>
      <c r="G312" s="52">
        <f>FORECAST.ETS(A312,$B$247:$B$287,$A$247:$A$287,12,1)-FORECAST.ETS.CONFINT(A312,$B$247:$B$287,$A$247:$A$287,0.95,12,1)</f>
        <v/>
      </c>
      <c r="H312" s="52">
        <f>FORECAST.ETS(A312,$B$247:$B$287,$A$247:$A$287,12,1)+FORECAST.ETS.CONFINT(A312,$B$247:$B$287,$A$247:$A$287,0.95,12,1)</f>
        <v/>
      </c>
      <c r="I312" s="52">
        <f>FORECAST.ETS(A312,$C$247:$C$287,$A$247:$A$287,12,1)</f>
        <v/>
      </c>
      <c r="J312" s="51" t="n"/>
    </row>
    <row r="313" ht="15" customHeight="1">
      <c r="A313" s="42" t="inlineStr">
        <is>
          <t>2028-07</t>
        </is>
      </c>
      <c r="B313" s="51" t="n"/>
      <c r="C313" s="51" t="n"/>
      <c r="D313" s="52">
        <f>FORECAST.ETS(A313,$B$247:$B$287,$A$247:$A$287,12,1)</f>
        <v/>
      </c>
      <c r="E313" s="52">
        <f>FORECAST.ETS(A313,$B$247:$B$287,$A$247:$A$287,12,1)-FORECAST.ETS.CONFINT(A313,$B$247:$B$287,$A$247:$A$287,0.8,12,1)</f>
        <v/>
      </c>
      <c r="F313" s="52">
        <f>FORECAST.ETS(A313,$B$247:$B$287,$A$247:$A$287,12,1)+FORECAST.ETS.CONFINT(A313,$B$247:$B$287,$A$247:$A$287,0.8,12,1)</f>
        <v/>
      </c>
      <c r="G313" s="52">
        <f>FORECAST.ETS(A313,$B$247:$B$287,$A$247:$A$287,12,1)-FORECAST.ETS.CONFINT(A313,$B$247:$B$287,$A$247:$A$287,0.95,12,1)</f>
        <v/>
      </c>
      <c r="H313" s="52">
        <f>FORECAST.ETS(A313,$B$247:$B$287,$A$247:$A$287,12,1)+FORECAST.ETS.CONFINT(A313,$B$247:$B$287,$A$247:$A$287,0.95,12,1)</f>
        <v/>
      </c>
      <c r="I313" s="52">
        <f>FORECAST.ETS(A313,$C$247:$C$287,$A$247:$A$287,12,1)</f>
        <v/>
      </c>
      <c r="J313" s="51" t="n"/>
    </row>
    <row r="314" ht="15" customHeight="1">
      <c r="A314" s="42" t="inlineStr">
        <is>
          <t>2028-08</t>
        </is>
      </c>
      <c r="B314" s="51" t="n"/>
      <c r="C314" s="51" t="n"/>
      <c r="D314" s="52">
        <f>FORECAST.ETS(A314,$B$247:$B$287,$A$247:$A$287,12,1)</f>
        <v/>
      </c>
      <c r="E314" s="52">
        <f>FORECAST.ETS(A314,$B$247:$B$287,$A$247:$A$287,12,1)-FORECAST.ETS.CONFINT(A314,$B$247:$B$287,$A$247:$A$287,0.8,12,1)</f>
        <v/>
      </c>
      <c r="F314" s="52">
        <f>FORECAST.ETS(A314,$B$247:$B$287,$A$247:$A$287,12,1)+FORECAST.ETS.CONFINT(A314,$B$247:$B$287,$A$247:$A$287,0.8,12,1)</f>
        <v/>
      </c>
      <c r="G314" s="52">
        <f>FORECAST.ETS(A314,$B$247:$B$287,$A$247:$A$287,12,1)-FORECAST.ETS.CONFINT(A314,$B$247:$B$287,$A$247:$A$287,0.95,12,1)</f>
        <v/>
      </c>
      <c r="H314" s="52">
        <f>FORECAST.ETS(A314,$B$247:$B$287,$A$247:$A$287,12,1)+FORECAST.ETS.CONFINT(A314,$B$247:$B$287,$A$247:$A$287,0.95,12,1)</f>
        <v/>
      </c>
      <c r="I314" s="52">
        <f>FORECAST.ETS(A314,$C$247:$C$287,$A$247:$A$287,12,1)</f>
        <v/>
      </c>
      <c r="J314" s="51" t="n"/>
    </row>
    <row r="315" ht="15" customHeight="1">
      <c r="A315" s="42" t="inlineStr">
        <is>
          <t>2028-09</t>
        </is>
      </c>
      <c r="B315" s="51" t="n"/>
      <c r="C315" s="51" t="n"/>
      <c r="D315" s="52">
        <f>FORECAST.ETS(A315,$B$247:$B$287,$A$247:$A$287,12,1)</f>
        <v/>
      </c>
      <c r="E315" s="52">
        <f>FORECAST.ETS(A315,$B$247:$B$287,$A$247:$A$287,12,1)-FORECAST.ETS.CONFINT(A315,$B$247:$B$287,$A$247:$A$287,0.8,12,1)</f>
        <v/>
      </c>
      <c r="F315" s="52">
        <f>FORECAST.ETS(A315,$B$247:$B$287,$A$247:$A$287,12,1)+FORECAST.ETS.CONFINT(A315,$B$247:$B$287,$A$247:$A$287,0.8,12,1)</f>
        <v/>
      </c>
      <c r="G315" s="52">
        <f>FORECAST.ETS(A315,$B$247:$B$287,$A$247:$A$287,12,1)-FORECAST.ETS.CONFINT(A315,$B$247:$B$287,$A$247:$A$287,0.95,12,1)</f>
        <v/>
      </c>
      <c r="H315" s="52">
        <f>FORECAST.ETS(A315,$B$247:$B$287,$A$247:$A$287,12,1)+FORECAST.ETS.CONFINT(A315,$B$247:$B$287,$A$247:$A$287,0.95,12,1)</f>
        <v/>
      </c>
      <c r="I315" s="52">
        <f>FORECAST.ETS(A315,$C$247:$C$287,$A$247:$A$287,12,1)</f>
        <v/>
      </c>
      <c r="J315" s="51" t="n"/>
    </row>
    <row r="316" ht="15" customHeight="1">
      <c r="A316" s="42" t="inlineStr">
        <is>
          <t>2028-10</t>
        </is>
      </c>
      <c r="B316" s="51" t="n"/>
      <c r="C316" s="51" t="n"/>
      <c r="D316" s="52">
        <f>FORECAST.ETS(A316,$B$247:$B$287,$A$247:$A$287,12,1)</f>
        <v/>
      </c>
      <c r="E316" s="52">
        <f>FORECAST.ETS(A316,$B$247:$B$287,$A$247:$A$287,12,1)-FORECAST.ETS.CONFINT(A316,$B$247:$B$287,$A$247:$A$287,0.8,12,1)</f>
        <v/>
      </c>
      <c r="F316" s="52">
        <f>FORECAST.ETS(A316,$B$247:$B$287,$A$247:$A$287,12,1)+FORECAST.ETS.CONFINT(A316,$B$247:$B$287,$A$247:$A$287,0.8,12,1)</f>
        <v/>
      </c>
      <c r="G316" s="52">
        <f>FORECAST.ETS(A316,$B$247:$B$287,$A$247:$A$287,12,1)-FORECAST.ETS.CONFINT(A316,$B$247:$B$287,$A$247:$A$287,0.95,12,1)</f>
        <v/>
      </c>
      <c r="H316" s="52">
        <f>FORECAST.ETS(A316,$B$247:$B$287,$A$247:$A$287,12,1)+FORECAST.ETS.CONFINT(A316,$B$247:$B$287,$A$247:$A$287,0.95,12,1)</f>
        <v/>
      </c>
      <c r="I316" s="52">
        <f>FORECAST.ETS(A316,$C$247:$C$287,$A$247:$A$287,12,1)</f>
        <v/>
      </c>
      <c r="J316" s="51" t="n"/>
    </row>
    <row r="317" ht="15" customHeight="1">
      <c r="A317" s="42" t="inlineStr">
        <is>
          <t>2028-11</t>
        </is>
      </c>
      <c r="B317" s="51" t="n"/>
      <c r="C317" s="51" t="n"/>
      <c r="D317" s="52">
        <f>FORECAST.ETS(A317,$B$247:$B$287,$A$247:$A$287,12,1)</f>
        <v/>
      </c>
      <c r="E317" s="52">
        <f>FORECAST.ETS(A317,$B$247:$B$287,$A$247:$A$287,12,1)-FORECAST.ETS.CONFINT(A317,$B$247:$B$287,$A$247:$A$287,0.8,12,1)</f>
        <v/>
      </c>
      <c r="F317" s="52">
        <f>FORECAST.ETS(A317,$B$247:$B$287,$A$247:$A$287,12,1)+FORECAST.ETS.CONFINT(A317,$B$247:$B$287,$A$247:$A$287,0.8,12,1)</f>
        <v/>
      </c>
      <c r="G317" s="52">
        <f>FORECAST.ETS(A317,$B$247:$B$287,$A$247:$A$287,12,1)-FORECAST.ETS.CONFINT(A317,$B$247:$B$287,$A$247:$A$287,0.95,12,1)</f>
        <v/>
      </c>
      <c r="H317" s="52">
        <f>FORECAST.ETS(A317,$B$247:$B$287,$A$247:$A$287,12,1)+FORECAST.ETS.CONFINT(A317,$B$247:$B$287,$A$247:$A$287,0.95,12,1)</f>
        <v/>
      </c>
      <c r="I317" s="52">
        <f>FORECAST.ETS(A317,$C$247:$C$287,$A$247:$A$287,12,1)</f>
        <v/>
      </c>
      <c r="J317" s="51" t="n"/>
    </row>
    <row r="318" ht="15" customHeight="1">
      <c r="A318" s="42" t="inlineStr">
        <is>
          <t>2028-12</t>
        </is>
      </c>
      <c r="B318" s="51" t="n"/>
      <c r="C318" s="51" t="n"/>
      <c r="D318" s="52">
        <f>FORECAST.ETS(A318,$B$247:$B$287,$A$247:$A$287,12,1)</f>
        <v/>
      </c>
      <c r="E318" s="52">
        <f>FORECAST.ETS(A318,$B$247:$B$287,$A$247:$A$287,12,1)-FORECAST.ETS.CONFINT(A318,$B$247:$B$287,$A$247:$A$287,0.8,12,1)</f>
        <v/>
      </c>
      <c r="F318" s="52">
        <f>FORECAST.ETS(A318,$B$247:$B$287,$A$247:$A$287,12,1)+FORECAST.ETS.CONFINT(A318,$B$247:$B$287,$A$247:$A$287,0.8,12,1)</f>
        <v/>
      </c>
      <c r="G318" s="52">
        <f>FORECAST.ETS(A318,$B$247:$B$287,$A$247:$A$287,12,1)-FORECAST.ETS.CONFINT(A318,$B$247:$B$287,$A$247:$A$287,0.95,12,1)</f>
        <v/>
      </c>
      <c r="H318" s="52">
        <f>FORECAST.ETS(A318,$B$247:$B$287,$A$247:$A$287,12,1)+FORECAST.ETS.CONFINT(A318,$B$247:$B$287,$A$247:$A$287,0.95,12,1)</f>
        <v/>
      </c>
      <c r="I318" s="52">
        <f>FORECAST.ETS(A318,$C$247:$C$287,$A$247:$A$287,12,1)</f>
        <v/>
      </c>
      <c r="J318" s="51" t="n"/>
    </row>
    <row r="319" ht="15" customHeight="1">
      <c r="A319" s="42" t="inlineStr">
        <is>
          <t>2029-01</t>
        </is>
      </c>
      <c r="B319" s="51" t="n"/>
      <c r="C319" s="51" t="n"/>
      <c r="D319" s="52">
        <f>FORECAST.ETS(A319,$B$247:$B$287,$A$247:$A$287,12,1)</f>
        <v/>
      </c>
      <c r="E319" s="52">
        <f>FORECAST.ETS(A319,$B$247:$B$287,$A$247:$A$287,12,1)-FORECAST.ETS.CONFINT(A319,$B$247:$B$287,$A$247:$A$287,0.8,12,1)</f>
        <v/>
      </c>
      <c r="F319" s="52">
        <f>FORECAST.ETS(A319,$B$247:$B$287,$A$247:$A$287,12,1)+FORECAST.ETS.CONFINT(A319,$B$247:$B$287,$A$247:$A$287,0.8,12,1)</f>
        <v/>
      </c>
      <c r="G319" s="52">
        <f>FORECAST.ETS(A319,$B$247:$B$287,$A$247:$A$287,12,1)-FORECAST.ETS.CONFINT(A319,$B$247:$B$287,$A$247:$A$287,0.95,12,1)</f>
        <v/>
      </c>
      <c r="H319" s="52">
        <f>FORECAST.ETS(A319,$B$247:$B$287,$A$247:$A$287,12,1)+FORECAST.ETS.CONFINT(A319,$B$247:$B$287,$A$247:$A$287,0.95,12,1)</f>
        <v/>
      </c>
      <c r="I319" s="52">
        <f>FORECAST.ETS(A319,$C$247:$C$287,$A$247:$A$287,12,1)</f>
        <v/>
      </c>
      <c r="J319" s="51" t="n"/>
    </row>
    <row r="320" ht="15" customHeight="1">
      <c r="A320" s="42" t="inlineStr">
        <is>
          <t>2029-02</t>
        </is>
      </c>
      <c r="B320" s="51" t="n"/>
      <c r="C320" s="51" t="n"/>
      <c r="D320" s="52">
        <f>FORECAST.ETS(A320,$B$247:$B$287,$A$247:$A$287,12,1)</f>
        <v/>
      </c>
      <c r="E320" s="52">
        <f>FORECAST.ETS(A320,$B$247:$B$287,$A$247:$A$287,12,1)-FORECAST.ETS.CONFINT(A320,$B$247:$B$287,$A$247:$A$287,0.8,12,1)</f>
        <v/>
      </c>
      <c r="F320" s="52">
        <f>FORECAST.ETS(A320,$B$247:$B$287,$A$247:$A$287,12,1)+FORECAST.ETS.CONFINT(A320,$B$247:$B$287,$A$247:$A$287,0.8,12,1)</f>
        <v/>
      </c>
      <c r="G320" s="52">
        <f>FORECAST.ETS(A320,$B$247:$B$287,$A$247:$A$287,12,1)-FORECAST.ETS.CONFINT(A320,$B$247:$B$287,$A$247:$A$287,0.95,12,1)</f>
        <v/>
      </c>
      <c r="H320" s="52">
        <f>FORECAST.ETS(A320,$B$247:$B$287,$A$247:$A$287,12,1)+FORECAST.ETS.CONFINT(A320,$B$247:$B$287,$A$247:$A$287,0.95,12,1)</f>
        <v/>
      </c>
      <c r="I320" s="52">
        <f>FORECAST.ETS(A320,$C$247:$C$287,$A$247:$A$287,12,1)</f>
        <v/>
      </c>
      <c r="J320" s="51" t="n"/>
    </row>
    <row r="321" ht="15" customHeight="1">
      <c r="A321" s="42" t="inlineStr">
        <is>
          <t>2029-03</t>
        </is>
      </c>
      <c r="B321" s="51" t="n"/>
      <c r="C321" s="51" t="n"/>
      <c r="D321" s="52">
        <f>FORECAST.ETS(A321,$B$247:$B$287,$A$247:$A$287,12,1)</f>
        <v/>
      </c>
      <c r="E321" s="52">
        <f>FORECAST.ETS(A321,$B$247:$B$287,$A$247:$A$287,12,1)-FORECAST.ETS.CONFINT(A321,$B$247:$B$287,$A$247:$A$287,0.8,12,1)</f>
        <v/>
      </c>
      <c r="F321" s="52">
        <f>FORECAST.ETS(A321,$B$247:$B$287,$A$247:$A$287,12,1)+FORECAST.ETS.CONFINT(A321,$B$247:$B$287,$A$247:$A$287,0.8,12,1)</f>
        <v/>
      </c>
      <c r="G321" s="52">
        <f>FORECAST.ETS(A321,$B$247:$B$287,$A$247:$A$287,12,1)-FORECAST.ETS.CONFINT(A321,$B$247:$B$287,$A$247:$A$287,0.95,12,1)</f>
        <v/>
      </c>
      <c r="H321" s="52">
        <f>FORECAST.ETS(A321,$B$247:$B$287,$A$247:$A$287,12,1)+FORECAST.ETS.CONFINT(A321,$B$247:$B$287,$A$247:$A$287,0.95,12,1)</f>
        <v/>
      </c>
      <c r="I321" s="52">
        <f>FORECAST.ETS(A321,$C$247:$C$287,$A$247:$A$287,12,1)</f>
        <v/>
      </c>
      <c r="J321" s="51" t="n"/>
    </row>
    <row r="322" ht="15" customHeight="1">
      <c r="A322" s="42" t="inlineStr">
        <is>
          <t>2029-04</t>
        </is>
      </c>
      <c r="B322" s="51" t="n"/>
      <c r="C322" s="51" t="n"/>
      <c r="D322" s="52">
        <f>FORECAST.ETS(A322,$B$247:$B$287,$A$247:$A$287,12,1)</f>
        <v/>
      </c>
      <c r="E322" s="52">
        <f>FORECAST.ETS(A322,$B$247:$B$287,$A$247:$A$287,12,1)-FORECAST.ETS.CONFINT(A322,$B$247:$B$287,$A$247:$A$287,0.8,12,1)</f>
        <v/>
      </c>
      <c r="F322" s="52">
        <f>FORECAST.ETS(A322,$B$247:$B$287,$A$247:$A$287,12,1)+FORECAST.ETS.CONFINT(A322,$B$247:$B$287,$A$247:$A$287,0.8,12,1)</f>
        <v/>
      </c>
      <c r="G322" s="52">
        <f>FORECAST.ETS(A322,$B$247:$B$287,$A$247:$A$287,12,1)-FORECAST.ETS.CONFINT(A322,$B$247:$B$287,$A$247:$A$287,0.95,12,1)</f>
        <v/>
      </c>
      <c r="H322" s="52">
        <f>FORECAST.ETS(A322,$B$247:$B$287,$A$247:$A$287,12,1)+FORECAST.ETS.CONFINT(A322,$B$247:$B$287,$A$247:$A$287,0.95,12,1)</f>
        <v/>
      </c>
      <c r="I322" s="52">
        <f>FORECAST.ETS(A322,$C$247:$C$287,$A$247:$A$287,12,1)</f>
        <v/>
      </c>
      <c r="J322" s="51" t="n"/>
    </row>
    <row r="323" ht="15" customHeight="1">
      <c r="A323" s="42" t="inlineStr">
        <is>
          <t>2029-05</t>
        </is>
      </c>
      <c r="B323" s="51" t="n"/>
      <c r="C323" s="51" t="n"/>
      <c r="D323" s="52">
        <f>FORECAST.ETS(A323,$B$247:$B$287,$A$247:$A$287,12,1)</f>
        <v/>
      </c>
      <c r="E323" s="52">
        <f>FORECAST.ETS(A323,$B$247:$B$287,$A$247:$A$287,12,1)-FORECAST.ETS.CONFINT(A323,$B$247:$B$287,$A$247:$A$287,0.8,12,1)</f>
        <v/>
      </c>
      <c r="F323" s="52">
        <f>FORECAST.ETS(A323,$B$247:$B$287,$A$247:$A$287,12,1)+FORECAST.ETS.CONFINT(A323,$B$247:$B$287,$A$247:$A$287,0.8,12,1)</f>
        <v/>
      </c>
      <c r="G323" s="52">
        <f>FORECAST.ETS(A323,$B$247:$B$287,$A$247:$A$287,12,1)-FORECAST.ETS.CONFINT(A323,$B$247:$B$287,$A$247:$A$287,0.95,12,1)</f>
        <v/>
      </c>
      <c r="H323" s="52">
        <f>FORECAST.ETS(A323,$B$247:$B$287,$A$247:$A$287,12,1)+FORECAST.ETS.CONFINT(A323,$B$247:$B$287,$A$247:$A$287,0.95,12,1)</f>
        <v/>
      </c>
      <c r="I323" s="52">
        <f>FORECAST.ETS(A323,$C$247:$C$287,$A$247:$A$287,12,1)</f>
        <v/>
      </c>
      <c r="J323" s="51" t="n"/>
    </row>
  </sheetData>
  <mergeCells count="6">
    <mergeCell ref="A1:J1"/>
    <mergeCell ref="A164:J164"/>
    <mergeCell ref="A1:F1"/>
    <mergeCell ref="A245:J245"/>
    <mergeCell ref="A83:J83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4A235A"/>
    <outlinePr summaryBelow="1" summaryRight="1"/>
    <pageSetUpPr/>
  </sheetPr>
  <dimension ref="A1:G3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8" customWidth="1" min="4" max="4"/>
    <col width="18" customWidth="1" min="5" max="5"/>
    <col width="20" customWidth="1" min="6" max="6"/>
    <col width="36" customWidth="1" min="7" max="7"/>
  </cols>
  <sheetData>
    <row r="1" ht="24" customHeight="1">
      <c r="A1" s="28" t="inlineStr">
        <is>
          <t>C_Penetration  ―  Step2: GE/BS 浸透率予測（ロジスティック曲線）</t>
        </is>
      </c>
    </row>
    <row r="2" ht="15" customHeight="1">
      <c r="A2" s="35" t="inlineStr">
        <is>
          <t>数式: penetration(t) = L / (1 + EXP(-k*(t-x0)))  | 調整済: LAG=3ヶ月で線形に立ち上がるイベント反映 | PARAMシートで L/k/x0 を変更すると自動再計算</t>
        </is>
      </c>
    </row>
    <row r="3" ht="20" customHeight="1">
      <c r="A3" s="36" t="inlineStr">
        <is>
          <t>【 ING01  メトホルミン塩酸塩 】  L=PARAM_L_ING01  k=PARAM_k_ING01  x0=PARAM_x0_ING01</t>
        </is>
      </c>
    </row>
    <row r="4" ht="18" customHeight="1">
      <c r="A4" s="3" t="inlineStr">
        <is>
          <t>period</t>
        </is>
      </c>
      <c r="B4" s="3" t="inlineStr">
        <is>
          <t>month_index</t>
        </is>
      </c>
      <c r="C4" s="3" t="inlineStr">
        <is>
          <t>actual_penetration</t>
        </is>
      </c>
      <c r="D4" s="3" t="inlineStr">
        <is>
          <t>logistic_fitted（base）</t>
        </is>
      </c>
      <c r="E4" s="3" t="inlineStr">
        <is>
          <t>forecast_excluded</t>
        </is>
      </c>
      <c r="F4" s="3" t="inlineStr">
        <is>
          <t>forecast_adjusted（制度変更反映）</t>
        </is>
      </c>
      <c r="G4" s="3" t="inlineStr">
        <is>
          <t>備考</t>
        </is>
      </c>
    </row>
    <row r="5" ht="15" customHeight="1">
      <c r="A5" s="37" t="inlineStr">
        <is>
          <t>2023-01</t>
        </is>
      </c>
      <c r="B5" s="37" t="n">
        <v>0</v>
      </c>
      <c r="C5" s="38" t="n">
        <v>0.7936</v>
      </c>
      <c r="D5" s="38">
        <f>PARAM!$E$10/(1+EXP(-PARAM!$E$14*(B5-PARAM!$E$18)))</f>
        <v/>
      </c>
      <c r="E5" s="39" t="n"/>
      <c r="F5" s="39" t="n"/>
      <c r="G5" s="40" t="inlineStr">
        <is>
          <t>← 実績開始 (month_index=0)</t>
        </is>
      </c>
    </row>
    <row r="6" ht="15" customHeight="1">
      <c r="A6" s="37" t="inlineStr">
        <is>
          <t>2023-02</t>
        </is>
      </c>
      <c r="B6" s="37" t="n">
        <v>1</v>
      </c>
      <c r="C6" s="38" t="n">
        <v>0.8067</v>
      </c>
      <c r="D6" s="38">
        <f>PARAM!$E$10/(1+EXP(-PARAM!$E$14*(B6-PARAM!$E$18)))</f>
        <v/>
      </c>
      <c r="E6" s="39" t="n"/>
      <c r="F6" s="39" t="n"/>
      <c r="G6" s="40" t="n"/>
    </row>
    <row r="7" ht="15" customHeight="1">
      <c r="A7" s="37" t="inlineStr">
        <is>
          <t>2023-03</t>
        </is>
      </c>
      <c r="B7" s="37" t="n">
        <v>2</v>
      </c>
      <c r="C7" s="38" t="n">
        <v>0.8265</v>
      </c>
      <c r="D7" s="38">
        <f>PARAM!$E$10/(1+EXP(-PARAM!$E$14*(B7-PARAM!$E$18)))</f>
        <v/>
      </c>
      <c r="E7" s="39" t="n"/>
      <c r="F7" s="39" t="n"/>
      <c r="G7" s="40" t="n"/>
    </row>
    <row r="8" ht="15" customHeight="1">
      <c r="A8" s="37" t="inlineStr">
        <is>
          <t>2023-04</t>
        </is>
      </c>
      <c r="B8" s="37" t="n">
        <v>3</v>
      </c>
      <c r="C8" s="38" t="n">
        <v>0.8196</v>
      </c>
      <c r="D8" s="38">
        <f>PARAM!$E$10/(1+EXP(-PARAM!$E$14*(B8-PARAM!$E$18)))</f>
        <v/>
      </c>
      <c r="E8" s="39" t="n"/>
      <c r="F8" s="39" t="n"/>
      <c r="G8" s="40" t="n"/>
    </row>
    <row r="9" ht="15" customHeight="1">
      <c r="A9" s="37" t="inlineStr">
        <is>
          <t>2023-05</t>
        </is>
      </c>
      <c r="B9" s="37" t="n">
        <v>4</v>
      </c>
      <c r="C9" s="38" t="n">
        <v>0.8211000000000001</v>
      </c>
      <c r="D9" s="38">
        <f>PARAM!$E$10/(1+EXP(-PARAM!$E$14*(B9-PARAM!$E$18)))</f>
        <v/>
      </c>
      <c r="E9" s="39" t="n"/>
      <c r="F9" s="39" t="n"/>
      <c r="G9" s="40" t="n"/>
    </row>
    <row r="10" ht="15" customHeight="1">
      <c r="A10" s="37" t="inlineStr">
        <is>
          <t>2023-06</t>
        </is>
      </c>
      <c r="B10" s="37" t="n">
        <v>5</v>
      </c>
      <c r="C10" s="38" t="n">
        <v>0.8247</v>
      </c>
      <c r="D10" s="38">
        <f>PARAM!$E$10/(1+EXP(-PARAM!$E$14*(B10-PARAM!$E$18)))</f>
        <v/>
      </c>
      <c r="E10" s="39" t="n"/>
      <c r="F10" s="39" t="n"/>
      <c r="G10" s="40" t="n"/>
    </row>
    <row r="11" ht="15" customHeight="1">
      <c r="A11" s="37" t="inlineStr">
        <is>
          <t>2023-07</t>
        </is>
      </c>
      <c r="B11" s="37" t="n">
        <v>6</v>
      </c>
      <c r="C11" s="38" t="n">
        <v>0.8241000000000001</v>
      </c>
      <c r="D11" s="38">
        <f>PARAM!$E$10/(1+EXP(-PARAM!$E$14*(B11-PARAM!$E$18)))</f>
        <v/>
      </c>
      <c r="E11" s="39" t="n"/>
      <c r="F11" s="39" t="n"/>
      <c r="G11" s="40" t="n"/>
    </row>
    <row r="12" ht="15" customHeight="1">
      <c r="A12" s="37" t="inlineStr">
        <is>
          <t>2023-08</t>
        </is>
      </c>
      <c r="B12" s="37" t="n">
        <v>7</v>
      </c>
      <c r="C12" s="38" t="n">
        <v>0.8381999999999999</v>
      </c>
      <c r="D12" s="38">
        <f>PARAM!$E$10/(1+EXP(-PARAM!$E$14*(B12-PARAM!$E$18)))</f>
        <v/>
      </c>
      <c r="E12" s="39" t="n"/>
      <c r="F12" s="39" t="n"/>
      <c r="G12" s="40" t="n"/>
    </row>
    <row r="13" ht="15" customHeight="1">
      <c r="A13" s="37" t="inlineStr">
        <is>
          <t>2023-09</t>
        </is>
      </c>
      <c r="B13" s="37" t="n">
        <v>8</v>
      </c>
      <c r="C13" s="38" t="n">
        <v>0.8397</v>
      </c>
      <c r="D13" s="38">
        <f>PARAM!$E$10/(1+EXP(-PARAM!$E$14*(B13-PARAM!$E$18)))</f>
        <v/>
      </c>
      <c r="E13" s="39" t="n"/>
      <c r="F13" s="39" t="n"/>
      <c r="G13" s="40" t="n"/>
    </row>
    <row r="14" ht="15" customHeight="1">
      <c r="A14" s="37" t="inlineStr">
        <is>
          <t>2023-10</t>
        </is>
      </c>
      <c r="B14" s="37" t="n">
        <v>9</v>
      </c>
      <c r="C14" s="38" t="n">
        <v>0.8355</v>
      </c>
      <c r="D14" s="38">
        <f>PARAM!$E$10/(1+EXP(-PARAM!$E$14*(B14-PARAM!$E$18)))</f>
        <v/>
      </c>
      <c r="E14" s="39" t="n"/>
      <c r="F14" s="39" t="n"/>
      <c r="G14" s="40" t="n"/>
    </row>
    <row r="15" ht="15" customHeight="1">
      <c r="A15" s="37" t="inlineStr">
        <is>
          <t>2023-11</t>
        </is>
      </c>
      <c r="B15" s="37" t="n">
        <v>10</v>
      </c>
      <c r="C15" s="38" t="n">
        <v>0.8411</v>
      </c>
      <c r="D15" s="38">
        <f>PARAM!$E$10/(1+EXP(-PARAM!$E$14*(B15-PARAM!$E$18)))</f>
        <v/>
      </c>
      <c r="E15" s="39" t="n"/>
      <c r="F15" s="39" t="n"/>
      <c r="G15" s="40" t="n"/>
    </row>
    <row r="16" ht="15" customHeight="1">
      <c r="A16" s="37" t="inlineStr">
        <is>
          <t>2023-12</t>
        </is>
      </c>
      <c r="B16" s="37" t="n">
        <v>11</v>
      </c>
      <c r="C16" s="38" t="n">
        <v>0.8421999999999999</v>
      </c>
      <c r="D16" s="38">
        <f>PARAM!$E$10/(1+EXP(-PARAM!$E$14*(B16-PARAM!$E$18)))</f>
        <v/>
      </c>
      <c r="E16" s="39" t="n"/>
      <c r="F16" s="39" t="n"/>
      <c r="G16" s="40" t="n"/>
    </row>
    <row r="17" ht="15" customHeight="1">
      <c r="A17" s="37" t="inlineStr">
        <is>
          <t>2024-01</t>
        </is>
      </c>
      <c r="B17" s="37" t="n">
        <v>12</v>
      </c>
      <c r="C17" s="38" t="n">
        <v>0.854</v>
      </c>
      <c r="D17" s="38">
        <f>PARAM!$E$10/(1+EXP(-PARAM!$E$14*(B17-PARAM!$E$18)))</f>
        <v/>
      </c>
      <c r="E17" s="39" t="n"/>
      <c r="F17" s="39" t="n"/>
      <c r="G17" s="40" t="n"/>
    </row>
    <row r="18" ht="15" customHeight="1">
      <c r="A18" s="37" t="inlineStr">
        <is>
          <t>2024-02</t>
        </is>
      </c>
      <c r="B18" s="37" t="n">
        <v>13</v>
      </c>
      <c r="C18" s="38" t="n">
        <v>0.8479</v>
      </c>
      <c r="D18" s="38">
        <f>PARAM!$E$10/(1+EXP(-PARAM!$E$14*(B18-PARAM!$E$18)))</f>
        <v/>
      </c>
      <c r="E18" s="39" t="n"/>
      <c r="F18" s="39" t="n"/>
      <c r="G18" s="40" t="n"/>
    </row>
    <row r="19" ht="15" customHeight="1">
      <c r="A19" s="37" t="inlineStr">
        <is>
          <t>2024-03</t>
        </is>
      </c>
      <c r="B19" s="37" t="n">
        <v>14</v>
      </c>
      <c r="C19" s="38" t="n">
        <v>0.8576</v>
      </c>
      <c r="D19" s="38">
        <f>PARAM!$E$10/(1+EXP(-PARAM!$E$14*(B19-PARAM!$E$18)))</f>
        <v/>
      </c>
      <c r="E19" s="39" t="n"/>
      <c r="F19" s="39" t="n"/>
      <c r="G19" s="40" t="n"/>
    </row>
    <row r="20" ht="15" customHeight="1">
      <c r="A20" s="37" t="inlineStr">
        <is>
          <t>2024-04</t>
        </is>
      </c>
      <c r="B20" s="37" t="n">
        <v>15</v>
      </c>
      <c r="C20" s="38" t="n">
        <v>0.8534</v>
      </c>
      <c r="D20" s="38">
        <f>PARAM!$E$10/(1+EXP(-PARAM!$E$14*(B20-PARAM!$E$18)))</f>
        <v/>
      </c>
      <c r="E20" s="39" t="n"/>
      <c r="F20" s="39" t="n"/>
      <c r="G20" s="40" t="n"/>
    </row>
    <row r="21" ht="15" customHeight="1">
      <c r="A21" s="37" t="inlineStr">
        <is>
          <t>2024-05</t>
        </is>
      </c>
      <c r="B21" s="37" t="n">
        <v>16</v>
      </c>
      <c r="C21" s="38" t="n">
        <v>0.8458</v>
      </c>
      <c r="D21" s="38">
        <f>PARAM!$E$10/(1+EXP(-PARAM!$E$14*(B21-PARAM!$E$18)))</f>
        <v/>
      </c>
      <c r="E21" s="39" t="n"/>
      <c r="F21" s="39" t="n"/>
      <c r="G21" s="40" t="n"/>
    </row>
    <row r="22" ht="15" customHeight="1">
      <c r="A22" s="37" t="inlineStr">
        <is>
          <t>2024-06</t>
        </is>
      </c>
      <c r="B22" s="37" t="n">
        <v>17</v>
      </c>
      <c r="C22" s="38" t="n">
        <v>0.8645</v>
      </c>
      <c r="D22" s="38">
        <f>PARAM!$E$10/(1+EXP(-PARAM!$E$14*(B22-PARAM!$E$18)))</f>
        <v/>
      </c>
      <c r="E22" s="39" t="n"/>
      <c r="F22" s="39" t="n"/>
      <c r="G22" s="40" t="n"/>
    </row>
    <row r="23" ht="15" customHeight="1">
      <c r="A23" s="37" t="inlineStr">
        <is>
          <t>2024-07</t>
        </is>
      </c>
      <c r="B23" s="37" t="n">
        <v>18</v>
      </c>
      <c r="C23" s="38" t="n">
        <v>0.8411</v>
      </c>
      <c r="D23" s="38">
        <f>PARAM!$E$10/(1+EXP(-PARAM!$E$14*(B23-PARAM!$E$18)))</f>
        <v/>
      </c>
      <c r="E23" s="39" t="n"/>
      <c r="F23" s="39" t="n"/>
      <c r="G23" s="40" t="n"/>
    </row>
    <row r="24" ht="15" customHeight="1">
      <c r="A24" s="37" t="inlineStr">
        <is>
          <t>2024-08</t>
        </is>
      </c>
      <c r="B24" s="37" t="n">
        <v>19</v>
      </c>
      <c r="C24" s="38" t="n">
        <v>0.8542</v>
      </c>
      <c r="D24" s="38">
        <f>PARAM!$E$10/(1+EXP(-PARAM!$E$14*(B24-PARAM!$E$18)))</f>
        <v/>
      </c>
      <c r="E24" s="39" t="n"/>
      <c r="F24" s="39" t="n"/>
      <c r="G24" s="40" t="n"/>
    </row>
    <row r="25" ht="15" customHeight="1">
      <c r="A25" s="37" t="inlineStr">
        <is>
          <t>2024-09</t>
        </is>
      </c>
      <c r="B25" s="37" t="n">
        <v>20</v>
      </c>
      <c r="C25" s="38" t="n">
        <v>0.8622</v>
      </c>
      <c r="D25" s="38">
        <f>PARAM!$E$10/(1+EXP(-PARAM!$E$14*(B25-PARAM!$E$18)))</f>
        <v/>
      </c>
      <c r="E25" s="39" t="n"/>
      <c r="F25" s="39" t="n"/>
      <c r="G25" s="40" t="n"/>
    </row>
    <row r="26" ht="15" customHeight="1">
      <c r="A26" s="37" t="inlineStr">
        <is>
          <t>2024-10</t>
        </is>
      </c>
      <c r="B26" s="37" t="n">
        <v>21</v>
      </c>
      <c r="C26" s="38" t="n">
        <v>0.8495</v>
      </c>
      <c r="D26" s="38">
        <f>PARAM!$E$10/(1+EXP(-PARAM!$E$14*(B26-PARAM!$E$18)))</f>
        <v/>
      </c>
      <c r="E26" s="39" t="n"/>
      <c r="F26" s="39" t="n"/>
      <c r="G26" s="40" t="n"/>
    </row>
    <row r="27" ht="15" customHeight="1">
      <c r="A27" s="37" t="inlineStr">
        <is>
          <t>2024-11</t>
        </is>
      </c>
      <c r="B27" s="37" t="n">
        <v>22</v>
      </c>
      <c r="C27" s="38" t="n">
        <v>0.8599</v>
      </c>
      <c r="D27" s="38">
        <f>PARAM!$E$10/(1+EXP(-PARAM!$E$14*(B27-PARAM!$E$18)))</f>
        <v/>
      </c>
      <c r="E27" s="39" t="n"/>
      <c r="F27" s="39" t="n"/>
      <c r="G27" s="40" t="n"/>
    </row>
    <row r="28" ht="15" customHeight="1">
      <c r="A28" s="37" t="inlineStr">
        <is>
          <t>2024-12</t>
        </is>
      </c>
      <c r="B28" s="37" t="n">
        <v>23</v>
      </c>
      <c r="C28" s="38" t="n">
        <v>0.892</v>
      </c>
      <c r="D28" s="38">
        <f>PARAM!$E$10/(1+EXP(-PARAM!$E$14*(B28-PARAM!$E$18)))</f>
        <v/>
      </c>
      <c r="E28" s="39" t="n"/>
      <c r="F28" s="39" t="n"/>
      <c r="G28" s="40" t="n"/>
    </row>
    <row r="29" ht="15" customHeight="1">
      <c r="A29" s="37" t="inlineStr">
        <is>
          <t>2025-01</t>
        </is>
      </c>
      <c r="B29" s="37" t="n">
        <v>24</v>
      </c>
      <c r="C29" s="38" t="n">
        <v>0.8594000000000001</v>
      </c>
      <c r="D29" s="38">
        <f>PARAM!$E$10/(1+EXP(-PARAM!$E$14*(B29-PARAM!$E$18)))</f>
        <v/>
      </c>
      <c r="E29" s="39" t="n"/>
      <c r="F29" s="39" t="n"/>
      <c r="G29" s="40" t="n"/>
    </row>
    <row r="30" ht="15" customHeight="1">
      <c r="A30" s="37" t="inlineStr">
        <is>
          <t>2025-02</t>
        </is>
      </c>
      <c r="B30" s="37" t="n">
        <v>25</v>
      </c>
      <c r="C30" s="38" t="n">
        <v>0.8538</v>
      </c>
      <c r="D30" s="38">
        <f>PARAM!$E$10/(1+EXP(-PARAM!$E$14*(B30-PARAM!$E$18)))</f>
        <v/>
      </c>
      <c r="E30" s="39" t="n"/>
      <c r="F30" s="39" t="n"/>
      <c r="G30" s="40" t="n"/>
    </row>
    <row r="31" ht="15" customHeight="1">
      <c r="A31" s="37" t="inlineStr">
        <is>
          <t>2025-03</t>
        </is>
      </c>
      <c r="B31" s="37" t="n">
        <v>26</v>
      </c>
      <c r="C31" s="38" t="n">
        <v>0.8746</v>
      </c>
      <c r="D31" s="38">
        <f>PARAM!$E$10/(1+EXP(-PARAM!$E$14*(B31-PARAM!$E$18)))</f>
        <v/>
      </c>
      <c r="E31" s="39" t="n"/>
      <c r="F31" s="39" t="n"/>
      <c r="G31" s="40" t="n"/>
    </row>
    <row r="32" ht="15" customHeight="1">
      <c r="A32" s="37" t="inlineStr">
        <is>
          <t>2025-04</t>
        </is>
      </c>
      <c r="B32" s="37" t="n">
        <v>27</v>
      </c>
      <c r="C32" s="38" t="n">
        <v>0.857</v>
      </c>
      <c r="D32" s="38">
        <f>PARAM!$E$10/(1+EXP(-PARAM!$E$14*(B32-PARAM!$E$18)))</f>
        <v/>
      </c>
      <c r="E32" s="39" t="n"/>
      <c r="F32" s="39" t="n"/>
      <c r="G32" s="40" t="n"/>
    </row>
    <row r="33" ht="15" customHeight="1">
      <c r="A33" s="37" t="inlineStr">
        <is>
          <t>2025-05</t>
        </is>
      </c>
      <c r="B33" s="37" t="n">
        <v>28</v>
      </c>
      <c r="C33" s="38" t="n">
        <v>0.8653</v>
      </c>
      <c r="D33" s="38">
        <f>PARAM!$E$10/(1+EXP(-PARAM!$E$14*(B33-PARAM!$E$18)))</f>
        <v/>
      </c>
      <c r="E33" s="39" t="n"/>
      <c r="F33" s="39" t="n"/>
      <c r="G33" s="40" t="n"/>
    </row>
    <row r="34" ht="15" customHeight="1">
      <c r="A34" s="37" t="inlineStr">
        <is>
          <t>2025-06</t>
        </is>
      </c>
      <c r="B34" s="37" t="n">
        <v>29</v>
      </c>
      <c r="C34" s="38" t="n">
        <v>0.8678</v>
      </c>
      <c r="D34" s="38">
        <f>PARAM!$E$10/(1+EXP(-PARAM!$E$14*(B34-PARAM!$E$18)))</f>
        <v/>
      </c>
      <c r="E34" s="39" t="n"/>
      <c r="F34" s="39" t="n"/>
      <c r="G34" s="40" t="n"/>
    </row>
    <row r="35" ht="15" customHeight="1">
      <c r="A35" s="37" t="inlineStr">
        <is>
          <t>2025-07</t>
        </is>
      </c>
      <c r="B35" s="37" t="n">
        <v>30</v>
      </c>
      <c r="C35" s="38" t="n">
        <v>0.8687</v>
      </c>
      <c r="D35" s="38">
        <f>PARAM!$E$10/(1+EXP(-PARAM!$E$14*(B35-PARAM!$E$18)))</f>
        <v/>
      </c>
      <c r="E35" s="39" t="n"/>
      <c r="F35" s="39" t="n"/>
      <c r="G35" s="40" t="n"/>
    </row>
    <row r="36" ht="15" customHeight="1">
      <c r="A36" s="37" t="inlineStr">
        <is>
          <t>2025-08</t>
        </is>
      </c>
      <c r="B36" s="37" t="n">
        <v>31</v>
      </c>
      <c r="C36" s="38" t="n">
        <v>0.8546</v>
      </c>
      <c r="D36" s="38">
        <f>PARAM!$E$10/(1+EXP(-PARAM!$E$14*(B36-PARAM!$E$18)))</f>
        <v/>
      </c>
      <c r="E36" s="39" t="n"/>
      <c r="F36" s="39" t="n"/>
      <c r="G36" s="40" t="n"/>
    </row>
    <row r="37" ht="15" customHeight="1">
      <c r="A37" s="37" t="inlineStr">
        <is>
          <t>2025-09</t>
        </is>
      </c>
      <c r="B37" s="37" t="n">
        <v>32</v>
      </c>
      <c r="C37" s="38" t="n">
        <v>0.8817</v>
      </c>
      <c r="D37" s="38">
        <f>PARAM!$E$10/(1+EXP(-PARAM!$E$14*(B37-PARAM!$E$18)))</f>
        <v/>
      </c>
      <c r="E37" s="39" t="n"/>
      <c r="F37" s="39" t="n"/>
      <c r="G37" s="40" t="n"/>
    </row>
    <row r="38" ht="15" customHeight="1">
      <c r="A38" s="37" t="inlineStr">
        <is>
          <t>2025-10</t>
        </is>
      </c>
      <c r="B38" s="37" t="n">
        <v>33</v>
      </c>
      <c r="C38" s="38" t="n">
        <v>0.8657</v>
      </c>
      <c r="D38" s="38">
        <f>PARAM!$E$10/(1+EXP(-PARAM!$E$14*(B38-PARAM!$E$18)))</f>
        <v/>
      </c>
      <c r="E38" s="39" t="n"/>
      <c r="F38" s="39" t="n"/>
      <c r="G38" s="40" t="n"/>
    </row>
    <row r="39" ht="15" customHeight="1">
      <c r="A39" s="37" t="inlineStr">
        <is>
          <t>2025-11</t>
        </is>
      </c>
      <c r="B39" s="37" t="n">
        <v>34</v>
      </c>
      <c r="C39" s="38" t="n">
        <v>0.8671</v>
      </c>
      <c r="D39" s="38">
        <f>PARAM!$E$10/(1+EXP(-PARAM!$E$14*(B39-PARAM!$E$18)))</f>
        <v/>
      </c>
      <c r="E39" s="39" t="n"/>
      <c r="F39" s="39" t="n"/>
      <c r="G39" s="40" t="n"/>
    </row>
    <row r="40" ht="15" customHeight="1">
      <c r="A40" s="37" t="inlineStr">
        <is>
          <t>2025-12</t>
        </is>
      </c>
      <c r="B40" s="37" t="n">
        <v>35</v>
      </c>
      <c r="C40" s="38" t="n">
        <v>0.8546</v>
      </c>
      <c r="D40" s="38">
        <f>PARAM!$E$10/(1+EXP(-PARAM!$E$14*(B40-PARAM!$E$18)))</f>
        <v/>
      </c>
      <c r="E40" s="39" t="n"/>
      <c r="F40" s="39" t="n"/>
      <c r="G40" s="40" t="n"/>
    </row>
    <row r="41" ht="15" customHeight="1">
      <c r="A41" s="37" t="inlineStr">
        <is>
          <t>2026-01</t>
        </is>
      </c>
      <c r="B41" s="37" t="n">
        <v>36</v>
      </c>
      <c r="C41" s="38" t="n">
        <v>0.8814</v>
      </c>
      <c r="D41" s="38">
        <f>PARAM!$E$10/(1+EXP(-PARAM!$E$14*(B41-PARAM!$E$18)))</f>
        <v/>
      </c>
      <c r="E41" s="39" t="n"/>
      <c r="F41" s="39" t="n"/>
      <c r="G41" s="40" t="n"/>
    </row>
    <row r="42" ht="15" customHeight="1">
      <c r="A42" s="37" t="inlineStr">
        <is>
          <t>2026-02</t>
        </is>
      </c>
      <c r="B42" s="37" t="n">
        <v>37</v>
      </c>
      <c r="C42" s="38" t="n">
        <v>0.8574000000000001</v>
      </c>
      <c r="D42" s="38">
        <f>PARAM!$E$10/(1+EXP(-PARAM!$E$14*(B42-PARAM!$E$18)))</f>
        <v/>
      </c>
      <c r="E42" s="39" t="n"/>
      <c r="F42" s="39" t="n"/>
      <c r="G42" s="40" t="n"/>
    </row>
    <row r="43" ht="15" customHeight="1">
      <c r="A43" s="37" t="inlineStr">
        <is>
          <t>2026-03</t>
        </is>
      </c>
      <c r="B43" s="37" t="n">
        <v>38</v>
      </c>
      <c r="C43" s="38" t="n">
        <v>0.8655</v>
      </c>
      <c r="D43" s="38">
        <f>PARAM!$E$10/(1+EXP(-PARAM!$E$14*(B43-PARAM!$E$18)))</f>
        <v/>
      </c>
      <c r="E43" s="39" t="n"/>
      <c r="F43" s="39" t="n"/>
      <c r="G43" s="40" t="n"/>
    </row>
    <row r="44" ht="15" customHeight="1">
      <c r="A44" s="37" t="inlineStr">
        <is>
          <t>2026-04</t>
        </is>
      </c>
      <c r="B44" s="37" t="n">
        <v>39</v>
      </c>
      <c r="C44" s="38" t="n">
        <v>0.862</v>
      </c>
      <c r="D44" s="38">
        <f>PARAM!$E$10/(1+EXP(-PARAM!$E$14*(B44-PARAM!$E$18)))</f>
        <v/>
      </c>
      <c r="E44" s="39" t="n"/>
      <c r="F44" s="39" t="n"/>
      <c r="G44" s="40" t="n"/>
    </row>
    <row r="45" ht="15" customHeight="1">
      <c r="A45" s="37" t="inlineStr">
        <is>
          <t>2026-05</t>
        </is>
      </c>
      <c r="B45" s="37" t="n">
        <v>40</v>
      </c>
      <c r="C45" s="38" t="n">
        <v>0.8678</v>
      </c>
      <c r="D45" s="38">
        <f>PARAM!$E$10/(1+EXP(-PARAM!$E$14*(B45-PARAM!$E$18)))</f>
        <v/>
      </c>
      <c r="E45" s="39" t="n"/>
      <c r="F45" s="39" t="n"/>
      <c r="G45" s="40" t="n"/>
    </row>
    <row r="46" ht="15" customHeight="1">
      <c r="A46" s="41" t="inlineStr">
        <is>
          <t>2026-06</t>
        </is>
      </c>
      <c r="B46" s="41" t="n">
        <v>41</v>
      </c>
      <c r="C46" s="42" t="n"/>
      <c r="D46" s="43">
        <f>PARAM!$E$10/(1+EXP(-PARAM!$E$14*(B46-PARAM!$E$18)))</f>
        <v/>
      </c>
      <c r="E46" s="43">
        <f>PARAM!$E$10/(1+EXP(-PARAM!$E$14*(B46-PARAM!$E$18)))</f>
        <v/>
      </c>
      <c r="F46" s="43">
        <f>(PARAM!$E$10+0.05*MIN(MAX((B46-41)/3,0),1))/(1+EXP(-(PARAM!$E$14+0.02*MIN(MAX((B46-41)/3,0),1))*(B46-PARAM!$E$18)))</f>
        <v/>
      </c>
      <c r="G46" s="44" t="inlineStr">
        <is>
          <t>← 予測開始 (month_index=41, 2026-06)</t>
        </is>
      </c>
    </row>
    <row r="47" ht="15" customHeight="1">
      <c r="A47" s="41" t="inlineStr">
        <is>
          <t>2026-07</t>
        </is>
      </c>
      <c r="B47" s="41" t="n">
        <v>42</v>
      </c>
      <c r="C47" s="42" t="n"/>
      <c r="D47" s="43">
        <f>PARAM!$E$10/(1+EXP(-PARAM!$E$14*(B47-PARAM!$E$18)))</f>
        <v/>
      </c>
      <c r="E47" s="43">
        <f>PARAM!$E$10/(1+EXP(-PARAM!$E$14*(B47-PARAM!$E$18)))</f>
        <v/>
      </c>
      <c r="F47" s="43">
        <f>(PARAM!$E$10+0.05*MIN(MAX((B47-41)/3,0),1))/(1+EXP(-(PARAM!$E$14+0.02*MIN(MAX((B47-41)/3,0),1))*(B47-PARAM!$E$18)))</f>
        <v/>
      </c>
      <c r="G47" s="44" t="n"/>
    </row>
    <row r="48" ht="15" customHeight="1">
      <c r="A48" s="41" t="inlineStr">
        <is>
          <t>2026-08</t>
        </is>
      </c>
      <c r="B48" s="41" t="n">
        <v>43</v>
      </c>
      <c r="C48" s="42" t="n"/>
      <c r="D48" s="43">
        <f>PARAM!$E$10/(1+EXP(-PARAM!$E$14*(B48-PARAM!$E$18)))</f>
        <v/>
      </c>
      <c r="E48" s="43">
        <f>PARAM!$E$10/(1+EXP(-PARAM!$E$14*(B48-PARAM!$E$18)))</f>
        <v/>
      </c>
      <c r="F48" s="43">
        <f>(PARAM!$E$10+0.05*MIN(MAX((B48-41)/3,0),1))/(1+EXP(-(PARAM!$E$14+0.02*MIN(MAX((B48-41)/3,0),1))*(B48-PARAM!$E$18)))</f>
        <v/>
      </c>
      <c r="G48" s="44" t="n"/>
    </row>
    <row r="49" ht="15" customHeight="1">
      <c r="A49" s="41" t="inlineStr">
        <is>
          <t>2026-09</t>
        </is>
      </c>
      <c r="B49" s="41" t="n">
        <v>44</v>
      </c>
      <c r="C49" s="42" t="n"/>
      <c r="D49" s="43">
        <f>PARAM!$E$10/(1+EXP(-PARAM!$E$14*(B49-PARAM!$E$18)))</f>
        <v/>
      </c>
      <c r="E49" s="43">
        <f>PARAM!$E$10/(1+EXP(-PARAM!$E$14*(B49-PARAM!$E$18)))</f>
        <v/>
      </c>
      <c r="F49" s="43">
        <f>(PARAM!$E$10+0.05*MIN(MAX((B49-41)/3,0),1))/(1+EXP(-(PARAM!$E$14+0.02*MIN(MAX((B49-41)/3,0),1))*(B49-PARAM!$E$18)))</f>
        <v/>
      </c>
      <c r="G49" s="44" t="inlineStr">
        <is>
          <t>← 制度イベント 全効果発効 (month_index=44, 2026-09)</t>
        </is>
      </c>
    </row>
    <row r="50" ht="15" customHeight="1">
      <c r="A50" s="41" t="inlineStr">
        <is>
          <t>2026-10</t>
        </is>
      </c>
      <c r="B50" s="41" t="n">
        <v>45</v>
      </c>
      <c r="C50" s="42" t="n"/>
      <c r="D50" s="43">
        <f>PARAM!$E$10/(1+EXP(-PARAM!$E$14*(B50-PARAM!$E$18)))</f>
        <v/>
      </c>
      <c r="E50" s="43">
        <f>PARAM!$E$10/(1+EXP(-PARAM!$E$14*(B50-PARAM!$E$18)))</f>
        <v/>
      </c>
      <c r="F50" s="43">
        <f>(PARAM!$E$10+0.05*MIN(MAX((B50-41)/3,0),1))/(1+EXP(-(PARAM!$E$14+0.02*MIN(MAX((B50-41)/3,0),1))*(B50-PARAM!$E$18)))</f>
        <v/>
      </c>
      <c r="G50" s="44" t="n"/>
    </row>
    <row r="51" ht="15" customHeight="1">
      <c r="A51" s="41" t="inlineStr">
        <is>
          <t>2026-11</t>
        </is>
      </c>
      <c r="B51" s="41" t="n">
        <v>46</v>
      </c>
      <c r="C51" s="42" t="n"/>
      <c r="D51" s="43">
        <f>PARAM!$E$10/(1+EXP(-PARAM!$E$14*(B51-PARAM!$E$18)))</f>
        <v/>
      </c>
      <c r="E51" s="43">
        <f>PARAM!$E$10/(1+EXP(-PARAM!$E$14*(B51-PARAM!$E$18)))</f>
        <v/>
      </c>
      <c r="F51" s="43">
        <f>(PARAM!$E$10+0.05*MIN(MAX((B51-41)/3,0),1))/(1+EXP(-(PARAM!$E$14+0.02*MIN(MAX((B51-41)/3,0),1))*(B51-PARAM!$E$18)))</f>
        <v/>
      </c>
      <c r="G51" s="44" t="n"/>
    </row>
    <row r="52" ht="15" customHeight="1">
      <c r="A52" s="41" t="inlineStr">
        <is>
          <t>2026-12</t>
        </is>
      </c>
      <c r="B52" s="41" t="n">
        <v>47</v>
      </c>
      <c r="C52" s="42" t="n"/>
      <c r="D52" s="43">
        <f>PARAM!$E$10/(1+EXP(-PARAM!$E$14*(B52-PARAM!$E$18)))</f>
        <v/>
      </c>
      <c r="E52" s="43">
        <f>PARAM!$E$10/(1+EXP(-PARAM!$E$14*(B52-PARAM!$E$18)))</f>
        <v/>
      </c>
      <c r="F52" s="43">
        <f>(PARAM!$E$10+0.05*MIN(MAX((B52-41)/3,0),1))/(1+EXP(-(PARAM!$E$14+0.02*MIN(MAX((B52-41)/3,0),1))*(B52-PARAM!$E$18)))</f>
        <v/>
      </c>
      <c r="G52" s="44" t="n"/>
    </row>
    <row r="53" ht="15" customHeight="1">
      <c r="A53" s="41" t="inlineStr">
        <is>
          <t>2027-01</t>
        </is>
      </c>
      <c r="B53" s="41" t="n">
        <v>48</v>
      </c>
      <c r="C53" s="42" t="n"/>
      <c r="D53" s="43">
        <f>PARAM!$E$10/(1+EXP(-PARAM!$E$14*(B53-PARAM!$E$18)))</f>
        <v/>
      </c>
      <c r="E53" s="43">
        <f>PARAM!$E$10/(1+EXP(-PARAM!$E$14*(B53-PARAM!$E$18)))</f>
        <v/>
      </c>
      <c r="F53" s="43">
        <f>(PARAM!$E$10+0.05*MIN(MAX((B53-41)/3,0),1))/(1+EXP(-(PARAM!$E$14+0.02*MIN(MAX((B53-41)/3,0),1))*(B53-PARAM!$E$18)))</f>
        <v/>
      </c>
      <c r="G53" s="44" t="n"/>
    </row>
    <row r="54" ht="15" customHeight="1">
      <c r="A54" s="41" t="inlineStr">
        <is>
          <t>2027-02</t>
        </is>
      </c>
      <c r="B54" s="41" t="n">
        <v>49</v>
      </c>
      <c r="C54" s="42" t="n"/>
      <c r="D54" s="43">
        <f>PARAM!$E$10/(1+EXP(-PARAM!$E$14*(B54-PARAM!$E$18)))</f>
        <v/>
      </c>
      <c r="E54" s="43">
        <f>PARAM!$E$10/(1+EXP(-PARAM!$E$14*(B54-PARAM!$E$18)))</f>
        <v/>
      </c>
      <c r="F54" s="43">
        <f>(PARAM!$E$10+0.05*MIN(MAX((B54-41)/3,0),1))/(1+EXP(-(PARAM!$E$14+0.02*MIN(MAX((B54-41)/3,0),1))*(B54-PARAM!$E$18)))</f>
        <v/>
      </c>
      <c r="G54" s="44" t="n"/>
    </row>
    <row r="55" ht="15" customHeight="1">
      <c r="A55" s="41" t="inlineStr">
        <is>
          <t>2027-03</t>
        </is>
      </c>
      <c r="B55" s="41" t="n">
        <v>50</v>
      </c>
      <c r="C55" s="42" t="n"/>
      <c r="D55" s="43">
        <f>PARAM!$E$10/(1+EXP(-PARAM!$E$14*(B55-PARAM!$E$18)))</f>
        <v/>
      </c>
      <c r="E55" s="43">
        <f>PARAM!$E$10/(1+EXP(-PARAM!$E$14*(B55-PARAM!$E$18)))</f>
        <v/>
      </c>
      <c r="F55" s="43">
        <f>(PARAM!$E$10+0.05*MIN(MAX((B55-41)/3,0),1))/(1+EXP(-(PARAM!$E$14+0.02*MIN(MAX((B55-41)/3,0),1))*(B55-PARAM!$E$18)))</f>
        <v/>
      </c>
      <c r="G55" s="44" t="n"/>
    </row>
    <row r="56" ht="15" customHeight="1">
      <c r="A56" s="41" t="inlineStr">
        <is>
          <t>2027-04</t>
        </is>
      </c>
      <c r="B56" s="41" t="n">
        <v>51</v>
      </c>
      <c r="C56" s="42" t="n"/>
      <c r="D56" s="43">
        <f>PARAM!$E$10/(1+EXP(-PARAM!$E$14*(B56-PARAM!$E$18)))</f>
        <v/>
      </c>
      <c r="E56" s="43">
        <f>PARAM!$E$10/(1+EXP(-PARAM!$E$14*(B56-PARAM!$E$18)))</f>
        <v/>
      </c>
      <c r="F56" s="43">
        <f>(PARAM!$E$10+0.05*MIN(MAX((B56-41)/3,0),1))/(1+EXP(-(PARAM!$E$14+0.02*MIN(MAX((B56-41)/3,0),1))*(B56-PARAM!$E$18)))</f>
        <v/>
      </c>
      <c r="G56" s="44" t="n"/>
    </row>
    <row r="57" ht="15" customHeight="1">
      <c r="A57" s="41" t="inlineStr">
        <is>
          <t>2027-05</t>
        </is>
      </c>
      <c r="B57" s="41" t="n">
        <v>52</v>
      </c>
      <c r="C57" s="42" t="n"/>
      <c r="D57" s="43">
        <f>PARAM!$E$10/(1+EXP(-PARAM!$E$14*(B57-PARAM!$E$18)))</f>
        <v/>
      </c>
      <c r="E57" s="43">
        <f>PARAM!$E$10/(1+EXP(-PARAM!$E$14*(B57-PARAM!$E$18)))</f>
        <v/>
      </c>
      <c r="F57" s="43">
        <f>(PARAM!$E$10+0.05*MIN(MAX((B57-41)/3,0),1))/(1+EXP(-(PARAM!$E$14+0.02*MIN(MAX((B57-41)/3,0),1))*(B57-PARAM!$E$18)))</f>
        <v/>
      </c>
      <c r="G57" s="44" t="n"/>
    </row>
    <row r="58" ht="15" customHeight="1">
      <c r="A58" s="41" t="inlineStr">
        <is>
          <t>2027-06</t>
        </is>
      </c>
      <c r="B58" s="41" t="n">
        <v>53</v>
      </c>
      <c r="C58" s="42" t="n"/>
      <c r="D58" s="43">
        <f>PARAM!$E$10/(1+EXP(-PARAM!$E$14*(B58-PARAM!$E$18)))</f>
        <v/>
      </c>
      <c r="E58" s="43">
        <f>PARAM!$E$10/(1+EXP(-PARAM!$E$14*(B58-PARAM!$E$18)))</f>
        <v/>
      </c>
      <c r="F58" s="43">
        <f>(PARAM!$E$10+0.05*MIN(MAX((B58-41)/3,0),1))/(1+EXP(-(PARAM!$E$14+0.02*MIN(MAX((B58-41)/3,0),1))*(B58-PARAM!$E$18)))</f>
        <v/>
      </c>
      <c r="G58" s="44" t="n"/>
    </row>
    <row r="59" ht="15" customHeight="1">
      <c r="A59" s="41" t="inlineStr">
        <is>
          <t>2027-07</t>
        </is>
      </c>
      <c r="B59" s="41" t="n">
        <v>54</v>
      </c>
      <c r="C59" s="42" t="n"/>
      <c r="D59" s="43">
        <f>PARAM!$E$10/(1+EXP(-PARAM!$E$14*(B59-PARAM!$E$18)))</f>
        <v/>
      </c>
      <c r="E59" s="43">
        <f>PARAM!$E$10/(1+EXP(-PARAM!$E$14*(B59-PARAM!$E$18)))</f>
        <v/>
      </c>
      <c r="F59" s="43">
        <f>(PARAM!$E$10+0.05*MIN(MAX((B59-41)/3,0),1))/(1+EXP(-(PARAM!$E$14+0.02*MIN(MAX((B59-41)/3,0),1))*(B59-PARAM!$E$18)))</f>
        <v/>
      </c>
      <c r="G59" s="44" t="n"/>
    </row>
    <row r="60" ht="15" customHeight="1">
      <c r="A60" s="41" t="inlineStr">
        <is>
          <t>2027-08</t>
        </is>
      </c>
      <c r="B60" s="41" t="n">
        <v>55</v>
      </c>
      <c r="C60" s="42" t="n"/>
      <c r="D60" s="43">
        <f>PARAM!$E$10/(1+EXP(-PARAM!$E$14*(B60-PARAM!$E$18)))</f>
        <v/>
      </c>
      <c r="E60" s="43">
        <f>PARAM!$E$10/(1+EXP(-PARAM!$E$14*(B60-PARAM!$E$18)))</f>
        <v/>
      </c>
      <c r="F60" s="43">
        <f>(PARAM!$E$10+0.05*MIN(MAX((B60-41)/3,0),1))/(1+EXP(-(PARAM!$E$14+0.02*MIN(MAX((B60-41)/3,0),1))*(B60-PARAM!$E$18)))</f>
        <v/>
      </c>
      <c r="G60" s="44" t="n"/>
    </row>
    <row r="61" ht="15" customHeight="1">
      <c r="A61" s="41" t="inlineStr">
        <is>
          <t>2027-09</t>
        </is>
      </c>
      <c r="B61" s="41" t="n">
        <v>56</v>
      </c>
      <c r="C61" s="42" t="n"/>
      <c r="D61" s="43">
        <f>PARAM!$E$10/(1+EXP(-PARAM!$E$14*(B61-PARAM!$E$18)))</f>
        <v/>
      </c>
      <c r="E61" s="43">
        <f>PARAM!$E$10/(1+EXP(-PARAM!$E$14*(B61-PARAM!$E$18)))</f>
        <v/>
      </c>
      <c r="F61" s="43">
        <f>(PARAM!$E$10+0.05*MIN(MAX((B61-41)/3,0),1))/(1+EXP(-(PARAM!$E$14+0.02*MIN(MAX((B61-41)/3,0),1))*(B61-PARAM!$E$18)))</f>
        <v/>
      </c>
      <c r="G61" s="44" t="n"/>
    </row>
    <row r="62" ht="15" customHeight="1">
      <c r="A62" s="41" t="inlineStr">
        <is>
          <t>2027-10</t>
        </is>
      </c>
      <c r="B62" s="41" t="n">
        <v>57</v>
      </c>
      <c r="C62" s="42" t="n"/>
      <c r="D62" s="43">
        <f>PARAM!$E$10/(1+EXP(-PARAM!$E$14*(B62-PARAM!$E$18)))</f>
        <v/>
      </c>
      <c r="E62" s="43">
        <f>PARAM!$E$10/(1+EXP(-PARAM!$E$14*(B62-PARAM!$E$18)))</f>
        <v/>
      </c>
      <c r="F62" s="43">
        <f>(PARAM!$E$10+0.05*MIN(MAX((B62-41)/3,0),1))/(1+EXP(-(PARAM!$E$14+0.02*MIN(MAX((B62-41)/3,0),1))*(B62-PARAM!$E$18)))</f>
        <v/>
      </c>
      <c r="G62" s="44" t="n"/>
    </row>
    <row r="63" ht="15" customHeight="1">
      <c r="A63" s="41" t="inlineStr">
        <is>
          <t>2027-11</t>
        </is>
      </c>
      <c r="B63" s="41" t="n">
        <v>58</v>
      </c>
      <c r="C63" s="42" t="n"/>
      <c r="D63" s="43">
        <f>PARAM!$E$10/(1+EXP(-PARAM!$E$14*(B63-PARAM!$E$18)))</f>
        <v/>
      </c>
      <c r="E63" s="43">
        <f>PARAM!$E$10/(1+EXP(-PARAM!$E$14*(B63-PARAM!$E$18)))</f>
        <v/>
      </c>
      <c r="F63" s="43">
        <f>(PARAM!$E$10+0.05*MIN(MAX((B63-41)/3,0),1))/(1+EXP(-(PARAM!$E$14+0.02*MIN(MAX((B63-41)/3,0),1))*(B63-PARAM!$E$18)))</f>
        <v/>
      </c>
      <c r="G63" s="44" t="n"/>
    </row>
    <row r="64" ht="15" customHeight="1">
      <c r="A64" s="41" t="inlineStr">
        <is>
          <t>2027-12</t>
        </is>
      </c>
      <c r="B64" s="41" t="n">
        <v>59</v>
      </c>
      <c r="C64" s="42" t="n"/>
      <c r="D64" s="43">
        <f>PARAM!$E$10/(1+EXP(-PARAM!$E$14*(B64-PARAM!$E$18)))</f>
        <v/>
      </c>
      <c r="E64" s="43">
        <f>PARAM!$E$10/(1+EXP(-PARAM!$E$14*(B64-PARAM!$E$18)))</f>
        <v/>
      </c>
      <c r="F64" s="43">
        <f>(PARAM!$E$10+0.05*MIN(MAX((B64-41)/3,0),1))/(1+EXP(-(PARAM!$E$14+0.02*MIN(MAX((B64-41)/3,0),1))*(B64-PARAM!$E$18)))</f>
        <v/>
      </c>
      <c r="G64" s="44" t="n"/>
    </row>
    <row r="65" ht="15" customHeight="1">
      <c r="A65" s="41" t="inlineStr">
        <is>
          <t>2028-01</t>
        </is>
      </c>
      <c r="B65" s="41" t="n">
        <v>60</v>
      </c>
      <c r="C65" s="42" t="n"/>
      <c r="D65" s="43">
        <f>PARAM!$E$10/(1+EXP(-PARAM!$E$14*(B65-PARAM!$E$18)))</f>
        <v/>
      </c>
      <c r="E65" s="43">
        <f>PARAM!$E$10/(1+EXP(-PARAM!$E$14*(B65-PARAM!$E$18)))</f>
        <v/>
      </c>
      <c r="F65" s="43">
        <f>(PARAM!$E$10+0.05*MIN(MAX((B65-41)/3,0),1))/(1+EXP(-(PARAM!$E$14+0.02*MIN(MAX((B65-41)/3,0),1))*(B65-PARAM!$E$18)))</f>
        <v/>
      </c>
      <c r="G65" s="44" t="n"/>
    </row>
    <row r="66" ht="15" customHeight="1">
      <c r="A66" s="41" t="inlineStr">
        <is>
          <t>2028-02</t>
        </is>
      </c>
      <c r="B66" s="41" t="n">
        <v>61</v>
      </c>
      <c r="C66" s="42" t="n"/>
      <c r="D66" s="43">
        <f>PARAM!$E$10/(1+EXP(-PARAM!$E$14*(B66-PARAM!$E$18)))</f>
        <v/>
      </c>
      <c r="E66" s="43">
        <f>PARAM!$E$10/(1+EXP(-PARAM!$E$14*(B66-PARAM!$E$18)))</f>
        <v/>
      </c>
      <c r="F66" s="43">
        <f>(PARAM!$E$10+0.05*MIN(MAX((B66-41)/3,0),1))/(1+EXP(-(PARAM!$E$14+0.02*MIN(MAX((B66-41)/3,0),1))*(B66-PARAM!$E$18)))</f>
        <v/>
      </c>
      <c r="G66" s="44" t="n"/>
    </row>
    <row r="67" ht="15" customHeight="1">
      <c r="A67" s="41" t="inlineStr">
        <is>
          <t>2028-03</t>
        </is>
      </c>
      <c r="B67" s="41" t="n">
        <v>62</v>
      </c>
      <c r="C67" s="42" t="n"/>
      <c r="D67" s="43">
        <f>PARAM!$E$10/(1+EXP(-PARAM!$E$14*(B67-PARAM!$E$18)))</f>
        <v/>
      </c>
      <c r="E67" s="43">
        <f>PARAM!$E$10/(1+EXP(-PARAM!$E$14*(B67-PARAM!$E$18)))</f>
        <v/>
      </c>
      <c r="F67" s="43">
        <f>(PARAM!$E$10+0.05*MIN(MAX((B67-41)/3,0),1))/(1+EXP(-(PARAM!$E$14+0.02*MIN(MAX((B67-41)/3,0),1))*(B67-PARAM!$E$18)))</f>
        <v/>
      </c>
      <c r="G67" s="44" t="n"/>
    </row>
    <row r="68" ht="15" customHeight="1">
      <c r="A68" s="41" t="inlineStr">
        <is>
          <t>2028-04</t>
        </is>
      </c>
      <c r="B68" s="41" t="n">
        <v>63</v>
      </c>
      <c r="C68" s="42" t="n"/>
      <c r="D68" s="43">
        <f>PARAM!$E$10/(1+EXP(-PARAM!$E$14*(B68-PARAM!$E$18)))</f>
        <v/>
      </c>
      <c r="E68" s="43">
        <f>PARAM!$E$10/(1+EXP(-PARAM!$E$14*(B68-PARAM!$E$18)))</f>
        <v/>
      </c>
      <c r="F68" s="43">
        <f>(PARAM!$E$10+0.05*MIN(MAX((B68-41)/3,0),1))/(1+EXP(-(PARAM!$E$14+0.02*MIN(MAX((B68-41)/3,0),1))*(B68-PARAM!$E$18)))</f>
        <v/>
      </c>
      <c r="G68" s="44" t="n"/>
    </row>
    <row r="69" ht="15" customHeight="1">
      <c r="A69" s="41" t="inlineStr">
        <is>
          <t>2028-05</t>
        </is>
      </c>
      <c r="B69" s="41" t="n">
        <v>64</v>
      </c>
      <c r="C69" s="42" t="n"/>
      <c r="D69" s="43">
        <f>PARAM!$E$10/(1+EXP(-PARAM!$E$14*(B69-PARAM!$E$18)))</f>
        <v/>
      </c>
      <c r="E69" s="43">
        <f>PARAM!$E$10/(1+EXP(-PARAM!$E$14*(B69-PARAM!$E$18)))</f>
        <v/>
      </c>
      <c r="F69" s="43">
        <f>(PARAM!$E$10+0.05*MIN(MAX((B69-41)/3,0),1))/(1+EXP(-(PARAM!$E$14+0.02*MIN(MAX((B69-41)/3,0),1))*(B69-PARAM!$E$18)))</f>
        <v/>
      </c>
      <c r="G69" s="44" t="n"/>
    </row>
    <row r="70" ht="15" customHeight="1">
      <c r="A70" s="41" t="inlineStr">
        <is>
          <t>2028-06</t>
        </is>
      </c>
      <c r="B70" s="41" t="n">
        <v>65</v>
      </c>
      <c r="C70" s="42" t="n"/>
      <c r="D70" s="43">
        <f>PARAM!$E$10/(1+EXP(-PARAM!$E$14*(B70-PARAM!$E$18)))</f>
        <v/>
      </c>
      <c r="E70" s="43">
        <f>PARAM!$E$10/(1+EXP(-PARAM!$E$14*(B70-PARAM!$E$18)))</f>
        <v/>
      </c>
      <c r="F70" s="43">
        <f>(PARAM!$E$10+0.05*MIN(MAX((B70-41)/3,0),1))/(1+EXP(-(PARAM!$E$14+0.02*MIN(MAX((B70-41)/3,0),1))*(B70-PARAM!$E$18)))</f>
        <v/>
      </c>
      <c r="G70" s="44" t="n"/>
    </row>
    <row r="71" ht="15" customHeight="1">
      <c r="A71" s="41" t="inlineStr">
        <is>
          <t>2028-07</t>
        </is>
      </c>
      <c r="B71" s="41" t="n">
        <v>66</v>
      </c>
      <c r="C71" s="42" t="n"/>
      <c r="D71" s="43">
        <f>PARAM!$E$10/(1+EXP(-PARAM!$E$14*(B71-PARAM!$E$18)))</f>
        <v/>
      </c>
      <c r="E71" s="43">
        <f>PARAM!$E$10/(1+EXP(-PARAM!$E$14*(B71-PARAM!$E$18)))</f>
        <v/>
      </c>
      <c r="F71" s="43">
        <f>(PARAM!$E$10+0.05*MIN(MAX((B71-41)/3,0),1))/(1+EXP(-(PARAM!$E$14+0.02*MIN(MAX((B71-41)/3,0),1))*(B71-PARAM!$E$18)))</f>
        <v/>
      </c>
      <c r="G71" s="44" t="n"/>
    </row>
    <row r="72" ht="15" customHeight="1">
      <c r="A72" s="41" t="inlineStr">
        <is>
          <t>2028-08</t>
        </is>
      </c>
      <c r="B72" s="41" t="n">
        <v>67</v>
      </c>
      <c r="C72" s="42" t="n"/>
      <c r="D72" s="43">
        <f>PARAM!$E$10/(1+EXP(-PARAM!$E$14*(B72-PARAM!$E$18)))</f>
        <v/>
      </c>
      <c r="E72" s="43">
        <f>PARAM!$E$10/(1+EXP(-PARAM!$E$14*(B72-PARAM!$E$18)))</f>
        <v/>
      </c>
      <c r="F72" s="43">
        <f>(PARAM!$E$10+0.05*MIN(MAX((B72-41)/3,0),1))/(1+EXP(-(PARAM!$E$14+0.02*MIN(MAX((B72-41)/3,0),1))*(B72-PARAM!$E$18)))</f>
        <v/>
      </c>
      <c r="G72" s="44" t="n"/>
    </row>
    <row r="73" ht="15" customHeight="1">
      <c r="A73" s="41" t="inlineStr">
        <is>
          <t>2028-09</t>
        </is>
      </c>
      <c r="B73" s="41" t="n">
        <v>68</v>
      </c>
      <c r="C73" s="42" t="n"/>
      <c r="D73" s="43">
        <f>PARAM!$E$10/(1+EXP(-PARAM!$E$14*(B73-PARAM!$E$18)))</f>
        <v/>
      </c>
      <c r="E73" s="43">
        <f>PARAM!$E$10/(1+EXP(-PARAM!$E$14*(B73-PARAM!$E$18)))</f>
        <v/>
      </c>
      <c r="F73" s="43">
        <f>(PARAM!$E$10+0.05*MIN(MAX((B73-41)/3,0),1))/(1+EXP(-(PARAM!$E$14+0.02*MIN(MAX((B73-41)/3,0),1))*(B73-PARAM!$E$18)))</f>
        <v/>
      </c>
      <c r="G73" s="44" t="n"/>
    </row>
    <row r="74" ht="15" customHeight="1">
      <c r="A74" s="41" t="inlineStr">
        <is>
          <t>2028-10</t>
        </is>
      </c>
      <c r="B74" s="41" t="n">
        <v>69</v>
      </c>
      <c r="C74" s="42" t="n"/>
      <c r="D74" s="43">
        <f>PARAM!$E$10/(1+EXP(-PARAM!$E$14*(B74-PARAM!$E$18)))</f>
        <v/>
      </c>
      <c r="E74" s="43">
        <f>PARAM!$E$10/(1+EXP(-PARAM!$E$14*(B74-PARAM!$E$18)))</f>
        <v/>
      </c>
      <c r="F74" s="43">
        <f>(PARAM!$E$10+0.05*MIN(MAX((B74-41)/3,0),1))/(1+EXP(-(PARAM!$E$14+0.02*MIN(MAX((B74-41)/3,0),1))*(B74-PARAM!$E$18)))</f>
        <v/>
      </c>
      <c r="G74" s="44" t="n"/>
    </row>
    <row r="75" ht="15" customHeight="1">
      <c r="A75" s="41" t="inlineStr">
        <is>
          <t>2028-11</t>
        </is>
      </c>
      <c r="B75" s="41" t="n">
        <v>70</v>
      </c>
      <c r="C75" s="42" t="n"/>
      <c r="D75" s="43">
        <f>PARAM!$E$10/(1+EXP(-PARAM!$E$14*(B75-PARAM!$E$18)))</f>
        <v/>
      </c>
      <c r="E75" s="43">
        <f>PARAM!$E$10/(1+EXP(-PARAM!$E$14*(B75-PARAM!$E$18)))</f>
        <v/>
      </c>
      <c r="F75" s="43">
        <f>(PARAM!$E$10+0.05*MIN(MAX((B75-41)/3,0),1))/(1+EXP(-(PARAM!$E$14+0.02*MIN(MAX((B75-41)/3,0),1))*(B75-PARAM!$E$18)))</f>
        <v/>
      </c>
      <c r="G75" s="44" t="n"/>
    </row>
    <row r="76" ht="15" customHeight="1">
      <c r="A76" s="41" t="inlineStr">
        <is>
          <t>2028-12</t>
        </is>
      </c>
      <c r="B76" s="41" t="n">
        <v>71</v>
      </c>
      <c r="C76" s="42" t="n"/>
      <c r="D76" s="43">
        <f>PARAM!$E$10/(1+EXP(-PARAM!$E$14*(B76-PARAM!$E$18)))</f>
        <v/>
      </c>
      <c r="E76" s="43">
        <f>PARAM!$E$10/(1+EXP(-PARAM!$E$14*(B76-PARAM!$E$18)))</f>
        <v/>
      </c>
      <c r="F76" s="43">
        <f>(PARAM!$E$10+0.05*MIN(MAX((B76-41)/3,0),1))/(1+EXP(-(PARAM!$E$14+0.02*MIN(MAX((B76-41)/3,0),1))*(B76-PARAM!$E$18)))</f>
        <v/>
      </c>
      <c r="G76" s="44" t="n"/>
    </row>
    <row r="77" ht="15" customHeight="1">
      <c r="A77" s="41" t="inlineStr">
        <is>
          <t>2029-01</t>
        </is>
      </c>
      <c r="B77" s="41" t="n">
        <v>72</v>
      </c>
      <c r="C77" s="42" t="n"/>
      <c r="D77" s="43">
        <f>PARAM!$E$10/(1+EXP(-PARAM!$E$14*(B77-PARAM!$E$18)))</f>
        <v/>
      </c>
      <c r="E77" s="43">
        <f>PARAM!$E$10/(1+EXP(-PARAM!$E$14*(B77-PARAM!$E$18)))</f>
        <v/>
      </c>
      <c r="F77" s="43">
        <f>(PARAM!$E$10+0.05*MIN(MAX((B77-41)/3,0),1))/(1+EXP(-(PARAM!$E$14+0.02*MIN(MAX((B77-41)/3,0),1))*(B77-PARAM!$E$18)))</f>
        <v/>
      </c>
      <c r="G77" s="44" t="n"/>
    </row>
    <row r="78" ht="15" customHeight="1">
      <c r="A78" s="41" t="inlineStr">
        <is>
          <t>2029-02</t>
        </is>
      </c>
      <c r="B78" s="41" t="n">
        <v>73</v>
      </c>
      <c r="C78" s="42" t="n"/>
      <c r="D78" s="43">
        <f>PARAM!$E$10/(1+EXP(-PARAM!$E$14*(B78-PARAM!$E$18)))</f>
        <v/>
      </c>
      <c r="E78" s="43">
        <f>PARAM!$E$10/(1+EXP(-PARAM!$E$14*(B78-PARAM!$E$18)))</f>
        <v/>
      </c>
      <c r="F78" s="43">
        <f>(PARAM!$E$10+0.05*MIN(MAX((B78-41)/3,0),1))/(1+EXP(-(PARAM!$E$14+0.02*MIN(MAX((B78-41)/3,0),1))*(B78-PARAM!$E$18)))</f>
        <v/>
      </c>
      <c r="G78" s="44" t="n"/>
    </row>
    <row r="79" ht="15" customHeight="1">
      <c r="A79" s="41" t="inlineStr">
        <is>
          <t>2029-03</t>
        </is>
      </c>
      <c r="B79" s="41" t="n">
        <v>74</v>
      </c>
      <c r="C79" s="42" t="n"/>
      <c r="D79" s="43">
        <f>PARAM!$E$10/(1+EXP(-PARAM!$E$14*(B79-PARAM!$E$18)))</f>
        <v/>
      </c>
      <c r="E79" s="43">
        <f>PARAM!$E$10/(1+EXP(-PARAM!$E$14*(B79-PARAM!$E$18)))</f>
        <v/>
      </c>
      <c r="F79" s="43">
        <f>(PARAM!$E$10+0.05*MIN(MAX((B79-41)/3,0),1))/(1+EXP(-(PARAM!$E$14+0.02*MIN(MAX((B79-41)/3,0),1))*(B79-PARAM!$E$18)))</f>
        <v/>
      </c>
      <c r="G79" s="44" t="n"/>
    </row>
    <row r="80" ht="15" customHeight="1">
      <c r="A80" s="41" t="inlineStr">
        <is>
          <t>2029-04</t>
        </is>
      </c>
      <c r="B80" s="41" t="n">
        <v>75</v>
      </c>
      <c r="C80" s="42" t="n"/>
      <c r="D80" s="43">
        <f>PARAM!$E$10/(1+EXP(-PARAM!$E$14*(B80-PARAM!$E$18)))</f>
        <v/>
      </c>
      <c r="E80" s="43">
        <f>PARAM!$E$10/(1+EXP(-PARAM!$E$14*(B80-PARAM!$E$18)))</f>
        <v/>
      </c>
      <c r="F80" s="43">
        <f>(PARAM!$E$10+0.05*MIN(MAX((B80-41)/3,0),1))/(1+EXP(-(PARAM!$E$14+0.02*MIN(MAX((B80-41)/3,0),1))*(B80-PARAM!$E$18)))</f>
        <v/>
      </c>
      <c r="G80" s="44" t="n"/>
    </row>
    <row r="81" ht="15" customHeight="1">
      <c r="A81" s="41" t="inlineStr">
        <is>
          <t>2029-05</t>
        </is>
      </c>
      <c r="B81" s="41" t="n">
        <v>76</v>
      </c>
      <c r="C81" s="42" t="n"/>
      <c r="D81" s="43">
        <f>PARAM!$E$10/(1+EXP(-PARAM!$E$14*(B81-PARAM!$E$18)))</f>
        <v/>
      </c>
      <c r="E81" s="43">
        <f>PARAM!$E$10/(1+EXP(-PARAM!$E$14*(B81-PARAM!$E$18)))</f>
        <v/>
      </c>
      <c r="F81" s="43">
        <f>(PARAM!$E$10+0.05*MIN(MAX((B81-41)/3,0),1))/(1+EXP(-(PARAM!$E$14+0.02*MIN(MAX((B81-41)/3,0),1))*(B81-PARAM!$E$18)))</f>
        <v/>
      </c>
      <c r="G81" s="44" t="n"/>
    </row>
    <row r="84" ht="20" customHeight="1">
      <c r="A84" s="45" t="inlineStr">
        <is>
          <t>【 ING02  アトルバスタチン 】  L=PARAM_L_ING02  k=PARAM_k_ING02  x0=PARAM_x0_ING02</t>
        </is>
      </c>
    </row>
    <row r="85" ht="18" customHeight="1">
      <c r="A85" s="3" t="inlineStr">
        <is>
          <t>period</t>
        </is>
      </c>
      <c r="B85" s="3" t="inlineStr">
        <is>
          <t>month_index</t>
        </is>
      </c>
      <c r="C85" s="3" t="inlineStr">
        <is>
          <t>actual_penetration</t>
        </is>
      </c>
      <c r="D85" s="3" t="inlineStr">
        <is>
          <t>logistic_fitted（base）</t>
        </is>
      </c>
      <c r="E85" s="3" t="inlineStr">
        <is>
          <t>forecast_excluded</t>
        </is>
      </c>
      <c r="F85" s="3" t="inlineStr">
        <is>
          <t>forecast_adjusted（制度変更反映）</t>
        </is>
      </c>
      <c r="G85" s="3" t="inlineStr">
        <is>
          <t>備考</t>
        </is>
      </c>
    </row>
    <row r="86" ht="15" customHeight="1">
      <c r="A86" s="37" t="inlineStr">
        <is>
          <t>2023-01</t>
        </is>
      </c>
      <c r="B86" s="37" t="n">
        <v>0</v>
      </c>
      <c r="C86" s="38" t="n">
        <v>0.7494</v>
      </c>
      <c r="D86" s="38">
        <f>PARAM!$E$11/(1+EXP(-PARAM!$E$15*(B86-PARAM!$E$19)))</f>
        <v/>
      </c>
      <c r="E86" s="39" t="n"/>
      <c r="F86" s="39" t="n"/>
      <c r="G86" s="40" t="inlineStr">
        <is>
          <t>← 実績開始 (month_index=0)</t>
        </is>
      </c>
    </row>
    <row r="87" ht="15" customHeight="1">
      <c r="A87" s="37" t="inlineStr">
        <is>
          <t>2023-02</t>
        </is>
      </c>
      <c r="B87" s="37" t="n">
        <v>1</v>
      </c>
      <c r="C87" s="38" t="n">
        <v>0.7296</v>
      </c>
      <c r="D87" s="38">
        <f>PARAM!$E$11/(1+EXP(-PARAM!$E$15*(B87-PARAM!$E$19)))</f>
        <v/>
      </c>
      <c r="E87" s="39" t="n"/>
      <c r="F87" s="39" t="n"/>
      <c r="G87" s="40" t="n"/>
    </row>
    <row r="88" ht="15" customHeight="1">
      <c r="A88" s="37" t="inlineStr">
        <is>
          <t>2023-03</t>
        </is>
      </c>
      <c r="B88" s="37" t="n">
        <v>2</v>
      </c>
      <c r="C88" s="38" t="n">
        <v>0.7335</v>
      </c>
      <c r="D88" s="38">
        <f>PARAM!$E$11/(1+EXP(-PARAM!$E$15*(B88-PARAM!$E$19)))</f>
        <v/>
      </c>
      <c r="E88" s="39" t="n"/>
      <c r="F88" s="39" t="n"/>
      <c r="G88" s="40" t="n"/>
    </row>
    <row r="89" ht="15" customHeight="1">
      <c r="A89" s="37" t="inlineStr">
        <is>
          <t>2023-04</t>
        </is>
      </c>
      <c r="B89" s="37" t="n">
        <v>3</v>
      </c>
      <c r="C89" s="38" t="n">
        <v>0.7645</v>
      </c>
      <c r="D89" s="38">
        <f>PARAM!$E$11/(1+EXP(-PARAM!$E$15*(B89-PARAM!$E$19)))</f>
        <v/>
      </c>
      <c r="E89" s="39" t="n"/>
      <c r="F89" s="39" t="n"/>
      <c r="G89" s="40" t="n"/>
    </row>
    <row r="90" ht="15" customHeight="1">
      <c r="A90" s="37" t="inlineStr">
        <is>
          <t>2023-05</t>
        </is>
      </c>
      <c r="B90" s="37" t="n">
        <v>4</v>
      </c>
      <c r="C90" s="38" t="n">
        <v>0.7641</v>
      </c>
      <c r="D90" s="38">
        <f>PARAM!$E$11/(1+EXP(-PARAM!$E$15*(B90-PARAM!$E$19)))</f>
        <v/>
      </c>
      <c r="E90" s="39" t="n"/>
      <c r="F90" s="39" t="n"/>
      <c r="G90" s="40" t="n"/>
    </row>
    <row r="91" ht="15" customHeight="1">
      <c r="A91" s="37" t="inlineStr">
        <is>
          <t>2023-06</t>
        </is>
      </c>
      <c r="B91" s="37" t="n">
        <v>5</v>
      </c>
      <c r="C91" s="38" t="n">
        <v>0.7559</v>
      </c>
      <c r="D91" s="38">
        <f>PARAM!$E$11/(1+EXP(-PARAM!$E$15*(B91-PARAM!$E$19)))</f>
        <v/>
      </c>
      <c r="E91" s="39" t="n"/>
      <c r="F91" s="39" t="n"/>
      <c r="G91" s="40" t="n"/>
    </row>
    <row r="92" ht="15" customHeight="1">
      <c r="A92" s="37" t="inlineStr">
        <is>
          <t>2023-07</t>
        </is>
      </c>
      <c r="B92" s="37" t="n">
        <v>6</v>
      </c>
      <c r="C92" s="38" t="n">
        <v>0.7772</v>
      </c>
      <c r="D92" s="38">
        <f>PARAM!$E$11/(1+EXP(-PARAM!$E$15*(B92-PARAM!$E$19)))</f>
        <v/>
      </c>
      <c r="E92" s="39" t="n"/>
      <c r="F92" s="39" t="n"/>
      <c r="G92" s="40" t="n"/>
    </row>
    <row r="93" ht="15" customHeight="1">
      <c r="A93" s="37" t="inlineStr">
        <is>
          <t>2023-08</t>
        </is>
      </c>
      <c r="B93" s="37" t="n">
        <v>7</v>
      </c>
      <c r="C93" s="38" t="n">
        <v>0.7766999999999999</v>
      </c>
      <c r="D93" s="38">
        <f>PARAM!$E$11/(1+EXP(-PARAM!$E$15*(B93-PARAM!$E$19)))</f>
        <v/>
      </c>
      <c r="E93" s="39" t="n"/>
      <c r="F93" s="39" t="n"/>
      <c r="G93" s="40" t="n"/>
    </row>
    <row r="94" ht="15" customHeight="1">
      <c r="A94" s="37" t="inlineStr">
        <is>
          <t>2023-09</t>
        </is>
      </c>
      <c r="B94" s="37" t="n">
        <v>8</v>
      </c>
      <c r="C94" s="38" t="n">
        <v>0.7842</v>
      </c>
      <c r="D94" s="38">
        <f>PARAM!$E$11/(1+EXP(-PARAM!$E$15*(B94-PARAM!$E$19)))</f>
        <v/>
      </c>
      <c r="E94" s="39" t="n"/>
      <c r="F94" s="39" t="n"/>
      <c r="G94" s="40" t="n"/>
    </row>
    <row r="95" ht="15" customHeight="1">
      <c r="A95" s="37" t="inlineStr">
        <is>
          <t>2023-10</t>
        </is>
      </c>
      <c r="B95" s="37" t="n">
        <v>9</v>
      </c>
      <c r="C95" s="38" t="n">
        <v>0.7714</v>
      </c>
      <c r="D95" s="38">
        <f>PARAM!$E$11/(1+EXP(-PARAM!$E$15*(B95-PARAM!$E$19)))</f>
        <v/>
      </c>
      <c r="E95" s="39" t="n"/>
      <c r="F95" s="39" t="n"/>
      <c r="G95" s="40" t="n"/>
    </row>
    <row r="96" ht="15" customHeight="1">
      <c r="A96" s="37" t="inlineStr">
        <is>
          <t>2023-11</t>
        </is>
      </c>
      <c r="B96" s="37" t="n">
        <v>10</v>
      </c>
      <c r="C96" s="38" t="n">
        <v>0.8036</v>
      </c>
      <c r="D96" s="38">
        <f>PARAM!$E$11/(1+EXP(-PARAM!$E$15*(B96-PARAM!$E$19)))</f>
        <v/>
      </c>
      <c r="E96" s="39" t="n"/>
      <c r="F96" s="39" t="n"/>
      <c r="G96" s="40" t="n"/>
    </row>
    <row r="97" ht="15" customHeight="1">
      <c r="A97" s="37" t="inlineStr">
        <is>
          <t>2023-12</t>
        </is>
      </c>
      <c r="B97" s="37" t="n">
        <v>11</v>
      </c>
      <c r="C97" s="38" t="n">
        <v>0.7986</v>
      </c>
      <c r="D97" s="38">
        <f>PARAM!$E$11/(1+EXP(-PARAM!$E$15*(B97-PARAM!$E$19)))</f>
        <v/>
      </c>
      <c r="E97" s="39" t="n"/>
      <c r="F97" s="39" t="n"/>
      <c r="G97" s="40" t="n"/>
    </row>
    <row r="98" ht="15" customHeight="1">
      <c r="A98" s="37" t="inlineStr">
        <is>
          <t>2024-01</t>
        </is>
      </c>
      <c r="B98" s="37" t="n">
        <v>12</v>
      </c>
      <c r="C98" s="38" t="n">
        <v>0.7857</v>
      </c>
      <c r="D98" s="38">
        <f>PARAM!$E$11/(1+EXP(-PARAM!$E$15*(B98-PARAM!$E$19)))</f>
        <v/>
      </c>
      <c r="E98" s="39" t="n"/>
      <c r="F98" s="39" t="n"/>
      <c r="G98" s="40" t="n"/>
    </row>
    <row r="99" ht="15" customHeight="1">
      <c r="A99" s="37" t="inlineStr">
        <is>
          <t>2024-02</t>
        </is>
      </c>
      <c r="B99" s="37" t="n">
        <v>13</v>
      </c>
      <c r="C99" s="38" t="n">
        <v>0.8078</v>
      </c>
      <c r="D99" s="38">
        <f>PARAM!$E$11/(1+EXP(-PARAM!$E$15*(B99-PARAM!$E$19)))</f>
        <v/>
      </c>
      <c r="E99" s="39" t="n"/>
      <c r="F99" s="39" t="n"/>
      <c r="G99" s="40" t="n"/>
    </row>
    <row r="100" ht="15" customHeight="1">
      <c r="A100" s="37" t="inlineStr">
        <is>
          <t>2024-03</t>
        </is>
      </c>
      <c r="B100" s="37" t="n">
        <v>14</v>
      </c>
      <c r="C100" s="38" t="n">
        <v>0.8096</v>
      </c>
      <c r="D100" s="38">
        <f>PARAM!$E$11/(1+EXP(-PARAM!$E$15*(B100-PARAM!$E$19)))</f>
        <v/>
      </c>
      <c r="E100" s="39" t="n"/>
      <c r="F100" s="39" t="n"/>
      <c r="G100" s="40" t="n"/>
    </row>
    <row r="101" ht="15" customHeight="1">
      <c r="A101" s="37" t="inlineStr">
        <is>
          <t>2024-04</t>
        </is>
      </c>
      <c r="B101" s="37" t="n">
        <v>15</v>
      </c>
      <c r="C101" s="38" t="n">
        <v>0.8088</v>
      </c>
      <c r="D101" s="38">
        <f>PARAM!$E$11/(1+EXP(-PARAM!$E$15*(B101-PARAM!$E$19)))</f>
        <v/>
      </c>
      <c r="E101" s="39" t="n"/>
      <c r="F101" s="39" t="n"/>
      <c r="G101" s="40" t="n"/>
    </row>
    <row r="102" ht="15" customHeight="1">
      <c r="A102" s="37" t="inlineStr">
        <is>
          <t>2024-05</t>
        </is>
      </c>
      <c r="B102" s="37" t="n">
        <v>16</v>
      </c>
      <c r="C102" s="38" t="n">
        <v>0.8121</v>
      </c>
      <c r="D102" s="38">
        <f>PARAM!$E$11/(1+EXP(-PARAM!$E$15*(B102-PARAM!$E$19)))</f>
        <v/>
      </c>
      <c r="E102" s="39" t="n"/>
      <c r="F102" s="39" t="n"/>
      <c r="G102" s="40" t="n"/>
    </row>
    <row r="103" ht="15" customHeight="1">
      <c r="A103" s="37" t="inlineStr">
        <is>
          <t>2024-06</t>
        </is>
      </c>
      <c r="B103" s="37" t="n">
        <v>17</v>
      </c>
      <c r="C103" s="38" t="n">
        <v>0.8247</v>
      </c>
      <c r="D103" s="38">
        <f>PARAM!$E$11/(1+EXP(-PARAM!$E$15*(B103-PARAM!$E$19)))</f>
        <v/>
      </c>
      <c r="E103" s="39" t="n"/>
      <c r="F103" s="39" t="n"/>
      <c r="G103" s="40" t="n"/>
    </row>
    <row r="104" ht="15" customHeight="1">
      <c r="A104" s="37" t="inlineStr">
        <is>
          <t>2024-07</t>
        </is>
      </c>
      <c r="B104" s="37" t="n">
        <v>18</v>
      </c>
      <c r="C104" s="38" t="n">
        <v>0.8142</v>
      </c>
      <c r="D104" s="38">
        <f>PARAM!$E$11/(1+EXP(-PARAM!$E$15*(B104-PARAM!$E$19)))</f>
        <v/>
      </c>
      <c r="E104" s="39" t="n"/>
      <c r="F104" s="39" t="n"/>
      <c r="G104" s="40" t="n"/>
    </row>
    <row r="105" ht="15" customHeight="1">
      <c r="A105" s="37" t="inlineStr">
        <is>
          <t>2024-08</t>
        </is>
      </c>
      <c r="B105" s="37" t="n">
        <v>19</v>
      </c>
      <c r="C105" s="38" t="n">
        <v>0.8174</v>
      </c>
      <c r="D105" s="38">
        <f>PARAM!$E$11/(1+EXP(-PARAM!$E$15*(B105-PARAM!$E$19)))</f>
        <v/>
      </c>
      <c r="E105" s="39" t="n"/>
      <c r="F105" s="39" t="n"/>
      <c r="G105" s="40" t="n"/>
    </row>
    <row r="106" ht="15" customHeight="1">
      <c r="A106" s="37" t="inlineStr">
        <is>
          <t>2024-09</t>
        </is>
      </c>
      <c r="B106" s="37" t="n">
        <v>20</v>
      </c>
      <c r="C106" s="38" t="n">
        <v>0.8068</v>
      </c>
      <c r="D106" s="38">
        <f>PARAM!$E$11/(1+EXP(-PARAM!$E$15*(B106-PARAM!$E$19)))</f>
        <v/>
      </c>
      <c r="E106" s="39" t="n"/>
      <c r="F106" s="39" t="n"/>
      <c r="G106" s="40" t="n"/>
    </row>
    <row r="107" ht="15" customHeight="1">
      <c r="A107" s="37" t="inlineStr">
        <is>
          <t>2024-10</t>
        </is>
      </c>
      <c r="B107" s="37" t="n">
        <v>21</v>
      </c>
      <c r="C107" s="38" t="n">
        <v>0.8249</v>
      </c>
      <c r="D107" s="38">
        <f>PARAM!$E$11/(1+EXP(-PARAM!$E$15*(B107-PARAM!$E$19)))</f>
        <v/>
      </c>
      <c r="E107" s="39" t="n"/>
      <c r="F107" s="39" t="n"/>
      <c r="G107" s="40" t="n"/>
    </row>
    <row r="108" ht="15" customHeight="1">
      <c r="A108" s="37" t="inlineStr">
        <is>
          <t>2024-11</t>
        </is>
      </c>
      <c r="B108" s="37" t="n">
        <v>22</v>
      </c>
      <c r="C108" s="38" t="n">
        <v>0.8132</v>
      </c>
      <c r="D108" s="38">
        <f>PARAM!$E$11/(1+EXP(-PARAM!$E$15*(B108-PARAM!$E$19)))</f>
        <v/>
      </c>
      <c r="E108" s="39" t="n"/>
      <c r="F108" s="39" t="n"/>
      <c r="G108" s="40" t="n"/>
    </row>
    <row r="109" ht="15" customHeight="1">
      <c r="A109" s="37" t="inlineStr">
        <is>
          <t>2024-12</t>
        </is>
      </c>
      <c r="B109" s="37" t="n">
        <v>23</v>
      </c>
      <c r="C109" s="38" t="n">
        <v>0.8109</v>
      </c>
      <c r="D109" s="38">
        <f>PARAM!$E$11/(1+EXP(-PARAM!$E$15*(B109-PARAM!$E$19)))</f>
        <v/>
      </c>
      <c r="E109" s="39" t="n"/>
      <c r="F109" s="39" t="n"/>
      <c r="G109" s="40" t="n"/>
    </row>
    <row r="110" ht="15" customHeight="1">
      <c r="A110" s="37" t="inlineStr">
        <is>
          <t>2025-01</t>
        </is>
      </c>
      <c r="B110" s="37" t="n">
        <v>24</v>
      </c>
      <c r="C110" s="38" t="n">
        <v>0.8205</v>
      </c>
      <c r="D110" s="38">
        <f>PARAM!$E$11/(1+EXP(-PARAM!$E$15*(B110-PARAM!$E$19)))</f>
        <v/>
      </c>
      <c r="E110" s="39" t="n"/>
      <c r="F110" s="39" t="n"/>
      <c r="G110" s="40" t="n"/>
    </row>
    <row r="111" ht="15" customHeight="1">
      <c r="A111" s="37" t="inlineStr">
        <is>
          <t>2025-02</t>
        </is>
      </c>
      <c r="B111" s="37" t="n">
        <v>25</v>
      </c>
      <c r="C111" s="38" t="n">
        <v>0.8232</v>
      </c>
      <c r="D111" s="38">
        <f>PARAM!$E$11/(1+EXP(-PARAM!$E$15*(B111-PARAM!$E$19)))</f>
        <v/>
      </c>
      <c r="E111" s="39" t="n"/>
      <c r="F111" s="39" t="n"/>
      <c r="G111" s="40" t="n"/>
    </row>
    <row r="112" ht="15" customHeight="1">
      <c r="A112" s="37" t="inlineStr">
        <is>
          <t>2025-03</t>
        </is>
      </c>
      <c r="B112" s="37" t="n">
        <v>26</v>
      </c>
      <c r="C112" s="38" t="n">
        <v>0.8178</v>
      </c>
      <c r="D112" s="38">
        <f>PARAM!$E$11/(1+EXP(-PARAM!$E$15*(B112-PARAM!$E$19)))</f>
        <v/>
      </c>
      <c r="E112" s="39" t="n"/>
      <c r="F112" s="39" t="n"/>
      <c r="G112" s="40" t="n"/>
    </row>
    <row r="113" ht="15" customHeight="1">
      <c r="A113" s="37" t="inlineStr">
        <is>
          <t>2025-04</t>
        </is>
      </c>
      <c r="B113" s="37" t="n">
        <v>27</v>
      </c>
      <c r="C113" s="38" t="n">
        <v>0.8096</v>
      </c>
      <c r="D113" s="38">
        <f>PARAM!$E$11/(1+EXP(-PARAM!$E$15*(B113-PARAM!$E$19)))</f>
        <v/>
      </c>
      <c r="E113" s="39" t="n"/>
      <c r="F113" s="39" t="n"/>
      <c r="G113" s="40" t="n"/>
    </row>
    <row r="114" ht="15" customHeight="1">
      <c r="A114" s="37" t="inlineStr">
        <is>
          <t>2025-05</t>
        </is>
      </c>
      <c r="B114" s="37" t="n">
        <v>28</v>
      </c>
      <c r="C114" s="38" t="n">
        <v>0.8252</v>
      </c>
      <c r="D114" s="38">
        <f>PARAM!$E$11/(1+EXP(-PARAM!$E$15*(B114-PARAM!$E$19)))</f>
        <v/>
      </c>
      <c r="E114" s="39" t="n"/>
      <c r="F114" s="39" t="n"/>
      <c r="G114" s="40" t="n"/>
    </row>
    <row r="115" ht="15" customHeight="1">
      <c r="A115" s="37" t="inlineStr">
        <is>
          <t>2025-06</t>
        </is>
      </c>
      <c r="B115" s="37" t="n">
        <v>29</v>
      </c>
      <c r="C115" s="38" t="n">
        <v>0.8155</v>
      </c>
      <c r="D115" s="38">
        <f>PARAM!$E$11/(1+EXP(-PARAM!$E$15*(B115-PARAM!$E$19)))</f>
        <v/>
      </c>
      <c r="E115" s="39" t="n"/>
      <c r="F115" s="39" t="n"/>
      <c r="G115" s="40" t="n"/>
    </row>
    <row r="116" ht="15" customHeight="1">
      <c r="A116" s="37" t="inlineStr">
        <is>
          <t>2025-07</t>
        </is>
      </c>
      <c r="B116" s="37" t="n">
        <v>30</v>
      </c>
      <c r="C116" s="38" t="n">
        <v>0.8417</v>
      </c>
      <c r="D116" s="38">
        <f>PARAM!$E$11/(1+EXP(-PARAM!$E$15*(B116-PARAM!$E$19)))</f>
        <v/>
      </c>
      <c r="E116" s="39" t="n"/>
      <c r="F116" s="39" t="n"/>
      <c r="G116" s="40" t="n"/>
    </row>
    <row r="117" ht="15" customHeight="1">
      <c r="A117" s="37" t="inlineStr">
        <is>
          <t>2025-08</t>
        </is>
      </c>
      <c r="B117" s="37" t="n">
        <v>31</v>
      </c>
      <c r="C117" s="38" t="n">
        <v>0.8067</v>
      </c>
      <c r="D117" s="38">
        <f>PARAM!$E$11/(1+EXP(-PARAM!$E$15*(B117-PARAM!$E$19)))</f>
        <v/>
      </c>
      <c r="E117" s="39" t="n"/>
      <c r="F117" s="39" t="n"/>
      <c r="G117" s="40" t="n"/>
    </row>
    <row r="118" ht="15" customHeight="1">
      <c r="A118" s="37" t="inlineStr">
        <is>
          <t>2025-09</t>
        </is>
      </c>
      <c r="B118" s="37" t="n">
        <v>32</v>
      </c>
      <c r="C118" s="38" t="n">
        <v>0.8297</v>
      </c>
      <c r="D118" s="38">
        <f>PARAM!$E$11/(1+EXP(-PARAM!$E$15*(B118-PARAM!$E$19)))</f>
        <v/>
      </c>
      <c r="E118" s="39" t="n"/>
      <c r="F118" s="39" t="n"/>
      <c r="G118" s="40" t="n"/>
    </row>
    <row r="119" ht="15" customHeight="1">
      <c r="A119" s="37" t="inlineStr">
        <is>
          <t>2025-10</t>
        </is>
      </c>
      <c r="B119" s="37" t="n">
        <v>33</v>
      </c>
      <c r="C119" s="38" t="n">
        <v>0.8111</v>
      </c>
      <c r="D119" s="38">
        <f>PARAM!$E$11/(1+EXP(-PARAM!$E$15*(B119-PARAM!$E$19)))</f>
        <v/>
      </c>
      <c r="E119" s="39" t="n"/>
      <c r="F119" s="39" t="n"/>
      <c r="G119" s="40" t="n"/>
    </row>
    <row r="120" ht="15" customHeight="1">
      <c r="A120" s="37" t="inlineStr">
        <is>
          <t>2025-11</t>
        </is>
      </c>
      <c r="B120" s="37" t="n">
        <v>34</v>
      </c>
      <c r="C120" s="38" t="n">
        <v>0.8298</v>
      </c>
      <c r="D120" s="38">
        <f>PARAM!$E$11/(1+EXP(-PARAM!$E$15*(B120-PARAM!$E$19)))</f>
        <v/>
      </c>
      <c r="E120" s="39" t="n"/>
      <c r="F120" s="39" t="n"/>
      <c r="G120" s="40" t="n"/>
    </row>
    <row r="121" ht="15" customHeight="1">
      <c r="A121" s="37" t="inlineStr">
        <is>
          <t>2025-12</t>
        </is>
      </c>
      <c r="B121" s="37" t="n">
        <v>35</v>
      </c>
      <c r="C121" s="38" t="n">
        <v>0.8182</v>
      </c>
      <c r="D121" s="38">
        <f>PARAM!$E$11/(1+EXP(-PARAM!$E$15*(B121-PARAM!$E$19)))</f>
        <v/>
      </c>
      <c r="E121" s="39" t="n"/>
      <c r="F121" s="39" t="n"/>
      <c r="G121" s="40" t="n"/>
    </row>
    <row r="122" ht="15" customHeight="1">
      <c r="A122" s="37" t="inlineStr">
        <is>
          <t>2026-01</t>
        </is>
      </c>
      <c r="B122" s="37" t="n">
        <v>36</v>
      </c>
      <c r="C122" s="38" t="n">
        <v>0.8062</v>
      </c>
      <c r="D122" s="38">
        <f>PARAM!$E$11/(1+EXP(-PARAM!$E$15*(B122-PARAM!$E$19)))</f>
        <v/>
      </c>
      <c r="E122" s="39" t="n"/>
      <c r="F122" s="39" t="n"/>
      <c r="G122" s="40" t="n"/>
    </row>
    <row r="123" ht="15" customHeight="1">
      <c r="A123" s="37" t="inlineStr">
        <is>
          <t>2026-02</t>
        </is>
      </c>
      <c r="B123" s="37" t="n">
        <v>37</v>
      </c>
      <c r="C123" s="38" t="n">
        <v>0.8176</v>
      </c>
      <c r="D123" s="38">
        <f>PARAM!$E$11/(1+EXP(-PARAM!$E$15*(B123-PARAM!$E$19)))</f>
        <v/>
      </c>
      <c r="E123" s="39" t="n"/>
      <c r="F123" s="39" t="n"/>
      <c r="G123" s="40" t="n"/>
    </row>
    <row r="124" ht="15" customHeight="1">
      <c r="A124" s="37" t="inlineStr">
        <is>
          <t>2026-03</t>
        </is>
      </c>
      <c r="B124" s="37" t="n">
        <v>38</v>
      </c>
      <c r="C124" s="38" t="n">
        <v>0.8241000000000001</v>
      </c>
      <c r="D124" s="38">
        <f>PARAM!$E$11/(1+EXP(-PARAM!$E$15*(B124-PARAM!$E$19)))</f>
        <v/>
      </c>
      <c r="E124" s="39" t="n"/>
      <c r="F124" s="39" t="n"/>
      <c r="G124" s="40" t="n"/>
    </row>
    <row r="125" ht="15" customHeight="1">
      <c r="A125" s="37" t="inlineStr">
        <is>
          <t>2026-04</t>
        </is>
      </c>
      <c r="B125" s="37" t="n">
        <v>39</v>
      </c>
      <c r="C125" s="38" t="n">
        <v>0.8421</v>
      </c>
      <c r="D125" s="38">
        <f>PARAM!$E$11/(1+EXP(-PARAM!$E$15*(B125-PARAM!$E$19)))</f>
        <v/>
      </c>
      <c r="E125" s="39" t="n"/>
      <c r="F125" s="39" t="n"/>
      <c r="G125" s="40" t="n"/>
    </row>
    <row r="126" ht="15" customHeight="1">
      <c r="A126" s="37" t="inlineStr">
        <is>
          <t>2026-05</t>
        </is>
      </c>
      <c r="B126" s="37" t="n">
        <v>40</v>
      </c>
      <c r="C126" s="38" t="n">
        <v>0.8323</v>
      </c>
      <c r="D126" s="38">
        <f>PARAM!$E$11/(1+EXP(-PARAM!$E$15*(B126-PARAM!$E$19)))</f>
        <v/>
      </c>
      <c r="E126" s="39" t="n"/>
      <c r="F126" s="39" t="n"/>
      <c r="G126" s="40" t="n"/>
    </row>
    <row r="127" ht="15" customHeight="1">
      <c r="A127" s="41" t="inlineStr">
        <is>
          <t>2026-06</t>
        </is>
      </c>
      <c r="B127" s="41" t="n">
        <v>41</v>
      </c>
      <c r="C127" s="42" t="n"/>
      <c r="D127" s="43">
        <f>PARAM!$E$11/(1+EXP(-PARAM!$E$15*(B127-PARAM!$E$19)))</f>
        <v/>
      </c>
      <c r="E127" s="43">
        <f>PARAM!$E$11/(1+EXP(-PARAM!$E$15*(B127-PARAM!$E$19)))</f>
        <v/>
      </c>
      <c r="F127" s="43">
        <f>(PARAM!$E$11+0.05*MIN(MAX((B127-41)/3,0),1))/(1+EXP(-(PARAM!$E$15+0.02*MIN(MAX((B127-41)/3,0),1))*(B127-PARAM!$E$19)))</f>
        <v/>
      </c>
      <c r="G127" s="44" t="inlineStr">
        <is>
          <t>← 予測開始 (month_index=41, 2026-06)</t>
        </is>
      </c>
    </row>
    <row r="128" ht="15" customHeight="1">
      <c r="A128" s="41" t="inlineStr">
        <is>
          <t>2026-07</t>
        </is>
      </c>
      <c r="B128" s="41" t="n">
        <v>42</v>
      </c>
      <c r="C128" s="42" t="n"/>
      <c r="D128" s="43">
        <f>PARAM!$E$11/(1+EXP(-PARAM!$E$15*(B128-PARAM!$E$19)))</f>
        <v/>
      </c>
      <c r="E128" s="43">
        <f>PARAM!$E$11/(1+EXP(-PARAM!$E$15*(B128-PARAM!$E$19)))</f>
        <v/>
      </c>
      <c r="F128" s="43">
        <f>(PARAM!$E$11+0.05*MIN(MAX((B128-41)/3,0),1))/(1+EXP(-(PARAM!$E$15+0.02*MIN(MAX((B128-41)/3,0),1))*(B128-PARAM!$E$19)))</f>
        <v/>
      </c>
      <c r="G128" s="44" t="n"/>
    </row>
    <row r="129" ht="15" customHeight="1">
      <c r="A129" s="41" t="inlineStr">
        <is>
          <t>2026-08</t>
        </is>
      </c>
      <c r="B129" s="41" t="n">
        <v>43</v>
      </c>
      <c r="C129" s="42" t="n"/>
      <c r="D129" s="43">
        <f>PARAM!$E$11/(1+EXP(-PARAM!$E$15*(B129-PARAM!$E$19)))</f>
        <v/>
      </c>
      <c r="E129" s="43">
        <f>PARAM!$E$11/(1+EXP(-PARAM!$E$15*(B129-PARAM!$E$19)))</f>
        <v/>
      </c>
      <c r="F129" s="43">
        <f>(PARAM!$E$11+0.05*MIN(MAX((B129-41)/3,0),1))/(1+EXP(-(PARAM!$E$15+0.02*MIN(MAX((B129-41)/3,0),1))*(B129-PARAM!$E$19)))</f>
        <v/>
      </c>
      <c r="G129" s="44" t="n"/>
    </row>
    <row r="130" ht="15" customHeight="1">
      <c r="A130" s="41" t="inlineStr">
        <is>
          <t>2026-09</t>
        </is>
      </c>
      <c r="B130" s="41" t="n">
        <v>44</v>
      </c>
      <c r="C130" s="42" t="n"/>
      <c r="D130" s="43">
        <f>PARAM!$E$11/(1+EXP(-PARAM!$E$15*(B130-PARAM!$E$19)))</f>
        <v/>
      </c>
      <c r="E130" s="43">
        <f>PARAM!$E$11/(1+EXP(-PARAM!$E$15*(B130-PARAM!$E$19)))</f>
        <v/>
      </c>
      <c r="F130" s="43">
        <f>(PARAM!$E$11+0.05*MIN(MAX((B130-41)/3,0),1))/(1+EXP(-(PARAM!$E$15+0.02*MIN(MAX((B130-41)/3,0),1))*(B130-PARAM!$E$19)))</f>
        <v/>
      </c>
      <c r="G130" s="44" t="inlineStr">
        <is>
          <t>← 制度イベント 全効果発効 (month_index=44, 2026-09)</t>
        </is>
      </c>
    </row>
    <row r="131" ht="15" customHeight="1">
      <c r="A131" s="41" t="inlineStr">
        <is>
          <t>2026-10</t>
        </is>
      </c>
      <c r="B131" s="41" t="n">
        <v>45</v>
      </c>
      <c r="C131" s="42" t="n"/>
      <c r="D131" s="43">
        <f>PARAM!$E$11/(1+EXP(-PARAM!$E$15*(B131-PARAM!$E$19)))</f>
        <v/>
      </c>
      <c r="E131" s="43">
        <f>PARAM!$E$11/(1+EXP(-PARAM!$E$15*(B131-PARAM!$E$19)))</f>
        <v/>
      </c>
      <c r="F131" s="43">
        <f>(PARAM!$E$11+0.05*MIN(MAX((B131-41)/3,0),1))/(1+EXP(-(PARAM!$E$15+0.02*MIN(MAX((B131-41)/3,0),1))*(B131-PARAM!$E$19)))</f>
        <v/>
      </c>
      <c r="G131" s="44" t="n"/>
    </row>
    <row r="132" ht="15" customHeight="1">
      <c r="A132" s="41" t="inlineStr">
        <is>
          <t>2026-11</t>
        </is>
      </c>
      <c r="B132" s="41" t="n">
        <v>46</v>
      </c>
      <c r="C132" s="42" t="n"/>
      <c r="D132" s="43">
        <f>PARAM!$E$11/(1+EXP(-PARAM!$E$15*(B132-PARAM!$E$19)))</f>
        <v/>
      </c>
      <c r="E132" s="43">
        <f>PARAM!$E$11/(1+EXP(-PARAM!$E$15*(B132-PARAM!$E$19)))</f>
        <v/>
      </c>
      <c r="F132" s="43">
        <f>(PARAM!$E$11+0.05*MIN(MAX((B132-41)/3,0),1))/(1+EXP(-(PARAM!$E$15+0.02*MIN(MAX((B132-41)/3,0),1))*(B132-PARAM!$E$19)))</f>
        <v/>
      </c>
      <c r="G132" s="44" t="n"/>
    </row>
    <row r="133" ht="15" customHeight="1">
      <c r="A133" s="41" t="inlineStr">
        <is>
          <t>2026-12</t>
        </is>
      </c>
      <c r="B133" s="41" t="n">
        <v>47</v>
      </c>
      <c r="C133" s="42" t="n"/>
      <c r="D133" s="43">
        <f>PARAM!$E$11/(1+EXP(-PARAM!$E$15*(B133-PARAM!$E$19)))</f>
        <v/>
      </c>
      <c r="E133" s="43">
        <f>PARAM!$E$11/(1+EXP(-PARAM!$E$15*(B133-PARAM!$E$19)))</f>
        <v/>
      </c>
      <c r="F133" s="43">
        <f>(PARAM!$E$11+0.05*MIN(MAX((B133-41)/3,0),1))/(1+EXP(-(PARAM!$E$15+0.02*MIN(MAX((B133-41)/3,0),1))*(B133-PARAM!$E$19)))</f>
        <v/>
      </c>
      <c r="G133" s="44" t="n"/>
    </row>
    <row r="134" ht="15" customHeight="1">
      <c r="A134" s="41" t="inlineStr">
        <is>
          <t>2027-01</t>
        </is>
      </c>
      <c r="B134" s="41" t="n">
        <v>48</v>
      </c>
      <c r="C134" s="42" t="n"/>
      <c r="D134" s="43">
        <f>PARAM!$E$11/(1+EXP(-PARAM!$E$15*(B134-PARAM!$E$19)))</f>
        <v/>
      </c>
      <c r="E134" s="43">
        <f>PARAM!$E$11/(1+EXP(-PARAM!$E$15*(B134-PARAM!$E$19)))</f>
        <v/>
      </c>
      <c r="F134" s="43">
        <f>(PARAM!$E$11+0.05*MIN(MAX((B134-41)/3,0),1))/(1+EXP(-(PARAM!$E$15+0.02*MIN(MAX((B134-41)/3,0),1))*(B134-PARAM!$E$19)))</f>
        <v/>
      </c>
      <c r="G134" s="44" t="n"/>
    </row>
    <row r="135" ht="15" customHeight="1">
      <c r="A135" s="41" t="inlineStr">
        <is>
          <t>2027-02</t>
        </is>
      </c>
      <c r="B135" s="41" t="n">
        <v>49</v>
      </c>
      <c r="C135" s="42" t="n"/>
      <c r="D135" s="43">
        <f>PARAM!$E$11/(1+EXP(-PARAM!$E$15*(B135-PARAM!$E$19)))</f>
        <v/>
      </c>
      <c r="E135" s="43">
        <f>PARAM!$E$11/(1+EXP(-PARAM!$E$15*(B135-PARAM!$E$19)))</f>
        <v/>
      </c>
      <c r="F135" s="43">
        <f>(PARAM!$E$11+0.05*MIN(MAX((B135-41)/3,0),1))/(1+EXP(-(PARAM!$E$15+0.02*MIN(MAX((B135-41)/3,0),1))*(B135-PARAM!$E$19)))</f>
        <v/>
      </c>
      <c r="G135" s="44" t="n"/>
    </row>
    <row r="136" ht="15" customHeight="1">
      <c r="A136" s="41" t="inlineStr">
        <is>
          <t>2027-03</t>
        </is>
      </c>
      <c r="B136" s="41" t="n">
        <v>50</v>
      </c>
      <c r="C136" s="42" t="n"/>
      <c r="D136" s="43">
        <f>PARAM!$E$11/(1+EXP(-PARAM!$E$15*(B136-PARAM!$E$19)))</f>
        <v/>
      </c>
      <c r="E136" s="43">
        <f>PARAM!$E$11/(1+EXP(-PARAM!$E$15*(B136-PARAM!$E$19)))</f>
        <v/>
      </c>
      <c r="F136" s="43">
        <f>(PARAM!$E$11+0.05*MIN(MAX((B136-41)/3,0),1))/(1+EXP(-(PARAM!$E$15+0.02*MIN(MAX((B136-41)/3,0),1))*(B136-PARAM!$E$19)))</f>
        <v/>
      </c>
      <c r="G136" s="44" t="n"/>
    </row>
    <row r="137" ht="15" customHeight="1">
      <c r="A137" s="41" t="inlineStr">
        <is>
          <t>2027-04</t>
        </is>
      </c>
      <c r="B137" s="41" t="n">
        <v>51</v>
      </c>
      <c r="C137" s="42" t="n"/>
      <c r="D137" s="43">
        <f>PARAM!$E$11/(1+EXP(-PARAM!$E$15*(B137-PARAM!$E$19)))</f>
        <v/>
      </c>
      <c r="E137" s="43">
        <f>PARAM!$E$11/(1+EXP(-PARAM!$E$15*(B137-PARAM!$E$19)))</f>
        <v/>
      </c>
      <c r="F137" s="43">
        <f>(PARAM!$E$11+0.05*MIN(MAX((B137-41)/3,0),1))/(1+EXP(-(PARAM!$E$15+0.02*MIN(MAX((B137-41)/3,0),1))*(B137-PARAM!$E$19)))</f>
        <v/>
      </c>
      <c r="G137" s="44" t="n"/>
    </row>
    <row r="138" ht="15" customHeight="1">
      <c r="A138" s="41" t="inlineStr">
        <is>
          <t>2027-05</t>
        </is>
      </c>
      <c r="B138" s="41" t="n">
        <v>52</v>
      </c>
      <c r="C138" s="42" t="n"/>
      <c r="D138" s="43">
        <f>PARAM!$E$11/(1+EXP(-PARAM!$E$15*(B138-PARAM!$E$19)))</f>
        <v/>
      </c>
      <c r="E138" s="43">
        <f>PARAM!$E$11/(1+EXP(-PARAM!$E$15*(B138-PARAM!$E$19)))</f>
        <v/>
      </c>
      <c r="F138" s="43">
        <f>(PARAM!$E$11+0.05*MIN(MAX((B138-41)/3,0),1))/(1+EXP(-(PARAM!$E$15+0.02*MIN(MAX((B138-41)/3,0),1))*(B138-PARAM!$E$19)))</f>
        <v/>
      </c>
      <c r="G138" s="44" t="n"/>
    </row>
    <row r="139" ht="15" customHeight="1">
      <c r="A139" s="41" t="inlineStr">
        <is>
          <t>2027-06</t>
        </is>
      </c>
      <c r="B139" s="41" t="n">
        <v>53</v>
      </c>
      <c r="C139" s="42" t="n"/>
      <c r="D139" s="43">
        <f>PARAM!$E$11/(1+EXP(-PARAM!$E$15*(B139-PARAM!$E$19)))</f>
        <v/>
      </c>
      <c r="E139" s="43">
        <f>PARAM!$E$11/(1+EXP(-PARAM!$E$15*(B139-PARAM!$E$19)))</f>
        <v/>
      </c>
      <c r="F139" s="43">
        <f>(PARAM!$E$11+0.05*MIN(MAX((B139-41)/3,0),1))/(1+EXP(-(PARAM!$E$15+0.02*MIN(MAX((B139-41)/3,0),1))*(B139-PARAM!$E$19)))</f>
        <v/>
      </c>
      <c r="G139" s="44" t="n"/>
    </row>
    <row r="140" ht="15" customHeight="1">
      <c r="A140" s="41" t="inlineStr">
        <is>
          <t>2027-07</t>
        </is>
      </c>
      <c r="B140" s="41" t="n">
        <v>54</v>
      </c>
      <c r="C140" s="42" t="n"/>
      <c r="D140" s="43">
        <f>PARAM!$E$11/(1+EXP(-PARAM!$E$15*(B140-PARAM!$E$19)))</f>
        <v/>
      </c>
      <c r="E140" s="43">
        <f>PARAM!$E$11/(1+EXP(-PARAM!$E$15*(B140-PARAM!$E$19)))</f>
        <v/>
      </c>
      <c r="F140" s="43">
        <f>(PARAM!$E$11+0.05*MIN(MAX((B140-41)/3,0),1))/(1+EXP(-(PARAM!$E$15+0.02*MIN(MAX((B140-41)/3,0),1))*(B140-PARAM!$E$19)))</f>
        <v/>
      </c>
      <c r="G140" s="44" t="n"/>
    </row>
    <row r="141" ht="15" customHeight="1">
      <c r="A141" s="41" t="inlineStr">
        <is>
          <t>2027-08</t>
        </is>
      </c>
      <c r="B141" s="41" t="n">
        <v>55</v>
      </c>
      <c r="C141" s="42" t="n"/>
      <c r="D141" s="43">
        <f>PARAM!$E$11/(1+EXP(-PARAM!$E$15*(B141-PARAM!$E$19)))</f>
        <v/>
      </c>
      <c r="E141" s="43">
        <f>PARAM!$E$11/(1+EXP(-PARAM!$E$15*(B141-PARAM!$E$19)))</f>
        <v/>
      </c>
      <c r="F141" s="43">
        <f>(PARAM!$E$11+0.05*MIN(MAX((B141-41)/3,0),1))/(1+EXP(-(PARAM!$E$15+0.02*MIN(MAX((B141-41)/3,0),1))*(B141-PARAM!$E$19)))</f>
        <v/>
      </c>
      <c r="G141" s="44" t="n"/>
    </row>
    <row r="142" ht="15" customHeight="1">
      <c r="A142" s="41" t="inlineStr">
        <is>
          <t>2027-09</t>
        </is>
      </c>
      <c r="B142" s="41" t="n">
        <v>56</v>
      </c>
      <c r="C142" s="42" t="n"/>
      <c r="D142" s="43">
        <f>PARAM!$E$11/(1+EXP(-PARAM!$E$15*(B142-PARAM!$E$19)))</f>
        <v/>
      </c>
      <c r="E142" s="43">
        <f>PARAM!$E$11/(1+EXP(-PARAM!$E$15*(B142-PARAM!$E$19)))</f>
        <v/>
      </c>
      <c r="F142" s="43">
        <f>(PARAM!$E$11+0.05*MIN(MAX((B142-41)/3,0),1))/(1+EXP(-(PARAM!$E$15+0.02*MIN(MAX((B142-41)/3,0),1))*(B142-PARAM!$E$19)))</f>
        <v/>
      </c>
      <c r="G142" s="44" t="n"/>
    </row>
    <row r="143" ht="15" customHeight="1">
      <c r="A143" s="41" t="inlineStr">
        <is>
          <t>2027-10</t>
        </is>
      </c>
      <c r="B143" s="41" t="n">
        <v>57</v>
      </c>
      <c r="C143" s="42" t="n"/>
      <c r="D143" s="43">
        <f>PARAM!$E$11/(1+EXP(-PARAM!$E$15*(B143-PARAM!$E$19)))</f>
        <v/>
      </c>
      <c r="E143" s="43">
        <f>PARAM!$E$11/(1+EXP(-PARAM!$E$15*(B143-PARAM!$E$19)))</f>
        <v/>
      </c>
      <c r="F143" s="43">
        <f>(PARAM!$E$11+0.05*MIN(MAX((B143-41)/3,0),1))/(1+EXP(-(PARAM!$E$15+0.02*MIN(MAX((B143-41)/3,0),1))*(B143-PARAM!$E$19)))</f>
        <v/>
      </c>
      <c r="G143" s="44" t="n"/>
    </row>
    <row r="144" ht="15" customHeight="1">
      <c r="A144" s="41" t="inlineStr">
        <is>
          <t>2027-11</t>
        </is>
      </c>
      <c r="B144" s="41" t="n">
        <v>58</v>
      </c>
      <c r="C144" s="42" t="n"/>
      <c r="D144" s="43">
        <f>PARAM!$E$11/(1+EXP(-PARAM!$E$15*(B144-PARAM!$E$19)))</f>
        <v/>
      </c>
      <c r="E144" s="43">
        <f>PARAM!$E$11/(1+EXP(-PARAM!$E$15*(B144-PARAM!$E$19)))</f>
        <v/>
      </c>
      <c r="F144" s="43">
        <f>(PARAM!$E$11+0.05*MIN(MAX((B144-41)/3,0),1))/(1+EXP(-(PARAM!$E$15+0.02*MIN(MAX((B144-41)/3,0),1))*(B144-PARAM!$E$19)))</f>
        <v/>
      </c>
      <c r="G144" s="44" t="n"/>
    </row>
    <row r="145" ht="15" customHeight="1">
      <c r="A145" s="41" t="inlineStr">
        <is>
          <t>2027-12</t>
        </is>
      </c>
      <c r="B145" s="41" t="n">
        <v>59</v>
      </c>
      <c r="C145" s="42" t="n"/>
      <c r="D145" s="43">
        <f>PARAM!$E$11/(1+EXP(-PARAM!$E$15*(B145-PARAM!$E$19)))</f>
        <v/>
      </c>
      <c r="E145" s="43">
        <f>PARAM!$E$11/(1+EXP(-PARAM!$E$15*(B145-PARAM!$E$19)))</f>
        <v/>
      </c>
      <c r="F145" s="43">
        <f>(PARAM!$E$11+0.05*MIN(MAX((B145-41)/3,0),1))/(1+EXP(-(PARAM!$E$15+0.02*MIN(MAX((B145-41)/3,0),1))*(B145-PARAM!$E$19)))</f>
        <v/>
      </c>
      <c r="G145" s="44" t="n"/>
    </row>
    <row r="146" ht="15" customHeight="1">
      <c r="A146" s="41" t="inlineStr">
        <is>
          <t>2028-01</t>
        </is>
      </c>
      <c r="B146" s="41" t="n">
        <v>60</v>
      </c>
      <c r="C146" s="42" t="n"/>
      <c r="D146" s="43">
        <f>PARAM!$E$11/(1+EXP(-PARAM!$E$15*(B146-PARAM!$E$19)))</f>
        <v/>
      </c>
      <c r="E146" s="43">
        <f>PARAM!$E$11/(1+EXP(-PARAM!$E$15*(B146-PARAM!$E$19)))</f>
        <v/>
      </c>
      <c r="F146" s="43">
        <f>(PARAM!$E$11+0.05*MIN(MAX((B146-41)/3,0),1))/(1+EXP(-(PARAM!$E$15+0.02*MIN(MAX((B146-41)/3,0),1))*(B146-PARAM!$E$19)))</f>
        <v/>
      </c>
      <c r="G146" s="44" t="n"/>
    </row>
    <row r="147" ht="15" customHeight="1">
      <c r="A147" s="41" t="inlineStr">
        <is>
          <t>2028-02</t>
        </is>
      </c>
      <c r="B147" s="41" t="n">
        <v>61</v>
      </c>
      <c r="C147" s="42" t="n"/>
      <c r="D147" s="43">
        <f>PARAM!$E$11/(1+EXP(-PARAM!$E$15*(B147-PARAM!$E$19)))</f>
        <v/>
      </c>
      <c r="E147" s="43">
        <f>PARAM!$E$11/(1+EXP(-PARAM!$E$15*(B147-PARAM!$E$19)))</f>
        <v/>
      </c>
      <c r="F147" s="43">
        <f>(PARAM!$E$11+0.05*MIN(MAX((B147-41)/3,0),1))/(1+EXP(-(PARAM!$E$15+0.02*MIN(MAX((B147-41)/3,0),1))*(B147-PARAM!$E$19)))</f>
        <v/>
      </c>
      <c r="G147" s="44" t="n"/>
    </row>
    <row r="148" ht="15" customHeight="1">
      <c r="A148" s="41" t="inlineStr">
        <is>
          <t>2028-03</t>
        </is>
      </c>
      <c r="B148" s="41" t="n">
        <v>62</v>
      </c>
      <c r="C148" s="42" t="n"/>
      <c r="D148" s="43">
        <f>PARAM!$E$11/(1+EXP(-PARAM!$E$15*(B148-PARAM!$E$19)))</f>
        <v/>
      </c>
      <c r="E148" s="43">
        <f>PARAM!$E$11/(1+EXP(-PARAM!$E$15*(B148-PARAM!$E$19)))</f>
        <v/>
      </c>
      <c r="F148" s="43">
        <f>(PARAM!$E$11+0.05*MIN(MAX((B148-41)/3,0),1))/(1+EXP(-(PARAM!$E$15+0.02*MIN(MAX((B148-41)/3,0),1))*(B148-PARAM!$E$19)))</f>
        <v/>
      </c>
      <c r="G148" s="44" t="n"/>
    </row>
    <row r="149" ht="15" customHeight="1">
      <c r="A149" s="41" t="inlineStr">
        <is>
          <t>2028-04</t>
        </is>
      </c>
      <c r="B149" s="41" t="n">
        <v>63</v>
      </c>
      <c r="C149" s="42" t="n"/>
      <c r="D149" s="43">
        <f>PARAM!$E$11/(1+EXP(-PARAM!$E$15*(B149-PARAM!$E$19)))</f>
        <v/>
      </c>
      <c r="E149" s="43">
        <f>PARAM!$E$11/(1+EXP(-PARAM!$E$15*(B149-PARAM!$E$19)))</f>
        <v/>
      </c>
      <c r="F149" s="43">
        <f>(PARAM!$E$11+0.05*MIN(MAX((B149-41)/3,0),1))/(1+EXP(-(PARAM!$E$15+0.02*MIN(MAX((B149-41)/3,0),1))*(B149-PARAM!$E$19)))</f>
        <v/>
      </c>
      <c r="G149" s="44" t="n"/>
    </row>
    <row r="150" ht="15" customHeight="1">
      <c r="A150" s="41" t="inlineStr">
        <is>
          <t>2028-05</t>
        </is>
      </c>
      <c r="B150" s="41" t="n">
        <v>64</v>
      </c>
      <c r="C150" s="42" t="n"/>
      <c r="D150" s="43">
        <f>PARAM!$E$11/(1+EXP(-PARAM!$E$15*(B150-PARAM!$E$19)))</f>
        <v/>
      </c>
      <c r="E150" s="43">
        <f>PARAM!$E$11/(1+EXP(-PARAM!$E$15*(B150-PARAM!$E$19)))</f>
        <v/>
      </c>
      <c r="F150" s="43">
        <f>(PARAM!$E$11+0.05*MIN(MAX((B150-41)/3,0),1))/(1+EXP(-(PARAM!$E$15+0.02*MIN(MAX((B150-41)/3,0),1))*(B150-PARAM!$E$19)))</f>
        <v/>
      </c>
      <c r="G150" s="44" t="n"/>
    </row>
    <row r="151" ht="15" customHeight="1">
      <c r="A151" s="41" t="inlineStr">
        <is>
          <t>2028-06</t>
        </is>
      </c>
      <c r="B151" s="41" t="n">
        <v>65</v>
      </c>
      <c r="C151" s="42" t="n"/>
      <c r="D151" s="43">
        <f>PARAM!$E$11/(1+EXP(-PARAM!$E$15*(B151-PARAM!$E$19)))</f>
        <v/>
      </c>
      <c r="E151" s="43">
        <f>PARAM!$E$11/(1+EXP(-PARAM!$E$15*(B151-PARAM!$E$19)))</f>
        <v/>
      </c>
      <c r="F151" s="43">
        <f>(PARAM!$E$11+0.05*MIN(MAX((B151-41)/3,0),1))/(1+EXP(-(PARAM!$E$15+0.02*MIN(MAX((B151-41)/3,0),1))*(B151-PARAM!$E$19)))</f>
        <v/>
      </c>
      <c r="G151" s="44" t="n"/>
    </row>
    <row r="152" ht="15" customHeight="1">
      <c r="A152" s="41" t="inlineStr">
        <is>
          <t>2028-07</t>
        </is>
      </c>
      <c r="B152" s="41" t="n">
        <v>66</v>
      </c>
      <c r="C152" s="42" t="n"/>
      <c r="D152" s="43">
        <f>PARAM!$E$11/(1+EXP(-PARAM!$E$15*(B152-PARAM!$E$19)))</f>
        <v/>
      </c>
      <c r="E152" s="43">
        <f>PARAM!$E$11/(1+EXP(-PARAM!$E$15*(B152-PARAM!$E$19)))</f>
        <v/>
      </c>
      <c r="F152" s="43">
        <f>(PARAM!$E$11+0.05*MIN(MAX((B152-41)/3,0),1))/(1+EXP(-(PARAM!$E$15+0.02*MIN(MAX((B152-41)/3,0),1))*(B152-PARAM!$E$19)))</f>
        <v/>
      </c>
      <c r="G152" s="44" t="n"/>
    </row>
    <row r="153" ht="15" customHeight="1">
      <c r="A153" s="41" t="inlineStr">
        <is>
          <t>2028-08</t>
        </is>
      </c>
      <c r="B153" s="41" t="n">
        <v>67</v>
      </c>
      <c r="C153" s="42" t="n"/>
      <c r="D153" s="43">
        <f>PARAM!$E$11/(1+EXP(-PARAM!$E$15*(B153-PARAM!$E$19)))</f>
        <v/>
      </c>
      <c r="E153" s="43">
        <f>PARAM!$E$11/(1+EXP(-PARAM!$E$15*(B153-PARAM!$E$19)))</f>
        <v/>
      </c>
      <c r="F153" s="43">
        <f>(PARAM!$E$11+0.05*MIN(MAX((B153-41)/3,0),1))/(1+EXP(-(PARAM!$E$15+0.02*MIN(MAX((B153-41)/3,0),1))*(B153-PARAM!$E$19)))</f>
        <v/>
      </c>
      <c r="G153" s="44" t="n"/>
    </row>
    <row r="154" ht="15" customHeight="1">
      <c r="A154" s="41" t="inlineStr">
        <is>
          <t>2028-09</t>
        </is>
      </c>
      <c r="B154" s="41" t="n">
        <v>68</v>
      </c>
      <c r="C154" s="42" t="n"/>
      <c r="D154" s="43">
        <f>PARAM!$E$11/(1+EXP(-PARAM!$E$15*(B154-PARAM!$E$19)))</f>
        <v/>
      </c>
      <c r="E154" s="43">
        <f>PARAM!$E$11/(1+EXP(-PARAM!$E$15*(B154-PARAM!$E$19)))</f>
        <v/>
      </c>
      <c r="F154" s="43">
        <f>(PARAM!$E$11+0.05*MIN(MAX((B154-41)/3,0),1))/(1+EXP(-(PARAM!$E$15+0.02*MIN(MAX((B154-41)/3,0),1))*(B154-PARAM!$E$19)))</f>
        <v/>
      </c>
      <c r="G154" s="44" t="n"/>
    </row>
    <row r="155" ht="15" customHeight="1">
      <c r="A155" s="41" t="inlineStr">
        <is>
          <t>2028-10</t>
        </is>
      </c>
      <c r="B155" s="41" t="n">
        <v>69</v>
      </c>
      <c r="C155" s="42" t="n"/>
      <c r="D155" s="43">
        <f>PARAM!$E$11/(1+EXP(-PARAM!$E$15*(B155-PARAM!$E$19)))</f>
        <v/>
      </c>
      <c r="E155" s="43">
        <f>PARAM!$E$11/(1+EXP(-PARAM!$E$15*(B155-PARAM!$E$19)))</f>
        <v/>
      </c>
      <c r="F155" s="43">
        <f>(PARAM!$E$11+0.05*MIN(MAX((B155-41)/3,0),1))/(1+EXP(-(PARAM!$E$15+0.02*MIN(MAX((B155-41)/3,0),1))*(B155-PARAM!$E$19)))</f>
        <v/>
      </c>
      <c r="G155" s="44" t="n"/>
    </row>
    <row r="156" ht="15" customHeight="1">
      <c r="A156" s="41" t="inlineStr">
        <is>
          <t>2028-11</t>
        </is>
      </c>
      <c r="B156" s="41" t="n">
        <v>70</v>
      </c>
      <c r="C156" s="42" t="n"/>
      <c r="D156" s="43">
        <f>PARAM!$E$11/(1+EXP(-PARAM!$E$15*(B156-PARAM!$E$19)))</f>
        <v/>
      </c>
      <c r="E156" s="43">
        <f>PARAM!$E$11/(1+EXP(-PARAM!$E$15*(B156-PARAM!$E$19)))</f>
        <v/>
      </c>
      <c r="F156" s="43">
        <f>(PARAM!$E$11+0.05*MIN(MAX((B156-41)/3,0),1))/(1+EXP(-(PARAM!$E$15+0.02*MIN(MAX((B156-41)/3,0),1))*(B156-PARAM!$E$19)))</f>
        <v/>
      </c>
      <c r="G156" s="44" t="n"/>
    </row>
    <row r="157" ht="15" customHeight="1">
      <c r="A157" s="41" t="inlineStr">
        <is>
          <t>2028-12</t>
        </is>
      </c>
      <c r="B157" s="41" t="n">
        <v>71</v>
      </c>
      <c r="C157" s="42" t="n"/>
      <c r="D157" s="43">
        <f>PARAM!$E$11/(1+EXP(-PARAM!$E$15*(B157-PARAM!$E$19)))</f>
        <v/>
      </c>
      <c r="E157" s="43">
        <f>PARAM!$E$11/(1+EXP(-PARAM!$E$15*(B157-PARAM!$E$19)))</f>
        <v/>
      </c>
      <c r="F157" s="43">
        <f>(PARAM!$E$11+0.05*MIN(MAX((B157-41)/3,0),1))/(1+EXP(-(PARAM!$E$15+0.02*MIN(MAX((B157-41)/3,0),1))*(B157-PARAM!$E$19)))</f>
        <v/>
      </c>
      <c r="G157" s="44" t="n"/>
    </row>
    <row r="158" ht="15" customHeight="1">
      <c r="A158" s="41" t="inlineStr">
        <is>
          <t>2029-01</t>
        </is>
      </c>
      <c r="B158" s="41" t="n">
        <v>72</v>
      </c>
      <c r="C158" s="42" t="n"/>
      <c r="D158" s="43">
        <f>PARAM!$E$11/(1+EXP(-PARAM!$E$15*(B158-PARAM!$E$19)))</f>
        <v/>
      </c>
      <c r="E158" s="43">
        <f>PARAM!$E$11/(1+EXP(-PARAM!$E$15*(B158-PARAM!$E$19)))</f>
        <v/>
      </c>
      <c r="F158" s="43">
        <f>(PARAM!$E$11+0.05*MIN(MAX((B158-41)/3,0),1))/(1+EXP(-(PARAM!$E$15+0.02*MIN(MAX((B158-41)/3,0),1))*(B158-PARAM!$E$19)))</f>
        <v/>
      </c>
      <c r="G158" s="44" t="n"/>
    </row>
    <row r="159" ht="15" customHeight="1">
      <c r="A159" s="41" t="inlineStr">
        <is>
          <t>2029-02</t>
        </is>
      </c>
      <c r="B159" s="41" t="n">
        <v>73</v>
      </c>
      <c r="C159" s="42" t="n"/>
      <c r="D159" s="43">
        <f>PARAM!$E$11/(1+EXP(-PARAM!$E$15*(B159-PARAM!$E$19)))</f>
        <v/>
      </c>
      <c r="E159" s="43">
        <f>PARAM!$E$11/(1+EXP(-PARAM!$E$15*(B159-PARAM!$E$19)))</f>
        <v/>
      </c>
      <c r="F159" s="43">
        <f>(PARAM!$E$11+0.05*MIN(MAX((B159-41)/3,0),1))/(1+EXP(-(PARAM!$E$15+0.02*MIN(MAX((B159-41)/3,0),1))*(B159-PARAM!$E$19)))</f>
        <v/>
      </c>
      <c r="G159" s="44" t="n"/>
    </row>
    <row r="160" ht="15" customHeight="1">
      <c r="A160" s="41" t="inlineStr">
        <is>
          <t>2029-03</t>
        </is>
      </c>
      <c r="B160" s="41" t="n">
        <v>74</v>
      </c>
      <c r="C160" s="42" t="n"/>
      <c r="D160" s="43">
        <f>PARAM!$E$11/(1+EXP(-PARAM!$E$15*(B160-PARAM!$E$19)))</f>
        <v/>
      </c>
      <c r="E160" s="43">
        <f>PARAM!$E$11/(1+EXP(-PARAM!$E$15*(B160-PARAM!$E$19)))</f>
        <v/>
      </c>
      <c r="F160" s="43">
        <f>(PARAM!$E$11+0.05*MIN(MAX((B160-41)/3,0),1))/(1+EXP(-(PARAM!$E$15+0.02*MIN(MAX((B160-41)/3,0),1))*(B160-PARAM!$E$19)))</f>
        <v/>
      </c>
      <c r="G160" s="44" t="n"/>
    </row>
    <row r="161" ht="15" customHeight="1">
      <c r="A161" s="41" t="inlineStr">
        <is>
          <t>2029-04</t>
        </is>
      </c>
      <c r="B161" s="41" t="n">
        <v>75</v>
      </c>
      <c r="C161" s="42" t="n"/>
      <c r="D161" s="43">
        <f>PARAM!$E$11/(1+EXP(-PARAM!$E$15*(B161-PARAM!$E$19)))</f>
        <v/>
      </c>
      <c r="E161" s="43">
        <f>PARAM!$E$11/(1+EXP(-PARAM!$E$15*(B161-PARAM!$E$19)))</f>
        <v/>
      </c>
      <c r="F161" s="43">
        <f>(PARAM!$E$11+0.05*MIN(MAX((B161-41)/3,0),1))/(1+EXP(-(PARAM!$E$15+0.02*MIN(MAX((B161-41)/3,0),1))*(B161-PARAM!$E$19)))</f>
        <v/>
      </c>
      <c r="G161" s="44" t="n"/>
    </row>
    <row r="162" ht="15" customHeight="1">
      <c r="A162" s="41" t="inlineStr">
        <is>
          <t>2029-05</t>
        </is>
      </c>
      <c r="B162" s="41" t="n">
        <v>76</v>
      </c>
      <c r="C162" s="42" t="n"/>
      <c r="D162" s="43">
        <f>PARAM!$E$11/(1+EXP(-PARAM!$E$15*(B162-PARAM!$E$19)))</f>
        <v/>
      </c>
      <c r="E162" s="43">
        <f>PARAM!$E$11/(1+EXP(-PARAM!$E$15*(B162-PARAM!$E$19)))</f>
        <v/>
      </c>
      <c r="F162" s="43">
        <f>(PARAM!$E$11+0.05*MIN(MAX((B162-41)/3,0),1))/(1+EXP(-(PARAM!$E$15+0.02*MIN(MAX((B162-41)/3,0),1))*(B162-PARAM!$E$19)))</f>
        <v/>
      </c>
      <c r="G162" s="44" t="n"/>
    </row>
    <row r="165" ht="20" customHeight="1">
      <c r="A165" s="46" t="inlineStr">
        <is>
          <t>【 ING03  フィルグラスチム 】  L=PARAM_L_ING03  k=PARAM_k_ING03  x0=PARAM_x0_ING03</t>
        </is>
      </c>
    </row>
    <row r="166" ht="18" customHeight="1">
      <c r="A166" s="3" t="inlineStr">
        <is>
          <t>period</t>
        </is>
      </c>
      <c r="B166" s="3" t="inlineStr">
        <is>
          <t>month_index</t>
        </is>
      </c>
      <c r="C166" s="3" t="inlineStr">
        <is>
          <t>actual_penetration</t>
        </is>
      </c>
      <c r="D166" s="3" t="inlineStr">
        <is>
          <t>logistic_fitted（base）</t>
        </is>
      </c>
      <c r="E166" s="3" t="inlineStr">
        <is>
          <t>forecast_excluded</t>
        </is>
      </c>
      <c r="F166" s="3" t="inlineStr">
        <is>
          <t>forecast_adjusted（制度変更反映）</t>
        </is>
      </c>
      <c r="G166" s="3" t="inlineStr">
        <is>
          <t>備考</t>
        </is>
      </c>
    </row>
    <row r="167" ht="15" customHeight="1">
      <c r="A167" s="37" t="inlineStr">
        <is>
          <t>2023-01</t>
        </is>
      </c>
      <c r="B167" s="37" t="n">
        <v>0</v>
      </c>
      <c r="C167" s="38" t="n">
        <v>0.06900000000000001</v>
      </c>
      <c r="D167" s="38">
        <f>PARAM!$E$12/(1+EXP(-PARAM!$E$16*(B167-PARAM!$E$20)))</f>
        <v/>
      </c>
      <c r="E167" s="39" t="n"/>
      <c r="F167" s="39" t="n"/>
      <c r="G167" s="40" t="inlineStr">
        <is>
          <t>← 実績開始 (month_index=0)</t>
        </is>
      </c>
    </row>
    <row r="168" ht="15" customHeight="1">
      <c r="A168" s="37" t="inlineStr">
        <is>
          <t>2023-02</t>
        </is>
      </c>
      <c r="B168" s="37" t="n">
        <v>1</v>
      </c>
      <c r="C168" s="38" t="n">
        <v>0.0573</v>
      </c>
      <c r="D168" s="38">
        <f>PARAM!$E$12/(1+EXP(-PARAM!$E$16*(B168-PARAM!$E$20)))</f>
        <v/>
      </c>
      <c r="E168" s="39" t="n"/>
      <c r="F168" s="39" t="n"/>
      <c r="G168" s="40" t="n"/>
    </row>
    <row r="169" ht="15" customHeight="1">
      <c r="A169" s="37" t="inlineStr">
        <is>
          <t>2023-03</t>
        </is>
      </c>
      <c r="B169" s="37" t="n">
        <v>2</v>
      </c>
      <c r="C169" s="38" t="n">
        <v>0.07539999999999999</v>
      </c>
      <c r="D169" s="38">
        <f>PARAM!$E$12/(1+EXP(-PARAM!$E$16*(B169-PARAM!$E$20)))</f>
        <v/>
      </c>
      <c r="E169" s="39" t="n"/>
      <c r="F169" s="39" t="n"/>
      <c r="G169" s="40" t="n"/>
    </row>
    <row r="170" ht="15" customHeight="1">
      <c r="A170" s="37" t="inlineStr">
        <is>
          <t>2023-04</t>
        </is>
      </c>
      <c r="B170" s="37" t="n">
        <v>3</v>
      </c>
      <c r="C170" s="38" t="n">
        <v>0.08740000000000001</v>
      </c>
      <c r="D170" s="38">
        <f>PARAM!$E$12/(1+EXP(-PARAM!$E$16*(B170-PARAM!$E$20)))</f>
        <v/>
      </c>
      <c r="E170" s="39" t="n"/>
      <c r="F170" s="39" t="n"/>
      <c r="G170" s="40" t="n"/>
    </row>
    <row r="171" ht="15" customHeight="1">
      <c r="A171" s="37" t="inlineStr">
        <is>
          <t>2023-05</t>
        </is>
      </c>
      <c r="B171" s="37" t="n">
        <v>4</v>
      </c>
      <c r="C171" s="38" t="n">
        <v>0.09379999999999999</v>
      </c>
      <c r="D171" s="38">
        <f>PARAM!$E$12/(1+EXP(-PARAM!$E$16*(B171-PARAM!$E$20)))</f>
        <v/>
      </c>
      <c r="E171" s="39" t="n"/>
      <c r="F171" s="39" t="n"/>
      <c r="G171" s="40" t="n"/>
    </row>
    <row r="172" ht="15" customHeight="1">
      <c r="A172" s="37" t="inlineStr">
        <is>
          <t>2023-06</t>
        </is>
      </c>
      <c r="B172" s="37" t="n">
        <v>5</v>
      </c>
      <c r="C172" s="38" t="n">
        <v>0.1101</v>
      </c>
      <c r="D172" s="38">
        <f>PARAM!$E$12/(1+EXP(-PARAM!$E$16*(B172-PARAM!$E$20)))</f>
        <v/>
      </c>
      <c r="E172" s="39" t="n"/>
      <c r="F172" s="39" t="n"/>
      <c r="G172" s="40" t="n"/>
    </row>
    <row r="173" ht="15" customHeight="1">
      <c r="A173" s="37" t="inlineStr">
        <is>
          <t>2023-07</t>
        </is>
      </c>
      <c r="B173" s="37" t="n">
        <v>6</v>
      </c>
      <c r="C173" s="38" t="n">
        <v>0.1399</v>
      </c>
      <c r="D173" s="38">
        <f>PARAM!$E$12/(1+EXP(-PARAM!$E$16*(B173-PARAM!$E$20)))</f>
        <v/>
      </c>
      <c r="E173" s="39" t="n"/>
      <c r="F173" s="39" t="n"/>
      <c r="G173" s="40" t="n"/>
    </row>
    <row r="174" ht="15" customHeight="1">
      <c r="A174" s="37" t="inlineStr">
        <is>
          <t>2023-08</t>
        </is>
      </c>
      <c r="B174" s="37" t="n">
        <v>7</v>
      </c>
      <c r="C174" s="38" t="n">
        <v>0.1438</v>
      </c>
      <c r="D174" s="38">
        <f>PARAM!$E$12/(1+EXP(-PARAM!$E$16*(B174-PARAM!$E$20)))</f>
        <v/>
      </c>
      <c r="E174" s="39" t="n"/>
      <c r="F174" s="39" t="n"/>
      <c r="G174" s="40" t="n"/>
    </row>
    <row r="175" ht="15" customHeight="1">
      <c r="A175" s="37" t="inlineStr">
        <is>
          <t>2023-09</t>
        </is>
      </c>
      <c r="B175" s="37" t="n">
        <v>8</v>
      </c>
      <c r="C175" s="38" t="n">
        <v>0.1432</v>
      </c>
      <c r="D175" s="38">
        <f>PARAM!$E$12/(1+EXP(-PARAM!$E$16*(B175-PARAM!$E$20)))</f>
        <v/>
      </c>
      <c r="E175" s="39" t="n"/>
      <c r="F175" s="39" t="n"/>
      <c r="G175" s="40" t="n"/>
    </row>
    <row r="176" ht="15" customHeight="1">
      <c r="A176" s="37" t="inlineStr">
        <is>
          <t>2023-10</t>
        </is>
      </c>
      <c r="B176" s="37" t="n">
        <v>9</v>
      </c>
      <c r="C176" s="38" t="n">
        <v>0.1564</v>
      </c>
      <c r="D176" s="38">
        <f>PARAM!$E$12/(1+EXP(-PARAM!$E$16*(B176-PARAM!$E$20)))</f>
        <v/>
      </c>
      <c r="E176" s="39" t="n"/>
      <c r="F176" s="39" t="n"/>
      <c r="G176" s="40" t="n"/>
    </row>
    <row r="177" ht="15" customHeight="1">
      <c r="A177" s="37" t="inlineStr">
        <is>
          <t>2023-11</t>
        </is>
      </c>
      <c r="B177" s="37" t="n">
        <v>10</v>
      </c>
      <c r="C177" s="38" t="n">
        <v>0.2027</v>
      </c>
      <c r="D177" s="38">
        <f>PARAM!$E$12/(1+EXP(-PARAM!$E$16*(B177-PARAM!$E$20)))</f>
        <v/>
      </c>
      <c r="E177" s="39" t="n"/>
      <c r="F177" s="39" t="n"/>
      <c r="G177" s="40" t="n"/>
    </row>
    <row r="178" ht="15" customHeight="1">
      <c r="A178" s="37" t="inlineStr">
        <is>
          <t>2023-12</t>
        </is>
      </c>
      <c r="B178" s="37" t="n">
        <v>11</v>
      </c>
      <c r="C178" s="38" t="n">
        <v>0.19</v>
      </c>
      <c r="D178" s="38">
        <f>PARAM!$E$12/(1+EXP(-PARAM!$E$16*(B178-PARAM!$E$20)))</f>
        <v/>
      </c>
      <c r="E178" s="39" t="n"/>
      <c r="F178" s="39" t="n"/>
      <c r="G178" s="40" t="n"/>
    </row>
    <row r="179" ht="15" customHeight="1">
      <c r="A179" s="37" t="inlineStr">
        <is>
          <t>2024-01</t>
        </is>
      </c>
      <c r="B179" s="37" t="n">
        <v>12</v>
      </c>
      <c r="C179" s="38" t="n">
        <v>0.2236</v>
      </c>
      <c r="D179" s="38">
        <f>PARAM!$E$12/(1+EXP(-PARAM!$E$16*(B179-PARAM!$E$20)))</f>
        <v/>
      </c>
      <c r="E179" s="39" t="n"/>
      <c r="F179" s="39" t="n"/>
      <c r="G179" s="40" t="n"/>
    </row>
    <row r="180" ht="15" customHeight="1">
      <c r="A180" s="37" t="inlineStr">
        <is>
          <t>2024-02</t>
        </is>
      </c>
      <c r="B180" s="37" t="n">
        <v>13</v>
      </c>
      <c r="C180" s="38" t="n">
        <v>0.2335</v>
      </c>
      <c r="D180" s="38">
        <f>PARAM!$E$12/(1+EXP(-PARAM!$E$16*(B180-PARAM!$E$20)))</f>
        <v/>
      </c>
      <c r="E180" s="39" t="n"/>
      <c r="F180" s="39" t="n"/>
      <c r="G180" s="40" t="n"/>
    </row>
    <row r="181" ht="15" customHeight="1">
      <c r="A181" s="37" t="inlineStr">
        <is>
          <t>2024-03</t>
        </is>
      </c>
      <c r="B181" s="37" t="n">
        <v>14</v>
      </c>
      <c r="C181" s="38" t="n">
        <v>0.265</v>
      </c>
      <c r="D181" s="38">
        <f>PARAM!$E$12/(1+EXP(-PARAM!$E$16*(B181-PARAM!$E$20)))</f>
        <v/>
      </c>
      <c r="E181" s="39" t="n"/>
      <c r="F181" s="39" t="n"/>
      <c r="G181" s="40" t="n"/>
    </row>
    <row r="182" ht="15" customHeight="1">
      <c r="A182" s="37" t="inlineStr">
        <is>
          <t>2024-04</t>
        </is>
      </c>
      <c r="B182" s="37" t="n">
        <v>15</v>
      </c>
      <c r="C182" s="38" t="n">
        <v>0.2605</v>
      </c>
      <c r="D182" s="38">
        <f>PARAM!$E$12/(1+EXP(-PARAM!$E$16*(B182-PARAM!$E$20)))</f>
        <v/>
      </c>
      <c r="E182" s="39" t="n"/>
      <c r="F182" s="39" t="n"/>
      <c r="G182" s="40" t="n"/>
    </row>
    <row r="183" ht="15" customHeight="1">
      <c r="A183" s="37" t="inlineStr">
        <is>
          <t>2024-05</t>
        </is>
      </c>
      <c r="B183" s="37" t="n">
        <v>16</v>
      </c>
      <c r="C183" s="38" t="n">
        <v>0.3061</v>
      </c>
      <c r="D183" s="38">
        <f>PARAM!$E$12/(1+EXP(-PARAM!$E$16*(B183-PARAM!$E$20)))</f>
        <v/>
      </c>
      <c r="E183" s="39" t="n"/>
      <c r="F183" s="39" t="n"/>
      <c r="G183" s="40" t="n"/>
    </row>
    <row r="184" ht="15" customHeight="1">
      <c r="A184" s="37" t="inlineStr">
        <is>
          <t>2024-06</t>
        </is>
      </c>
      <c r="B184" s="37" t="n">
        <v>17</v>
      </c>
      <c r="C184" s="38" t="n">
        <v>0.3046</v>
      </c>
      <c r="D184" s="38">
        <f>PARAM!$E$12/(1+EXP(-PARAM!$E$16*(B184-PARAM!$E$20)))</f>
        <v/>
      </c>
      <c r="E184" s="39" t="n"/>
      <c r="F184" s="39" t="n"/>
      <c r="G184" s="40" t="n"/>
    </row>
    <row r="185" ht="15" customHeight="1">
      <c r="A185" s="37" t="inlineStr">
        <is>
          <t>2024-07</t>
        </is>
      </c>
      <c r="B185" s="37" t="n">
        <v>18</v>
      </c>
      <c r="C185" s="38" t="n">
        <v>0.3217</v>
      </c>
      <c r="D185" s="38">
        <f>PARAM!$E$12/(1+EXP(-PARAM!$E$16*(B185-PARAM!$E$20)))</f>
        <v/>
      </c>
      <c r="E185" s="39" t="n"/>
      <c r="F185" s="39" t="n"/>
      <c r="G185" s="40" t="n"/>
    </row>
    <row r="186" ht="15" customHeight="1">
      <c r="A186" s="37" t="inlineStr">
        <is>
          <t>2024-08</t>
        </is>
      </c>
      <c r="B186" s="37" t="n">
        <v>19</v>
      </c>
      <c r="C186" s="38" t="n">
        <v>0.3503</v>
      </c>
      <c r="D186" s="38">
        <f>PARAM!$E$12/(1+EXP(-PARAM!$E$16*(B186-PARAM!$E$20)))</f>
        <v/>
      </c>
      <c r="E186" s="39" t="n"/>
      <c r="F186" s="39" t="n"/>
      <c r="G186" s="40" t="n"/>
    </row>
    <row r="187" ht="15" customHeight="1">
      <c r="A187" s="37" t="inlineStr">
        <is>
          <t>2024-09</t>
        </is>
      </c>
      <c r="B187" s="37" t="n">
        <v>20</v>
      </c>
      <c r="C187" s="38" t="n">
        <v>0.3682</v>
      </c>
      <c r="D187" s="38">
        <f>PARAM!$E$12/(1+EXP(-PARAM!$E$16*(B187-PARAM!$E$20)))</f>
        <v/>
      </c>
      <c r="E187" s="39" t="n"/>
      <c r="F187" s="39" t="n"/>
      <c r="G187" s="40" t="n"/>
    </row>
    <row r="188" ht="15" customHeight="1">
      <c r="A188" s="37" t="inlineStr">
        <is>
          <t>2024-10</t>
        </is>
      </c>
      <c r="B188" s="37" t="n">
        <v>21</v>
      </c>
      <c r="C188" s="38" t="n">
        <v>0.3956</v>
      </c>
      <c r="D188" s="38">
        <f>PARAM!$E$12/(1+EXP(-PARAM!$E$16*(B188-PARAM!$E$20)))</f>
        <v/>
      </c>
      <c r="E188" s="39" t="n"/>
      <c r="F188" s="39" t="n"/>
      <c r="G188" s="40" t="n"/>
    </row>
    <row r="189" ht="15" customHeight="1">
      <c r="A189" s="37" t="inlineStr">
        <is>
          <t>2024-11</t>
        </is>
      </c>
      <c r="B189" s="37" t="n">
        <v>22</v>
      </c>
      <c r="C189" s="38" t="n">
        <v>0.3924</v>
      </c>
      <c r="D189" s="38">
        <f>PARAM!$E$12/(1+EXP(-PARAM!$E$16*(B189-PARAM!$E$20)))</f>
        <v/>
      </c>
      <c r="E189" s="39" t="n"/>
      <c r="F189" s="39" t="n"/>
      <c r="G189" s="40" t="n"/>
    </row>
    <row r="190" ht="15" customHeight="1">
      <c r="A190" s="37" t="inlineStr">
        <is>
          <t>2024-12</t>
        </is>
      </c>
      <c r="B190" s="37" t="n">
        <v>23</v>
      </c>
      <c r="C190" s="38" t="n">
        <v>0.439</v>
      </c>
      <c r="D190" s="38">
        <f>PARAM!$E$12/(1+EXP(-PARAM!$E$16*(B190-PARAM!$E$20)))</f>
        <v/>
      </c>
      <c r="E190" s="39" t="n"/>
      <c r="F190" s="39" t="n"/>
      <c r="G190" s="40" t="n"/>
    </row>
    <row r="191" ht="15" customHeight="1">
      <c r="A191" s="37" t="inlineStr">
        <is>
          <t>2025-01</t>
        </is>
      </c>
      <c r="B191" s="37" t="n">
        <v>24</v>
      </c>
      <c r="C191" s="38" t="n">
        <v>0.4174</v>
      </c>
      <c r="D191" s="38">
        <f>PARAM!$E$12/(1+EXP(-PARAM!$E$16*(B191-PARAM!$E$20)))</f>
        <v/>
      </c>
      <c r="E191" s="39" t="n"/>
      <c r="F191" s="39" t="n"/>
      <c r="G191" s="40" t="n"/>
    </row>
    <row r="192" ht="15" customHeight="1">
      <c r="A192" s="37" t="inlineStr">
        <is>
          <t>2025-02</t>
        </is>
      </c>
      <c r="B192" s="37" t="n">
        <v>25</v>
      </c>
      <c r="C192" s="38" t="n">
        <v>0.4443</v>
      </c>
      <c r="D192" s="38">
        <f>PARAM!$E$12/(1+EXP(-PARAM!$E$16*(B192-PARAM!$E$20)))</f>
        <v/>
      </c>
      <c r="E192" s="39" t="n"/>
      <c r="F192" s="39" t="n"/>
      <c r="G192" s="40" t="n"/>
    </row>
    <row r="193" ht="15" customHeight="1">
      <c r="A193" s="37" t="inlineStr">
        <is>
          <t>2025-03</t>
        </is>
      </c>
      <c r="B193" s="37" t="n">
        <v>26</v>
      </c>
      <c r="C193" s="38" t="n">
        <v>0.4519</v>
      </c>
      <c r="D193" s="38">
        <f>PARAM!$E$12/(1+EXP(-PARAM!$E$16*(B193-PARAM!$E$20)))</f>
        <v/>
      </c>
      <c r="E193" s="39" t="n"/>
      <c r="F193" s="39" t="n"/>
      <c r="G193" s="40" t="n"/>
    </row>
    <row r="194" ht="15" customHeight="1">
      <c r="A194" s="37" t="inlineStr">
        <is>
          <t>2025-04</t>
        </is>
      </c>
      <c r="B194" s="37" t="n">
        <v>27</v>
      </c>
      <c r="C194" s="38" t="n">
        <v>0.4712</v>
      </c>
      <c r="D194" s="38">
        <f>PARAM!$E$12/(1+EXP(-PARAM!$E$16*(B194-PARAM!$E$20)))</f>
        <v/>
      </c>
      <c r="E194" s="39" t="n"/>
      <c r="F194" s="39" t="n"/>
      <c r="G194" s="40" t="n"/>
    </row>
    <row r="195" ht="15" customHeight="1">
      <c r="A195" s="37" t="inlineStr">
        <is>
          <t>2025-05</t>
        </is>
      </c>
      <c r="B195" s="37" t="n">
        <v>28</v>
      </c>
      <c r="C195" s="38" t="n">
        <v>0.4791</v>
      </c>
      <c r="D195" s="38">
        <f>PARAM!$E$12/(1+EXP(-PARAM!$E$16*(B195-PARAM!$E$20)))</f>
        <v/>
      </c>
      <c r="E195" s="39" t="n"/>
      <c r="F195" s="39" t="n"/>
      <c r="G195" s="40" t="n"/>
    </row>
    <row r="196" ht="15" customHeight="1">
      <c r="A196" s="37" t="inlineStr">
        <is>
          <t>2025-06</t>
        </is>
      </c>
      <c r="B196" s="37" t="n">
        <v>29</v>
      </c>
      <c r="C196" s="38" t="n">
        <v>0.4945</v>
      </c>
      <c r="D196" s="38">
        <f>PARAM!$E$12/(1+EXP(-PARAM!$E$16*(B196-PARAM!$E$20)))</f>
        <v/>
      </c>
      <c r="E196" s="39" t="n"/>
      <c r="F196" s="39" t="n"/>
      <c r="G196" s="40" t="n"/>
    </row>
    <row r="197" ht="15" customHeight="1">
      <c r="A197" s="37" t="inlineStr">
        <is>
          <t>2025-07</t>
        </is>
      </c>
      <c r="B197" s="37" t="n">
        <v>30</v>
      </c>
      <c r="C197" s="38" t="n">
        <v>0.486</v>
      </c>
      <c r="D197" s="38">
        <f>PARAM!$E$12/(1+EXP(-PARAM!$E$16*(B197-PARAM!$E$20)))</f>
        <v/>
      </c>
      <c r="E197" s="39" t="n"/>
      <c r="F197" s="39" t="n"/>
      <c r="G197" s="40" t="n"/>
    </row>
    <row r="198" ht="15" customHeight="1">
      <c r="A198" s="37" t="inlineStr">
        <is>
          <t>2025-08</t>
        </is>
      </c>
      <c r="B198" s="37" t="n">
        <v>31</v>
      </c>
      <c r="C198" s="38" t="n">
        <v>0.5061</v>
      </c>
      <c r="D198" s="38">
        <f>PARAM!$E$12/(1+EXP(-PARAM!$E$16*(B198-PARAM!$E$20)))</f>
        <v/>
      </c>
      <c r="E198" s="39" t="n"/>
      <c r="F198" s="39" t="n"/>
      <c r="G198" s="40" t="n"/>
    </row>
    <row r="199" ht="15" customHeight="1">
      <c r="A199" s="37" t="inlineStr">
        <is>
          <t>2025-09</t>
        </is>
      </c>
      <c r="B199" s="37" t="n">
        <v>32</v>
      </c>
      <c r="C199" s="38" t="n">
        <v>0.5108</v>
      </c>
      <c r="D199" s="38">
        <f>PARAM!$E$12/(1+EXP(-PARAM!$E$16*(B199-PARAM!$E$20)))</f>
        <v/>
      </c>
      <c r="E199" s="39" t="n"/>
      <c r="F199" s="39" t="n"/>
      <c r="G199" s="40" t="n"/>
    </row>
    <row r="200" ht="15" customHeight="1">
      <c r="A200" s="37" t="inlineStr">
        <is>
          <t>2025-10</t>
        </is>
      </c>
      <c r="B200" s="37" t="n">
        <v>33</v>
      </c>
      <c r="C200" s="38" t="n">
        <v>0.5202</v>
      </c>
      <c r="D200" s="38">
        <f>PARAM!$E$12/(1+EXP(-PARAM!$E$16*(B200-PARAM!$E$20)))</f>
        <v/>
      </c>
      <c r="E200" s="39" t="n"/>
      <c r="F200" s="39" t="n"/>
      <c r="G200" s="40" t="n"/>
    </row>
    <row r="201" ht="15" customHeight="1">
      <c r="A201" s="37" t="inlineStr">
        <is>
          <t>2025-11</t>
        </is>
      </c>
      <c r="B201" s="37" t="n">
        <v>34</v>
      </c>
      <c r="C201" s="38" t="n">
        <v>0.5194</v>
      </c>
      <c r="D201" s="38">
        <f>PARAM!$E$12/(1+EXP(-PARAM!$E$16*(B201-PARAM!$E$20)))</f>
        <v/>
      </c>
      <c r="E201" s="39" t="n"/>
      <c r="F201" s="39" t="n"/>
      <c r="G201" s="40" t="n"/>
    </row>
    <row r="202" ht="15" customHeight="1">
      <c r="A202" s="37" t="inlineStr">
        <is>
          <t>2025-12</t>
        </is>
      </c>
      <c r="B202" s="37" t="n">
        <v>35</v>
      </c>
      <c r="C202" s="38" t="n">
        <v>0.5342</v>
      </c>
      <c r="D202" s="38">
        <f>PARAM!$E$12/(1+EXP(-PARAM!$E$16*(B202-PARAM!$E$20)))</f>
        <v/>
      </c>
      <c r="E202" s="39" t="n"/>
      <c r="F202" s="39" t="n"/>
      <c r="G202" s="40" t="n"/>
    </row>
    <row r="203" ht="15" customHeight="1">
      <c r="A203" s="37" t="inlineStr">
        <is>
          <t>2026-01</t>
        </is>
      </c>
      <c r="B203" s="37" t="n">
        <v>36</v>
      </c>
      <c r="C203" s="38" t="n">
        <v>0.5464</v>
      </c>
      <c r="D203" s="38">
        <f>PARAM!$E$12/(1+EXP(-PARAM!$E$16*(B203-PARAM!$E$20)))</f>
        <v/>
      </c>
      <c r="E203" s="39" t="n"/>
      <c r="F203" s="39" t="n"/>
      <c r="G203" s="40" t="n"/>
    </row>
    <row r="204" ht="15" customHeight="1">
      <c r="A204" s="37" t="inlineStr">
        <is>
          <t>2026-02</t>
        </is>
      </c>
      <c r="B204" s="37" t="n">
        <v>37</v>
      </c>
      <c r="C204" s="38" t="n">
        <v>0.5323</v>
      </c>
      <c r="D204" s="38">
        <f>PARAM!$E$12/(1+EXP(-PARAM!$E$16*(B204-PARAM!$E$20)))</f>
        <v/>
      </c>
      <c r="E204" s="39" t="n"/>
      <c r="F204" s="39" t="n"/>
      <c r="G204" s="40" t="n"/>
    </row>
    <row r="205" ht="15" customHeight="1">
      <c r="A205" s="37" t="inlineStr">
        <is>
          <t>2026-03</t>
        </is>
      </c>
      <c r="B205" s="37" t="n">
        <v>38</v>
      </c>
      <c r="C205" s="38" t="n">
        <v>0.5599</v>
      </c>
      <c r="D205" s="38">
        <f>PARAM!$E$12/(1+EXP(-PARAM!$E$16*(B205-PARAM!$E$20)))</f>
        <v/>
      </c>
      <c r="E205" s="39" t="n"/>
      <c r="F205" s="39" t="n"/>
      <c r="G205" s="40" t="n"/>
    </row>
    <row r="206" ht="15" customHeight="1">
      <c r="A206" s="37" t="inlineStr">
        <is>
          <t>2026-04</t>
        </is>
      </c>
      <c r="B206" s="37" t="n">
        <v>39</v>
      </c>
      <c r="C206" s="38" t="n">
        <v>0.5599</v>
      </c>
      <c r="D206" s="38">
        <f>PARAM!$E$12/(1+EXP(-PARAM!$E$16*(B206-PARAM!$E$20)))</f>
        <v/>
      </c>
      <c r="E206" s="39" t="n"/>
      <c r="F206" s="39" t="n"/>
      <c r="G206" s="40" t="n"/>
    </row>
    <row r="207" ht="15" customHeight="1">
      <c r="A207" s="37" t="inlineStr">
        <is>
          <t>2026-05</t>
        </is>
      </c>
      <c r="B207" s="37" t="n">
        <v>40</v>
      </c>
      <c r="C207" s="38" t="n">
        <v>0.5536</v>
      </c>
      <c r="D207" s="38">
        <f>PARAM!$E$12/(1+EXP(-PARAM!$E$16*(B207-PARAM!$E$20)))</f>
        <v/>
      </c>
      <c r="E207" s="39" t="n"/>
      <c r="F207" s="39" t="n"/>
      <c r="G207" s="40" t="n"/>
    </row>
    <row r="208" ht="15" customHeight="1">
      <c r="A208" s="41" t="inlineStr">
        <is>
          <t>2026-06</t>
        </is>
      </c>
      <c r="B208" s="41" t="n">
        <v>41</v>
      </c>
      <c r="C208" s="42" t="n"/>
      <c r="D208" s="43">
        <f>PARAM!$E$12/(1+EXP(-PARAM!$E$16*(B208-PARAM!$E$20)))</f>
        <v/>
      </c>
      <c r="E208" s="43">
        <f>PARAM!$E$12/(1+EXP(-PARAM!$E$16*(B208-PARAM!$E$20)))</f>
        <v/>
      </c>
      <c r="F208" s="43">
        <f>(PARAM!$E$12+0.05*MIN(MAX((B208-41)/3,0),1))/(1+EXP(-(PARAM!$E$16+0.02*MIN(MAX((B208-41)/3,0),1))*(B208-PARAM!$E$20)))</f>
        <v/>
      </c>
      <c r="G208" s="44" t="inlineStr">
        <is>
          <t>← 予測開始 (month_index=41, 2026-06)</t>
        </is>
      </c>
    </row>
    <row r="209" ht="15" customHeight="1">
      <c r="A209" s="41" t="inlineStr">
        <is>
          <t>2026-07</t>
        </is>
      </c>
      <c r="B209" s="41" t="n">
        <v>42</v>
      </c>
      <c r="C209" s="42" t="n"/>
      <c r="D209" s="43">
        <f>PARAM!$E$12/(1+EXP(-PARAM!$E$16*(B209-PARAM!$E$20)))</f>
        <v/>
      </c>
      <c r="E209" s="43">
        <f>PARAM!$E$12/(1+EXP(-PARAM!$E$16*(B209-PARAM!$E$20)))</f>
        <v/>
      </c>
      <c r="F209" s="43">
        <f>(PARAM!$E$12+0.05*MIN(MAX((B209-41)/3,0),1))/(1+EXP(-(PARAM!$E$16+0.02*MIN(MAX((B209-41)/3,0),1))*(B209-PARAM!$E$20)))</f>
        <v/>
      </c>
      <c r="G209" s="44" t="n"/>
    </row>
    <row r="210" ht="15" customHeight="1">
      <c r="A210" s="41" t="inlineStr">
        <is>
          <t>2026-08</t>
        </is>
      </c>
      <c r="B210" s="41" t="n">
        <v>43</v>
      </c>
      <c r="C210" s="42" t="n"/>
      <c r="D210" s="43">
        <f>PARAM!$E$12/(1+EXP(-PARAM!$E$16*(B210-PARAM!$E$20)))</f>
        <v/>
      </c>
      <c r="E210" s="43">
        <f>PARAM!$E$12/(1+EXP(-PARAM!$E$16*(B210-PARAM!$E$20)))</f>
        <v/>
      </c>
      <c r="F210" s="43">
        <f>(PARAM!$E$12+0.05*MIN(MAX((B210-41)/3,0),1))/(1+EXP(-(PARAM!$E$16+0.02*MIN(MAX((B210-41)/3,0),1))*(B210-PARAM!$E$20)))</f>
        <v/>
      </c>
      <c r="G210" s="44" t="n"/>
    </row>
    <row r="211" ht="15" customHeight="1">
      <c r="A211" s="41" t="inlineStr">
        <is>
          <t>2026-09</t>
        </is>
      </c>
      <c r="B211" s="41" t="n">
        <v>44</v>
      </c>
      <c r="C211" s="42" t="n"/>
      <c r="D211" s="43">
        <f>PARAM!$E$12/(1+EXP(-PARAM!$E$16*(B211-PARAM!$E$20)))</f>
        <v/>
      </c>
      <c r="E211" s="43">
        <f>PARAM!$E$12/(1+EXP(-PARAM!$E$16*(B211-PARAM!$E$20)))</f>
        <v/>
      </c>
      <c r="F211" s="43">
        <f>(PARAM!$E$12+0.05*MIN(MAX((B211-41)/3,0),1))/(1+EXP(-(PARAM!$E$16+0.02*MIN(MAX((B211-41)/3,0),1))*(B211-PARAM!$E$20)))</f>
        <v/>
      </c>
      <c r="G211" s="44" t="inlineStr">
        <is>
          <t>← 制度イベント 全効果発効 (month_index=44, 2026-09)</t>
        </is>
      </c>
    </row>
    <row r="212" ht="15" customHeight="1">
      <c r="A212" s="41" t="inlineStr">
        <is>
          <t>2026-10</t>
        </is>
      </c>
      <c r="B212" s="41" t="n">
        <v>45</v>
      </c>
      <c r="C212" s="42" t="n"/>
      <c r="D212" s="43">
        <f>PARAM!$E$12/(1+EXP(-PARAM!$E$16*(B212-PARAM!$E$20)))</f>
        <v/>
      </c>
      <c r="E212" s="43">
        <f>PARAM!$E$12/(1+EXP(-PARAM!$E$16*(B212-PARAM!$E$20)))</f>
        <v/>
      </c>
      <c r="F212" s="43">
        <f>(PARAM!$E$12+0.05*MIN(MAX((B212-41)/3,0),1))/(1+EXP(-(PARAM!$E$16+0.02*MIN(MAX((B212-41)/3,0),1))*(B212-PARAM!$E$20)))</f>
        <v/>
      </c>
      <c r="G212" s="44" t="n"/>
    </row>
    <row r="213" ht="15" customHeight="1">
      <c r="A213" s="41" t="inlineStr">
        <is>
          <t>2026-11</t>
        </is>
      </c>
      <c r="B213" s="41" t="n">
        <v>46</v>
      </c>
      <c r="C213" s="42" t="n"/>
      <c r="D213" s="43">
        <f>PARAM!$E$12/(1+EXP(-PARAM!$E$16*(B213-PARAM!$E$20)))</f>
        <v/>
      </c>
      <c r="E213" s="43">
        <f>PARAM!$E$12/(1+EXP(-PARAM!$E$16*(B213-PARAM!$E$20)))</f>
        <v/>
      </c>
      <c r="F213" s="43">
        <f>(PARAM!$E$12+0.05*MIN(MAX((B213-41)/3,0),1))/(1+EXP(-(PARAM!$E$16+0.02*MIN(MAX((B213-41)/3,0),1))*(B213-PARAM!$E$20)))</f>
        <v/>
      </c>
      <c r="G213" s="44" t="n"/>
    </row>
    <row r="214" ht="15" customHeight="1">
      <c r="A214" s="41" t="inlineStr">
        <is>
          <t>2026-12</t>
        </is>
      </c>
      <c r="B214" s="41" t="n">
        <v>47</v>
      </c>
      <c r="C214" s="42" t="n"/>
      <c r="D214" s="43">
        <f>PARAM!$E$12/(1+EXP(-PARAM!$E$16*(B214-PARAM!$E$20)))</f>
        <v/>
      </c>
      <c r="E214" s="43">
        <f>PARAM!$E$12/(1+EXP(-PARAM!$E$16*(B214-PARAM!$E$20)))</f>
        <v/>
      </c>
      <c r="F214" s="43">
        <f>(PARAM!$E$12+0.05*MIN(MAX((B214-41)/3,0),1))/(1+EXP(-(PARAM!$E$16+0.02*MIN(MAX((B214-41)/3,0),1))*(B214-PARAM!$E$20)))</f>
        <v/>
      </c>
      <c r="G214" s="44" t="n"/>
    </row>
    <row r="215" ht="15" customHeight="1">
      <c r="A215" s="41" t="inlineStr">
        <is>
          <t>2027-01</t>
        </is>
      </c>
      <c r="B215" s="41" t="n">
        <v>48</v>
      </c>
      <c r="C215" s="42" t="n"/>
      <c r="D215" s="43">
        <f>PARAM!$E$12/(1+EXP(-PARAM!$E$16*(B215-PARAM!$E$20)))</f>
        <v/>
      </c>
      <c r="E215" s="43">
        <f>PARAM!$E$12/(1+EXP(-PARAM!$E$16*(B215-PARAM!$E$20)))</f>
        <v/>
      </c>
      <c r="F215" s="43">
        <f>(PARAM!$E$12+0.05*MIN(MAX((B215-41)/3,0),1))/(1+EXP(-(PARAM!$E$16+0.02*MIN(MAX((B215-41)/3,0),1))*(B215-PARAM!$E$20)))</f>
        <v/>
      </c>
      <c r="G215" s="44" t="n"/>
    </row>
    <row r="216" ht="15" customHeight="1">
      <c r="A216" s="41" t="inlineStr">
        <is>
          <t>2027-02</t>
        </is>
      </c>
      <c r="B216" s="41" t="n">
        <v>49</v>
      </c>
      <c r="C216" s="42" t="n"/>
      <c r="D216" s="43">
        <f>PARAM!$E$12/(1+EXP(-PARAM!$E$16*(B216-PARAM!$E$20)))</f>
        <v/>
      </c>
      <c r="E216" s="43">
        <f>PARAM!$E$12/(1+EXP(-PARAM!$E$16*(B216-PARAM!$E$20)))</f>
        <v/>
      </c>
      <c r="F216" s="43">
        <f>(PARAM!$E$12+0.05*MIN(MAX((B216-41)/3,0),1))/(1+EXP(-(PARAM!$E$16+0.02*MIN(MAX((B216-41)/3,0),1))*(B216-PARAM!$E$20)))</f>
        <v/>
      </c>
      <c r="G216" s="44" t="n"/>
    </row>
    <row r="217" ht="15" customHeight="1">
      <c r="A217" s="41" t="inlineStr">
        <is>
          <t>2027-03</t>
        </is>
      </c>
      <c r="B217" s="41" t="n">
        <v>50</v>
      </c>
      <c r="C217" s="42" t="n"/>
      <c r="D217" s="43">
        <f>PARAM!$E$12/(1+EXP(-PARAM!$E$16*(B217-PARAM!$E$20)))</f>
        <v/>
      </c>
      <c r="E217" s="43">
        <f>PARAM!$E$12/(1+EXP(-PARAM!$E$16*(B217-PARAM!$E$20)))</f>
        <v/>
      </c>
      <c r="F217" s="43">
        <f>(PARAM!$E$12+0.05*MIN(MAX((B217-41)/3,0),1))/(1+EXP(-(PARAM!$E$16+0.02*MIN(MAX((B217-41)/3,0),1))*(B217-PARAM!$E$20)))</f>
        <v/>
      </c>
      <c r="G217" s="44" t="n"/>
    </row>
    <row r="218" ht="15" customHeight="1">
      <c r="A218" s="41" t="inlineStr">
        <is>
          <t>2027-04</t>
        </is>
      </c>
      <c r="B218" s="41" t="n">
        <v>51</v>
      </c>
      <c r="C218" s="42" t="n"/>
      <c r="D218" s="43">
        <f>PARAM!$E$12/(1+EXP(-PARAM!$E$16*(B218-PARAM!$E$20)))</f>
        <v/>
      </c>
      <c r="E218" s="43">
        <f>PARAM!$E$12/(1+EXP(-PARAM!$E$16*(B218-PARAM!$E$20)))</f>
        <v/>
      </c>
      <c r="F218" s="43">
        <f>(PARAM!$E$12+0.05*MIN(MAX((B218-41)/3,0),1))/(1+EXP(-(PARAM!$E$16+0.02*MIN(MAX((B218-41)/3,0),1))*(B218-PARAM!$E$20)))</f>
        <v/>
      </c>
      <c r="G218" s="44" t="n"/>
    </row>
    <row r="219" ht="15" customHeight="1">
      <c r="A219" s="41" t="inlineStr">
        <is>
          <t>2027-05</t>
        </is>
      </c>
      <c r="B219" s="41" t="n">
        <v>52</v>
      </c>
      <c r="C219" s="42" t="n"/>
      <c r="D219" s="43">
        <f>PARAM!$E$12/(1+EXP(-PARAM!$E$16*(B219-PARAM!$E$20)))</f>
        <v/>
      </c>
      <c r="E219" s="43">
        <f>PARAM!$E$12/(1+EXP(-PARAM!$E$16*(B219-PARAM!$E$20)))</f>
        <v/>
      </c>
      <c r="F219" s="43">
        <f>(PARAM!$E$12+0.05*MIN(MAX((B219-41)/3,0),1))/(1+EXP(-(PARAM!$E$16+0.02*MIN(MAX((B219-41)/3,0),1))*(B219-PARAM!$E$20)))</f>
        <v/>
      </c>
      <c r="G219" s="44" t="n"/>
    </row>
    <row r="220" ht="15" customHeight="1">
      <c r="A220" s="41" t="inlineStr">
        <is>
          <t>2027-06</t>
        </is>
      </c>
      <c r="B220" s="41" t="n">
        <v>53</v>
      </c>
      <c r="C220" s="42" t="n"/>
      <c r="D220" s="43">
        <f>PARAM!$E$12/(1+EXP(-PARAM!$E$16*(B220-PARAM!$E$20)))</f>
        <v/>
      </c>
      <c r="E220" s="43">
        <f>PARAM!$E$12/(1+EXP(-PARAM!$E$16*(B220-PARAM!$E$20)))</f>
        <v/>
      </c>
      <c r="F220" s="43">
        <f>(PARAM!$E$12+0.05*MIN(MAX((B220-41)/3,0),1))/(1+EXP(-(PARAM!$E$16+0.02*MIN(MAX((B220-41)/3,0),1))*(B220-PARAM!$E$20)))</f>
        <v/>
      </c>
      <c r="G220" s="44" t="n"/>
    </row>
    <row r="221" ht="15" customHeight="1">
      <c r="A221" s="41" t="inlineStr">
        <is>
          <t>2027-07</t>
        </is>
      </c>
      <c r="B221" s="41" t="n">
        <v>54</v>
      </c>
      <c r="C221" s="42" t="n"/>
      <c r="D221" s="43">
        <f>PARAM!$E$12/(1+EXP(-PARAM!$E$16*(B221-PARAM!$E$20)))</f>
        <v/>
      </c>
      <c r="E221" s="43">
        <f>PARAM!$E$12/(1+EXP(-PARAM!$E$16*(B221-PARAM!$E$20)))</f>
        <v/>
      </c>
      <c r="F221" s="43">
        <f>(PARAM!$E$12+0.05*MIN(MAX((B221-41)/3,0),1))/(1+EXP(-(PARAM!$E$16+0.02*MIN(MAX((B221-41)/3,0),1))*(B221-PARAM!$E$20)))</f>
        <v/>
      </c>
      <c r="G221" s="44" t="n"/>
    </row>
    <row r="222" ht="15" customHeight="1">
      <c r="A222" s="41" t="inlineStr">
        <is>
          <t>2027-08</t>
        </is>
      </c>
      <c r="B222" s="41" t="n">
        <v>55</v>
      </c>
      <c r="C222" s="42" t="n"/>
      <c r="D222" s="43">
        <f>PARAM!$E$12/(1+EXP(-PARAM!$E$16*(B222-PARAM!$E$20)))</f>
        <v/>
      </c>
      <c r="E222" s="43">
        <f>PARAM!$E$12/(1+EXP(-PARAM!$E$16*(B222-PARAM!$E$20)))</f>
        <v/>
      </c>
      <c r="F222" s="43">
        <f>(PARAM!$E$12+0.05*MIN(MAX((B222-41)/3,0),1))/(1+EXP(-(PARAM!$E$16+0.02*MIN(MAX((B222-41)/3,0),1))*(B222-PARAM!$E$20)))</f>
        <v/>
      </c>
      <c r="G222" s="44" t="n"/>
    </row>
    <row r="223" ht="15" customHeight="1">
      <c r="A223" s="41" t="inlineStr">
        <is>
          <t>2027-09</t>
        </is>
      </c>
      <c r="B223" s="41" t="n">
        <v>56</v>
      </c>
      <c r="C223" s="42" t="n"/>
      <c r="D223" s="43">
        <f>PARAM!$E$12/(1+EXP(-PARAM!$E$16*(B223-PARAM!$E$20)))</f>
        <v/>
      </c>
      <c r="E223" s="43">
        <f>PARAM!$E$12/(1+EXP(-PARAM!$E$16*(B223-PARAM!$E$20)))</f>
        <v/>
      </c>
      <c r="F223" s="43">
        <f>(PARAM!$E$12+0.05*MIN(MAX((B223-41)/3,0),1))/(1+EXP(-(PARAM!$E$16+0.02*MIN(MAX((B223-41)/3,0),1))*(B223-PARAM!$E$20)))</f>
        <v/>
      </c>
      <c r="G223" s="44" t="n"/>
    </row>
    <row r="224" ht="15" customHeight="1">
      <c r="A224" s="41" t="inlineStr">
        <is>
          <t>2027-10</t>
        </is>
      </c>
      <c r="B224" s="41" t="n">
        <v>57</v>
      </c>
      <c r="C224" s="42" t="n"/>
      <c r="D224" s="43">
        <f>PARAM!$E$12/(1+EXP(-PARAM!$E$16*(B224-PARAM!$E$20)))</f>
        <v/>
      </c>
      <c r="E224" s="43">
        <f>PARAM!$E$12/(1+EXP(-PARAM!$E$16*(B224-PARAM!$E$20)))</f>
        <v/>
      </c>
      <c r="F224" s="43">
        <f>(PARAM!$E$12+0.05*MIN(MAX((B224-41)/3,0),1))/(1+EXP(-(PARAM!$E$16+0.02*MIN(MAX((B224-41)/3,0),1))*(B224-PARAM!$E$20)))</f>
        <v/>
      </c>
      <c r="G224" s="44" t="n"/>
    </row>
    <row r="225" ht="15" customHeight="1">
      <c r="A225" s="41" t="inlineStr">
        <is>
          <t>2027-11</t>
        </is>
      </c>
      <c r="B225" s="41" t="n">
        <v>58</v>
      </c>
      <c r="C225" s="42" t="n"/>
      <c r="D225" s="43">
        <f>PARAM!$E$12/(1+EXP(-PARAM!$E$16*(B225-PARAM!$E$20)))</f>
        <v/>
      </c>
      <c r="E225" s="43">
        <f>PARAM!$E$12/(1+EXP(-PARAM!$E$16*(B225-PARAM!$E$20)))</f>
        <v/>
      </c>
      <c r="F225" s="43">
        <f>(PARAM!$E$12+0.05*MIN(MAX((B225-41)/3,0),1))/(1+EXP(-(PARAM!$E$16+0.02*MIN(MAX((B225-41)/3,0),1))*(B225-PARAM!$E$20)))</f>
        <v/>
      </c>
      <c r="G225" s="44" t="n"/>
    </row>
    <row r="226" ht="15" customHeight="1">
      <c r="A226" s="41" t="inlineStr">
        <is>
          <t>2027-12</t>
        </is>
      </c>
      <c r="B226" s="41" t="n">
        <v>59</v>
      </c>
      <c r="C226" s="42" t="n"/>
      <c r="D226" s="43">
        <f>PARAM!$E$12/(1+EXP(-PARAM!$E$16*(B226-PARAM!$E$20)))</f>
        <v/>
      </c>
      <c r="E226" s="43">
        <f>PARAM!$E$12/(1+EXP(-PARAM!$E$16*(B226-PARAM!$E$20)))</f>
        <v/>
      </c>
      <c r="F226" s="43">
        <f>(PARAM!$E$12+0.05*MIN(MAX((B226-41)/3,0),1))/(1+EXP(-(PARAM!$E$16+0.02*MIN(MAX((B226-41)/3,0),1))*(B226-PARAM!$E$20)))</f>
        <v/>
      </c>
      <c r="G226" s="44" t="n"/>
    </row>
    <row r="227" ht="15" customHeight="1">
      <c r="A227" s="41" t="inlineStr">
        <is>
          <t>2028-01</t>
        </is>
      </c>
      <c r="B227" s="41" t="n">
        <v>60</v>
      </c>
      <c r="C227" s="42" t="n"/>
      <c r="D227" s="43">
        <f>PARAM!$E$12/(1+EXP(-PARAM!$E$16*(B227-PARAM!$E$20)))</f>
        <v/>
      </c>
      <c r="E227" s="43">
        <f>PARAM!$E$12/(1+EXP(-PARAM!$E$16*(B227-PARAM!$E$20)))</f>
        <v/>
      </c>
      <c r="F227" s="43">
        <f>(PARAM!$E$12+0.05*MIN(MAX((B227-41)/3,0),1))/(1+EXP(-(PARAM!$E$16+0.02*MIN(MAX((B227-41)/3,0),1))*(B227-PARAM!$E$20)))</f>
        <v/>
      </c>
      <c r="G227" s="44" t="n"/>
    </row>
    <row r="228" ht="15" customHeight="1">
      <c r="A228" s="41" t="inlineStr">
        <is>
          <t>2028-02</t>
        </is>
      </c>
      <c r="B228" s="41" t="n">
        <v>61</v>
      </c>
      <c r="C228" s="42" t="n"/>
      <c r="D228" s="43">
        <f>PARAM!$E$12/(1+EXP(-PARAM!$E$16*(B228-PARAM!$E$20)))</f>
        <v/>
      </c>
      <c r="E228" s="43">
        <f>PARAM!$E$12/(1+EXP(-PARAM!$E$16*(B228-PARAM!$E$20)))</f>
        <v/>
      </c>
      <c r="F228" s="43">
        <f>(PARAM!$E$12+0.05*MIN(MAX((B228-41)/3,0),1))/(1+EXP(-(PARAM!$E$16+0.02*MIN(MAX((B228-41)/3,0),1))*(B228-PARAM!$E$20)))</f>
        <v/>
      </c>
      <c r="G228" s="44" t="n"/>
    </row>
    <row r="229" ht="15" customHeight="1">
      <c r="A229" s="41" t="inlineStr">
        <is>
          <t>2028-03</t>
        </is>
      </c>
      <c r="B229" s="41" t="n">
        <v>62</v>
      </c>
      <c r="C229" s="42" t="n"/>
      <c r="D229" s="43">
        <f>PARAM!$E$12/(1+EXP(-PARAM!$E$16*(B229-PARAM!$E$20)))</f>
        <v/>
      </c>
      <c r="E229" s="43">
        <f>PARAM!$E$12/(1+EXP(-PARAM!$E$16*(B229-PARAM!$E$20)))</f>
        <v/>
      </c>
      <c r="F229" s="43">
        <f>(PARAM!$E$12+0.05*MIN(MAX((B229-41)/3,0),1))/(1+EXP(-(PARAM!$E$16+0.02*MIN(MAX((B229-41)/3,0),1))*(B229-PARAM!$E$20)))</f>
        <v/>
      </c>
      <c r="G229" s="44" t="n"/>
    </row>
    <row r="230" ht="15" customHeight="1">
      <c r="A230" s="41" t="inlineStr">
        <is>
          <t>2028-04</t>
        </is>
      </c>
      <c r="B230" s="41" t="n">
        <v>63</v>
      </c>
      <c r="C230" s="42" t="n"/>
      <c r="D230" s="43">
        <f>PARAM!$E$12/(1+EXP(-PARAM!$E$16*(B230-PARAM!$E$20)))</f>
        <v/>
      </c>
      <c r="E230" s="43">
        <f>PARAM!$E$12/(1+EXP(-PARAM!$E$16*(B230-PARAM!$E$20)))</f>
        <v/>
      </c>
      <c r="F230" s="43">
        <f>(PARAM!$E$12+0.05*MIN(MAX((B230-41)/3,0),1))/(1+EXP(-(PARAM!$E$16+0.02*MIN(MAX((B230-41)/3,0),1))*(B230-PARAM!$E$20)))</f>
        <v/>
      </c>
      <c r="G230" s="44" t="n"/>
    </row>
    <row r="231" ht="15" customHeight="1">
      <c r="A231" s="41" t="inlineStr">
        <is>
          <t>2028-05</t>
        </is>
      </c>
      <c r="B231" s="41" t="n">
        <v>64</v>
      </c>
      <c r="C231" s="42" t="n"/>
      <c r="D231" s="43">
        <f>PARAM!$E$12/(1+EXP(-PARAM!$E$16*(B231-PARAM!$E$20)))</f>
        <v/>
      </c>
      <c r="E231" s="43">
        <f>PARAM!$E$12/(1+EXP(-PARAM!$E$16*(B231-PARAM!$E$20)))</f>
        <v/>
      </c>
      <c r="F231" s="43">
        <f>(PARAM!$E$12+0.05*MIN(MAX((B231-41)/3,0),1))/(1+EXP(-(PARAM!$E$16+0.02*MIN(MAX((B231-41)/3,0),1))*(B231-PARAM!$E$20)))</f>
        <v/>
      </c>
      <c r="G231" s="44" t="n"/>
    </row>
    <row r="232" ht="15" customHeight="1">
      <c r="A232" s="41" t="inlineStr">
        <is>
          <t>2028-06</t>
        </is>
      </c>
      <c r="B232" s="41" t="n">
        <v>65</v>
      </c>
      <c r="C232" s="42" t="n"/>
      <c r="D232" s="43">
        <f>PARAM!$E$12/(1+EXP(-PARAM!$E$16*(B232-PARAM!$E$20)))</f>
        <v/>
      </c>
      <c r="E232" s="43">
        <f>PARAM!$E$12/(1+EXP(-PARAM!$E$16*(B232-PARAM!$E$20)))</f>
        <v/>
      </c>
      <c r="F232" s="43">
        <f>(PARAM!$E$12+0.05*MIN(MAX((B232-41)/3,0),1))/(1+EXP(-(PARAM!$E$16+0.02*MIN(MAX((B232-41)/3,0),1))*(B232-PARAM!$E$20)))</f>
        <v/>
      </c>
      <c r="G232" s="44" t="n"/>
    </row>
    <row r="233" ht="15" customHeight="1">
      <c r="A233" s="41" t="inlineStr">
        <is>
          <t>2028-07</t>
        </is>
      </c>
      <c r="B233" s="41" t="n">
        <v>66</v>
      </c>
      <c r="C233" s="42" t="n"/>
      <c r="D233" s="43">
        <f>PARAM!$E$12/(1+EXP(-PARAM!$E$16*(B233-PARAM!$E$20)))</f>
        <v/>
      </c>
      <c r="E233" s="43">
        <f>PARAM!$E$12/(1+EXP(-PARAM!$E$16*(B233-PARAM!$E$20)))</f>
        <v/>
      </c>
      <c r="F233" s="43">
        <f>(PARAM!$E$12+0.05*MIN(MAX((B233-41)/3,0),1))/(1+EXP(-(PARAM!$E$16+0.02*MIN(MAX((B233-41)/3,0),1))*(B233-PARAM!$E$20)))</f>
        <v/>
      </c>
      <c r="G233" s="44" t="n"/>
    </row>
    <row r="234" ht="15" customHeight="1">
      <c r="A234" s="41" t="inlineStr">
        <is>
          <t>2028-08</t>
        </is>
      </c>
      <c r="B234" s="41" t="n">
        <v>67</v>
      </c>
      <c r="C234" s="42" t="n"/>
      <c r="D234" s="43">
        <f>PARAM!$E$12/(1+EXP(-PARAM!$E$16*(B234-PARAM!$E$20)))</f>
        <v/>
      </c>
      <c r="E234" s="43">
        <f>PARAM!$E$12/(1+EXP(-PARAM!$E$16*(B234-PARAM!$E$20)))</f>
        <v/>
      </c>
      <c r="F234" s="43">
        <f>(PARAM!$E$12+0.05*MIN(MAX((B234-41)/3,0),1))/(1+EXP(-(PARAM!$E$16+0.02*MIN(MAX((B234-41)/3,0),1))*(B234-PARAM!$E$20)))</f>
        <v/>
      </c>
      <c r="G234" s="44" t="n"/>
    </row>
    <row r="235" ht="15" customHeight="1">
      <c r="A235" s="41" t="inlineStr">
        <is>
          <t>2028-09</t>
        </is>
      </c>
      <c r="B235" s="41" t="n">
        <v>68</v>
      </c>
      <c r="C235" s="42" t="n"/>
      <c r="D235" s="43">
        <f>PARAM!$E$12/(1+EXP(-PARAM!$E$16*(B235-PARAM!$E$20)))</f>
        <v/>
      </c>
      <c r="E235" s="43">
        <f>PARAM!$E$12/(1+EXP(-PARAM!$E$16*(B235-PARAM!$E$20)))</f>
        <v/>
      </c>
      <c r="F235" s="43">
        <f>(PARAM!$E$12+0.05*MIN(MAX((B235-41)/3,0),1))/(1+EXP(-(PARAM!$E$16+0.02*MIN(MAX((B235-41)/3,0),1))*(B235-PARAM!$E$20)))</f>
        <v/>
      </c>
      <c r="G235" s="44" t="n"/>
    </row>
    <row r="236" ht="15" customHeight="1">
      <c r="A236" s="41" t="inlineStr">
        <is>
          <t>2028-10</t>
        </is>
      </c>
      <c r="B236" s="41" t="n">
        <v>69</v>
      </c>
      <c r="C236" s="42" t="n"/>
      <c r="D236" s="43">
        <f>PARAM!$E$12/(1+EXP(-PARAM!$E$16*(B236-PARAM!$E$20)))</f>
        <v/>
      </c>
      <c r="E236" s="43">
        <f>PARAM!$E$12/(1+EXP(-PARAM!$E$16*(B236-PARAM!$E$20)))</f>
        <v/>
      </c>
      <c r="F236" s="43">
        <f>(PARAM!$E$12+0.05*MIN(MAX((B236-41)/3,0),1))/(1+EXP(-(PARAM!$E$16+0.02*MIN(MAX((B236-41)/3,0),1))*(B236-PARAM!$E$20)))</f>
        <v/>
      </c>
      <c r="G236" s="44" t="n"/>
    </row>
    <row r="237" ht="15" customHeight="1">
      <c r="A237" s="41" t="inlineStr">
        <is>
          <t>2028-11</t>
        </is>
      </c>
      <c r="B237" s="41" t="n">
        <v>70</v>
      </c>
      <c r="C237" s="42" t="n"/>
      <c r="D237" s="43">
        <f>PARAM!$E$12/(1+EXP(-PARAM!$E$16*(B237-PARAM!$E$20)))</f>
        <v/>
      </c>
      <c r="E237" s="43">
        <f>PARAM!$E$12/(1+EXP(-PARAM!$E$16*(B237-PARAM!$E$20)))</f>
        <v/>
      </c>
      <c r="F237" s="43">
        <f>(PARAM!$E$12+0.05*MIN(MAX((B237-41)/3,0),1))/(1+EXP(-(PARAM!$E$16+0.02*MIN(MAX((B237-41)/3,0),1))*(B237-PARAM!$E$20)))</f>
        <v/>
      </c>
      <c r="G237" s="44" t="n"/>
    </row>
    <row r="238" ht="15" customHeight="1">
      <c r="A238" s="41" t="inlineStr">
        <is>
          <t>2028-12</t>
        </is>
      </c>
      <c r="B238" s="41" t="n">
        <v>71</v>
      </c>
      <c r="C238" s="42" t="n"/>
      <c r="D238" s="43">
        <f>PARAM!$E$12/(1+EXP(-PARAM!$E$16*(B238-PARAM!$E$20)))</f>
        <v/>
      </c>
      <c r="E238" s="43">
        <f>PARAM!$E$12/(1+EXP(-PARAM!$E$16*(B238-PARAM!$E$20)))</f>
        <v/>
      </c>
      <c r="F238" s="43">
        <f>(PARAM!$E$12+0.05*MIN(MAX((B238-41)/3,0),1))/(1+EXP(-(PARAM!$E$16+0.02*MIN(MAX((B238-41)/3,0),1))*(B238-PARAM!$E$20)))</f>
        <v/>
      </c>
      <c r="G238" s="44" t="n"/>
    </row>
    <row r="239" ht="15" customHeight="1">
      <c r="A239" s="41" t="inlineStr">
        <is>
          <t>2029-01</t>
        </is>
      </c>
      <c r="B239" s="41" t="n">
        <v>72</v>
      </c>
      <c r="C239" s="42" t="n"/>
      <c r="D239" s="43">
        <f>PARAM!$E$12/(1+EXP(-PARAM!$E$16*(B239-PARAM!$E$20)))</f>
        <v/>
      </c>
      <c r="E239" s="43">
        <f>PARAM!$E$12/(1+EXP(-PARAM!$E$16*(B239-PARAM!$E$20)))</f>
        <v/>
      </c>
      <c r="F239" s="43">
        <f>(PARAM!$E$12+0.05*MIN(MAX((B239-41)/3,0),1))/(1+EXP(-(PARAM!$E$16+0.02*MIN(MAX((B239-41)/3,0),1))*(B239-PARAM!$E$20)))</f>
        <v/>
      </c>
      <c r="G239" s="44" t="n"/>
    </row>
    <row r="240" ht="15" customHeight="1">
      <c r="A240" s="41" t="inlineStr">
        <is>
          <t>2029-02</t>
        </is>
      </c>
      <c r="B240" s="41" t="n">
        <v>73</v>
      </c>
      <c r="C240" s="42" t="n"/>
      <c r="D240" s="43">
        <f>PARAM!$E$12/(1+EXP(-PARAM!$E$16*(B240-PARAM!$E$20)))</f>
        <v/>
      </c>
      <c r="E240" s="43">
        <f>PARAM!$E$12/(1+EXP(-PARAM!$E$16*(B240-PARAM!$E$20)))</f>
        <v/>
      </c>
      <c r="F240" s="43">
        <f>(PARAM!$E$12+0.05*MIN(MAX((B240-41)/3,0),1))/(1+EXP(-(PARAM!$E$16+0.02*MIN(MAX((B240-41)/3,0),1))*(B240-PARAM!$E$20)))</f>
        <v/>
      </c>
      <c r="G240" s="44" t="n"/>
    </row>
    <row r="241" ht="15" customHeight="1">
      <c r="A241" s="41" t="inlineStr">
        <is>
          <t>2029-03</t>
        </is>
      </c>
      <c r="B241" s="41" t="n">
        <v>74</v>
      </c>
      <c r="C241" s="42" t="n"/>
      <c r="D241" s="43">
        <f>PARAM!$E$12/(1+EXP(-PARAM!$E$16*(B241-PARAM!$E$20)))</f>
        <v/>
      </c>
      <c r="E241" s="43">
        <f>PARAM!$E$12/(1+EXP(-PARAM!$E$16*(B241-PARAM!$E$20)))</f>
        <v/>
      </c>
      <c r="F241" s="43">
        <f>(PARAM!$E$12+0.05*MIN(MAX((B241-41)/3,0),1))/(1+EXP(-(PARAM!$E$16+0.02*MIN(MAX((B241-41)/3,0),1))*(B241-PARAM!$E$20)))</f>
        <v/>
      </c>
      <c r="G241" s="44" t="n"/>
    </row>
    <row r="242" ht="15" customHeight="1">
      <c r="A242" s="41" t="inlineStr">
        <is>
          <t>2029-04</t>
        </is>
      </c>
      <c r="B242" s="41" t="n">
        <v>75</v>
      </c>
      <c r="C242" s="42" t="n"/>
      <c r="D242" s="43">
        <f>PARAM!$E$12/(1+EXP(-PARAM!$E$16*(B242-PARAM!$E$20)))</f>
        <v/>
      </c>
      <c r="E242" s="43">
        <f>PARAM!$E$12/(1+EXP(-PARAM!$E$16*(B242-PARAM!$E$20)))</f>
        <v/>
      </c>
      <c r="F242" s="43">
        <f>(PARAM!$E$12+0.05*MIN(MAX((B242-41)/3,0),1))/(1+EXP(-(PARAM!$E$16+0.02*MIN(MAX((B242-41)/3,0),1))*(B242-PARAM!$E$20)))</f>
        <v/>
      </c>
      <c r="G242" s="44" t="n"/>
    </row>
    <row r="243" ht="15" customHeight="1">
      <c r="A243" s="41" t="inlineStr">
        <is>
          <t>2029-05</t>
        </is>
      </c>
      <c r="B243" s="41" t="n">
        <v>76</v>
      </c>
      <c r="C243" s="42" t="n"/>
      <c r="D243" s="43">
        <f>PARAM!$E$12/(1+EXP(-PARAM!$E$16*(B243-PARAM!$E$20)))</f>
        <v/>
      </c>
      <c r="E243" s="43">
        <f>PARAM!$E$12/(1+EXP(-PARAM!$E$16*(B243-PARAM!$E$20)))</f>
        <v/>
      </c>
      <c r="F243" s="43">
        <f>(PARAM!$E$12+0.05*MIN(MAX((B243-41)/3,0),1))/(1+EXP(-(PARAM!$E$16+0.02*MIN(MAX((B243-41)/3,0),1))*(B243-PARAM!$E$20)))</f>
        <v/>
      </c>
      <c r="G243" s="44" t="n"/>
    </row>
    <row r="246" ht="20" customHeight="1">
      <c r="A246" s="47" t="inlineStr">
        <is>
          <t>【 ING04  インフリキシマブ 】  L=PARAM_L_ING04  k=PARAM_k_ING04  x0=PARAM_x0_ING04</t>
        </is>
      </c>
    </row>
    <row r="247" ht="18" customHeight="1">
      <c r="A247" s="3" t="inlineStr">
        <is>
          <t>period</t>
        </is>
      </c>
      <c r="B247" s="3" t="inlineStr">
        <is>
          <t>month_index</t>
        </is>
      </c>
      <c r="C247" s="3" t="inlineStr">
        <is>
          <t>actual_penetration</t>
        </is>
      </c>
      <c r="D247" s="3" t="inlineStr">
        <is>
          <t>logistic_fitted（base）</t>
        </is>
      </c>
      <c r="E247" s="3" t="inlineStr">
        <is>
          <t>forecast_excluded</t>
        </is>
      </c>
      <c r="F247" s="3" t="inlineStr">
        <is>
          <t>forecast_adjusted（制度変更反映）</t>
        </is>
      </c>
      <c r="G247" s="3" t="inlineStr">
        <is>
          <t>備考</t>
        </is>
      </c>
    </row>
    <row r="248" ht="15" customHeight="1">
      <c r="A248" s="37" t="inlineStr">
        <is>
          <t>2023-01</t>
        </is>
      </c>
      <c r="B248" s="37" t="n">
        <v>0</v>
      </c>
      <c r="C248" s="38" t="n">
        <v>0.0194</v>
      </c>
      <c r="D248" s="38">
        <f>PARAM!$E$13/(1+EXP(-PARAM!$E$17*(B248-PARAM!$E$21)))</f>
        <v/>
      </c>
      <c r="E248" s="39" t="n"/>
      <c r="F248" s="39" t="n"/>
      <c r="G248" s="40" t="inlineStr">
        <is>
          <t>← 実績開始 (month_index=0)</t>
        </is>
      </c>
    </row>
    <row r="249" ht="15" customHeight="1">
      <c r="A249" s="37" t="inlineStr">
        <is>
          <t>2023-02</t>
        </is>
      </c>
      <c r="B249" s="37" t="n">
        <v>1</v>
      </c>
      <c r="C249" s="38" t="n">
        <v>0.0555</v>
      </c>
      <c r="D249" s="38">
        <f>PARAM!$E$13/(1+EXP(-PARAM!$E$17*(B249-PARAM!$E$21)))</f>
        <v/>
      </c>
      <c r="E249" s="39" t="n"/>
      <c r="F249" s="39" t="n"/>
      <c r="G249" s="40" t="n"/>
    </row>
    <row r="250" ht="15" customHeight="1">
      <c r="A250" s="37" t="inlineStr">
        <is>
          <t>2023-03</t>
        </is>
      </c>
      <c r="B250" s="37" t="n">
        <v>2</v>
      </c>
      <c r="C250" s="38" t="n">
        <v>0.048</v>
      </c>
      <c r="D250" s="38">
        <f>PARAM!$E$13/(1+EXP(-PARAM!$E$17*(B250-PARAM!$E$21)))</f>
        <v/>
      </c>
      <c r="E250" s="39" t="n"/>
      <c r="F250" s="39" t="n"/>
      <c r="G250" s="40" t="n"/>
    </row>
    <row r="251" ht="15" customHeight="1">
      <c r="A251" s="37" t="inlineStr">
        <is>
          <t>2023-04</t>
        </is>
      </c>
      <c r="B251" s="37" t="n">
        <v>3</v>
      </c>
      <c r="C251" s="38" t="n">
        <v>0.0646</v>
      </c>
      <c r="D251" s="38">
        <f>PARAM!$E$13/(1+EXP(-PARAM!$E$17*(B251-PARAM!$E$21)))</f>
        <v/>
      </c>
      <c r="E251" s="39" t="n"/>
      <c r="F251" s="39" t="n"/>
      <c r="G251" s="40" t="n"/>
    </row>
    <row r="252" ht="15" customHeight="1">
      <c r="A252" s="37" t="inlineStr">
        <is>
          <t>2023-05</t>
        </is>
      </c>
      <c r="B252" s="37" t="n">
        <v>4</v>
      </c>
      <c r="C252" s="38" t="n">
        <v>0.068</v>
      </c>
      <c r="D252" s="38">
        <f>PARAM!$E$13/(1+EXP(-PARAM!$E$17*(B252-PARAM!$E$21)))</f>
        <v/>
      </c>
      <c r="E252" s="39" t="n"/>
      <c r="F252" s="39" t="n"/>
      <c r="G252" s="40" t="n"/>
    </row>
    <row r="253" ht="15" customHeight="1">
      <c r="A253" s="37" t="inlineStr">
        <is>
          <t>2023-06</t>
        </is>
      </c>
      <c r="B253" s="37" t="n">
        <v>5</v>
      </c>
      <c r="C253" s="38" t="n">
        <v>0.08450000000000001</v>
      </c>
      <c r="D253" s="38">
        <f>PARAM!$E$13/(1+EXP(-PARAM!$E$17*(B253-PARAM!$E$21)))</f>
        <v/>
      </c>
      <c r="E253" s="39" t="n"/>
      <c r="F253" s="39" t="n"/>
      <c r="G253" s="40" t="n"/>
    </row>
    <row r="254" ht="15" customHeight="1">
      <c r="A254" s="37" t="inlineStr">
        <is>
          <t>2023-07</t>
        </is>
      </c>
      <c r="B254" s="37" t="n">
        <v>6</v>
      </c>
      <c r="C254" s="38" t="n">
        <v>0.0762</v>
      </c>
      <c r="D254" s="38">
        <f>PARAM!$E$13/(1+EXP(-PARAM!$E$17*(B254-PARAM!$E$21)))</f>
        <v/>
      </c>
      <c r="E254" s="39" t="n"/>
      <c r="F254" s="39" t="n"/>
      <c r="G254" s="40" t="n"/>
    </row>
    <row r="255" ht="15" customHeight="1">
      <c r="A255" s="37" t="inlineStr">
        <is>
          <t>2023-08</t>
        </is>
      </c>
      <c r="B255" s="37" t="n">
        <v>7</v>
      </c>
      <c r="C255" s="38" t="n">
        <v>0.0803</v>
      </c>
      <c r="D255" s="38">
        <f>PARAM!$E$13/(1+EXP(-PARAM!$E$17*(B255-PARAM!$E$21)))</f>
        <v/>
      </c>
      <c r="E255" s="39" t="n"/>
      <c r="F255" s="39" t="n"/>
      <c r="G255" s="40" t="n"/>
    </row>
    <row r="256" ht="15" customHeight="1">
      <c r="A256" s="37" t="inlineStr">
        <is>
          <t>2023-09</t>
        </is>
      </c>
      <c r="B256" s="37" t="n">
        <v>8</v>
      </c>
      <c r="C256" s="38" t="n">
        <v>0.08649999999999999</v>
      </c>
      <c r="D256" s="38">
        <f>PARAM!$E$13/(1+EXP(-PARAM!$E$17*(B256-PARAM!$E$21)))</f>
        <v/>
      </c>
      <c r="E256" s="39" t="n"/>
      <c r="F256" s="39" t="n"/>
      <c r="G256" s="40" t="n"/>
    </row>
    <row r="257" ht="15" customHeight="1">
      <c r="A257" s="37" t="inlineStr">
        <is>
          <t>2023-10</t>
        </is>
      </c>
      <c r="B257" s="37" t="n">
        <v>9</v>
      </c>
      <c r="C257" s="38" t="n">
        <v>0.1004</v>
      </c>
      <c r="D257" s="38">
        <f>PARAM!$E$13/(1+EXP(-PARAM!$E$17*(B257-PARAM!$E$21)))</f>
        <v/>
      </c>
      <c r="E257" s="39" t="n"/>
      <c r="F257" s="39" t="n"/>
      <c r="G257" s="40" t="n"/>
    </row>
    <row r="258" ht="15" customHeight="1">
      <c r="A258" s="37" t="inlineStr">
        <is>
          <t>2023-11</t>
        </is>
      </c>
      <c r="B258" s="37" t="n">
        <v>10</v>
      </c>
      <c r="C258" s="38" t="n">
        <v>0.1053</v>
      </c>
      <c r="D258" s="38">
        <f>PARAM!$E$13/(1+EXP(-PARAM!$E$17*(B258-PARAM!$E$21)))</f>
        <v/>
      </c>
      <c r="E258" s="39" t="n"/>
      <c r="F258" s="39" t="n"/>
      <c r="G258" s="40" t="n"/>
    </row>
    <row r="259" ht="15" customHeight="1">
      <c r="A259" s="37" t="inlineStr">
        <is>
          <t>2023-12</t>
        </is>
      </c>
      <c r="B259" s="37" t="n">
        <v>11</v>
      </c>
      <c r="C259" s="38" t="n">
        <v>0.1248</v>
      </c>
      <c r="D259" s="38">
        <f>PARAM!$E$13/(1+EXP(-PARAM!$E$17*(B259-PARAM!$E$21)))</f>
        <v/>
      </c>
      <c r="E259" s="39" t="n"/>
      <c r="F259" s="39" t="n"/>
      <c r="G259" s="40" t="n"/>
    </row>
    <row r="260" ht="15" customHeight="1">
      <c r="A260" s="37" t="inlineStr">
        <is>
          <t>2024-01</t>
        </is>
      </c>
      <c r="B260" s="37" t="n">
        <v>12</v>
      </c>
      <c r="C260" s="38" t="n">
        <v>0.1174</v>
      </c>
      <c r="D260" s="38">
        <f>PARAM!$E$13/(1+EXP(-PARAM!$E$17*(B260-PARAM!$E$21)))</f>
        <v/>
      </c>
      <c r="E260" s="39" t="n"/>
      <c r="F260" s="39" t="n"/>
      <c r="G260" s="40" t="n"/>
    </row>
    <row r="261" ht="15" customHeight="1">
      <c r="A261" s="37" t="inlineStr">
        <is>
          <t>2024-02</t>
        </is>
      </c>
      <c r="B261" s="37" t="n">
        <v>13</v>
      </c>
      <c r="C261" s="38" t="n">
        <v>0.1354</v>
      </c>
      <c r="D261" s="38">
        <f>PARAM!$E$13/(1+EXP(-PARAM!$E$17*(B261-PARAM!$E$21)))</f>
        <v/>
      </c>
      <c r="E261" s="39" t="n"/>
      <c r="F261" s="39" t="n"/>
      <c r="G261" s="40" t="n"/>
    </row>
    <row r="262" ht="15" customHeight="1">
      <c r="A262" s="37" t="inlineStr">
        <is>
          <t>2024-03</t>
        </is>
      </c>
      <c r="B262" s="37" t="n">
        <v>14</v>
      </c>
      <c r="C262" s="38" t="n">
        <v>0.1219</v>
      </c>
      <c r="D262" s="38">
        <f>PARAM!$E$13/(1+EXP(-PARAM!$E$17*(B262-PARAM!$E$21)))</f>
        <v/>
      </c>
      <c r="E262" s="39" t="n"/>
      <c r="F262" s="39" t="n"/>
      <c r="G262" s="40" t="n"/>
    </row>
    <row r="263" ht="15" customHeight="1">
      <c r="A263" s="37" t="inlineStr">
        <is>
          <t>2024-04</t>
        </is>
      </c>
      <c r="B263" s="37" t="n">
        <v>15</v>
      </c>
      <c r="C263" s="38" t="n">
        <v>0.1269</v>
      </c>
      <c r="D263" s="38">
        <f>PARAM!$E$13/(1+EXP(-PARAM!$E$17*(B263-PARAM!$E$21)))</f>
        <v/>
      </c>
      <c r="E263" s="39" t="n"/>
      <c r="F263" s="39" t="n"/>
      <c r="G263" s="40" t="n"/>
    </row>
    <row r="264" ht="15" customHeight="1">
      <c r="A264" s="37" t="inlineStr">
        <is>
          <t>2024-05</t>
        </is>
      </c>
      <c r="B264" s="37" t="n">
        <v>16</v>
      </c>
      <c r="C264" s="38" t="n">
        <v>0.1556</v>
      </c>
      <c r="D264" s="38">
        <f>PARAM!$E$13/(1+EXP(-PARAM!$E$17*(B264-PARAM!$E$21)))</f>
        <v/>
      </c>
      <c r="E264" s="39" t="n"/>
      <c r="F264" s="39" t="n"/>
      <c r="G264" s="40" t="n"/>
    </row>
    <row r="265" ht="15" customHeight="1">
      <c r="A265" s="37" t="inlineStr">
        <is>
          <t>2024-06</t>
        </is>
      </c>
      <c r="B265" s="37" t="n">
        <v>17</v>
      </c>
      <c r="C265" s="38" t="n">
        <v>0.176</v>
      </c>
      <c r="D265" s="38">
        <f>PARAM!$E$13/(1+EXP(-PARAM!$E$17*(B265-PARAM!$E$21)))</f>
        <v/>
      </c>
      <c r="E265" s="39" t="n"/>
      <c r="F265" s="39" t="n"/>
      <c r="G265" s="40" t="n"/>
    </row>
    <row r="266" ht="15" customHeight="1">
      <c r="A266" s="37" t="inlineStr">
        <is>
          <t>2024-07</t>
        </is>
      </c>
      <c r="B266" s="37" t="n">
        <v>18</v>
      </c>
      <c r="C266" s="38" t="n">
        <v>0.1955</v>
      </c>
      <c r="D266" s="38">
        <f>PARAM!$E$13/(1+EXP(-PARAM!$E$17*(B266-PARAM!$E$21)))</f>
        <v/>
      </c>
      <c r="E266" s="39" t="n"/>
      <c r="F266" s="39" t="n"/>
      <c r="G266" s="40" t="n"/>
    </row>
    <row r="267" ht="15" customHeight="1">
      <c r="A267" s="37" t="inlineStr">
        <is>
          <t>2024-08</t>
        </is>
      </c>
      <c r="B267" s="37" t="n">
        <v>19</v>
      </c>
      <c r="C267" s="38" t="n">
        <v>0.1988</v>
      </c>
      <c r="D267" s="38">
        <f>PARAM!$E$13/(1+EXP(-PARAM!$E$17*(B267-PARAM!$E$21)))</f>
        <v/>
      </c>
      <c r="E267" s="39" t="n"/>
      <c r="F267" s="39" t="n"/>
      <c r="G267" s="40" t="n"/>
    </row>
    <row r="268" ht="15" customHeight="1">
      <c r="A268" s="37" t="inlineStr">
        <is>
          <t>2024-09</t>
        </is>
      </c>
      <c r="B268" s="37" t="n">
        <v>20</v>
      </c>
      <c r="C268" s="38" t="n">
        <v>0.2167</v>
      </c>
      <c r="D268" s="38">
        <f>PARAM!$E$13/(1+EXP(-PARAM!$E$17*(B268-PARAM!$E$21)))</f>
        <v/>
      </c>
      <c r="E268" s="39" t="n"/>
      <c r="F268" s="39" t="n"/>
      <c r="G268" s="40" t="n"/>
    </row>
    <row r="269" ht="15" customHeight="1">
      <c r="A269" s="37" t="inlineStr">
        <is>
          <t>2024-10</t>
        </is>
      </c>
      <c r="B269" s="37" t="n">
        <v>21</v>
      </c>
      <c r="C269" s="38" t="n">
        <v>0.2298</v>
      </c>
      <c r="D269" s="38">
        <f>PARAM!$E$13/(1+EXP(-PARAM!$E$17*(B269-PARAM!$E$21)))</f>
        <v/>
      </c>
      <c r="E269" s="39" t="n"/>
      <c r="F269" s="39" t="n"/>
      <c r="G269" s="40" t="n"/>
    </row>
    <row r="270" ht="15" customHeight="1">
      <c r="A270" s="37" t="inlineStr">
        <is>
          <t>2024-11</t>
        </is>
      </c>
      <c r="B270" s="37" t="n">
        <v>22</v>
      </c>
      <c r="C270" s="38" t="n">
        <v>0.2229</v>
      </c>
      <c r="D270" s="38">
        <f>PARAM!$E$13/(1+EXP(-PARAM!$E$17*(B270-PARAM!$E$21)))</f>
        <v/>
      </c>
      <c r="E270" s="39" t="n"/>
      <c r="F270" s="39" t="n"/>
      <c r="G270" s="40" t="n"/>
    </row>
    <row r="271" ht="15" customHeight="1">
      <c r="A271" s="37" t="inlineStr">
        <is>
          <t>2024-12</t>
        </is>
      </c>
      <c r="B271" s="37" t="n">
        <v>23</v>
      </c>
      <c r="C271" s="38" t="n">
        <v>0.2421</v>
      </c>
      <c r="D271" s="38">
        <f>PARAM!$E$13/(1+EXP(-PARAM!$E$17*(B271-PARAM!$E$21)))</f>
        <v/>
      </c>
      <c r="E271" s="39" t="n"/>
      <c r="F271" s="39" t="n"/>
      <c r="G271" s="40" t="n"/>
    </row>
    <row r="272" ht="15" customHeight="1">
      <c r="A272" s="37" t="inlineStr">
        <is>
          <t>2025-01</t>
        </is>
      </c>
      <c r="B272" s="37" t="n">
        <v>24</v>
      </c>
      <c r="C272" s="38" t="n">
        <v>0.2437</v>
      </c>
      <c r="D272" s="38">
        <f>PARAM!$E$13/(1+EXP(-PARAM!$E$17*(B272-PARAM!$E$21)))</f>
        <v/>
      </c>
      <c r="E272" s="39" t="n"/>
      <c r="F272" s="39" t="n"/>
      <c r="G272" s="40" t="n"/>
    </row>
    <row r="273" ht="15" customHeight="1">
      <c r="A273" s="37" t="inlineStr">
        <is>
          <t>2025-02</t>
        </is>
      </c>
      <c r="B273" s="37" t="n">
        <v>25</v>
      </c>
      <c r="C273" s="38" t="n">
        <v>0.2493</v>
      </c>
      <c r="D273" s="38">
        <f>PARAM!$E$13/(1+EXP(-PARAM!$E$17*(B273-PARAM!$E$21)))</f>
        <v/>
      </c>
      <c r="E273" s="39" t="n"/>
      <c r="F273" s="39" t="n"/>
      <c r="G273" s="40" t="n"/>
    </row>
    <row r="274" ht="15" customHeight="1">
      <c r="A274" s="37" t="inlineStr">
        <is>
          <t>2025-03</t>
        </is>
      </c>
      <c r="B274" s="37" t="n">
        <v>26</v>
      </c>
      <c r="C274" s="38" t="n">
        <v>0.2874</v>
      </c>
      <c r="D274" s="38">
        <f>PARAM!$E$13/(1+EXP(-PARAM!$E$17*(B274-PARAM!$E$21)))</f>
        <v/>
      </c>
      <c r="E274" s="39" t="n"/>
      <c r="F274" s="39" t="n"/>
      <c r="G274" s="40" t="n"/>
    </row>
    <row r="275" ht="15" customHeight="1">
      <c r="A275" s="37" t="inlineStr">
        <is>
          <t>2025-04</t>
        </is>
      </c>
      <c r="B275" s="37" t="n">
        <v>27</v>
      </c>
      <c r="C275" s="38" t="n">
        <v>0.2881</v>
      </c>
      <c r="D275" s="38">
        <f>PARAM!$E$13/(1+EXP(-PARAM!$E$17*(B275-PARAM!$E$21)))</f>
        <v/>
      </c>
      <c r="E275" s="39" t="n"/>
      <c r="F275" s="39" t="n"/>
      <c r="G275" s="40" t="n"/>
    </row>
    <row r="276" ht="15" customHeight="1">
      <c r="A276" s="37" t="inlineStr">
        <is>
          <t>2025-05</t>
        </is>
      </c>
      <c r="B276" s="37" t="n">
        <v>28</v>
      </c>
      <c r="C276" s="38" t="n">
        <v>0.2841</v>
      </c>
      <c r="D276" s="38">
        <f>PARAM!$E$13/(1+EXP(-PARAM!$E$17*(B276-PARAM!$E$21)))</f>
        <v/>
      </c>
      <c r="E276" s="39" t="n"/>
      <c r="F276" s="39" t="n"/>
      <c r="G276" s="40" t="n"/>
    </row>
    <row r="277" ht="15" customHeight="1">
      <c r="A277" s="37" t="inlineStr">
        <is>
          <t>2025-06</t>
        </is>
      </c>
      <c r="B277" s="37" t="n">
        <v>29</v>
      </c>
      <c r="C277" s="38" t="n">
        <v>0.3</v>
      </c>
      <c r="D277" s="38">
        <f>PARAM!$E$13/(1+EXP(-PARAM!$E$17*(B277-PARAM!$E$21)))</f>
        <v/>
      </c>
      <c r="E277" s="39" t="n"/>
      <c r="F277" s="39" t="n"/>
      <c r="G277" s="40" t="n"/>
    </row>
    <row r="278" ht="15" customHeight="1">
      <c r="A278" s="37" t="inlineStr">
        <is>
          <t>2025-07</t>
        </is>
      </c>
      <c r="B278" s="37" t="n">
        <v>30</v>
      </c>
      <c r="C278" s="38" t="n">
        <v>0.2963</v>
      </c>
      <c r="D278" s="38">
        <f>PARAM!$E$13/(1+EXP(-PARAM!$E$17*(B278-PARAM!$E$21)))</f>
        <v/>
      </c>
      <c r="E278" s="39" t="n"/>
      <c r="F278" s="39" t="n"/>
      <c r="G278" s="40" t="n"/>
    </row>
    <row r="279" ht="15" customHeight="1">
      <c r="A279" s="37" t="inlineStr">
        <is>
          <t>2025-08</t>
        </is>
      </c>
      <c r="B279" s="37" t="n">
        <v>31</v>
      </c>
      <c r="C279" s="38" t="n">
        <v>0.3423</v>
      </c>
      <c r="D279" s="38">
        <f>PARAM!$E$13/(1+EXP(-PARAM!$E$17*(B279-PARAM!$E$21)))</f>
        <v/>
      </c>
      <c r="E279" s="39" t="n"/>
      <c r="F279" s="39" t="n"/>
      <c r="G279" s="40" t="n"/>
    </row>
    <row r="280" ht="15" customHeight="1">
      <c r="A280" s="37" t="inlineStr">
        <is>
          <t>2025-09</t>
        </is>
      </c>
      <c r="B280" s="37" t="n">
        <v>32</v>
      </c>
      <c r="C280" s="38" t="n">
        <v>0.3359</v>
      </c>
      <c r="D280" s="38">
        <f>PARAM!$E$13/(1+EXP(-PARAM!$E$17*(B280-PARAM!$E$21)))</f>
        <v/>
      </c>
      <c r="E280" s="39" t="n"/>
      <c r="F280" s="39" t="n"/>
      <c r="G280" s="40" t="n"/>
    </row>
    <row r="281" ht="15" customHeight="1">
      <c r="A281" s="37" t="inlineStr">
        <is>
          <t>2025-10</t>
        </is>
      </c>
      <c r="B281" s="37" t="n">
        <v>33</v>
      </c>
      <c r="C281" s="38" t="n">
        <v>0.338</v>
      </c>
      <c r="D281" s="38">
        <f>PARAM!$E$13/(1+EXP(-PARAM!$E$17*(B281-PARAM!$E$21)))</f>
        <v/>
      </c>
      <c r="E281" s="39" t="n"/>
      <c r="F281" s="39" t="n"/>
      <c r="G281" s="40" t="n"/>
    </row>
    <row r="282" ht="15" customHeight="1">
      <c r="A282" s="37" t="inlineStr">
        <is>
          <t>2025-11</t>
        </is>
      </c>
      <c r="B282" s="37" t="n">
        <v>34</v>
      </c>
      <c r="C282" s="38" t="n">
        <v>0.3579</v>
      </c>
      <c r="D282" s="38">
        <f>PARAM!$E$13/(1+EXP(-PARAM!$E$17*(B282-PARAM!$E$21)))</f>
        <v/>
      </c>
      <c r="E282" s="39" t="n"/>
      <c r="F282" s="39" t="n"/>
      <c r="G282" s="40" t="n"/>
    </row>
    <row r="283" ht="15" customHeight="1">
      <c r="A283" s="37" t="inlineStr">
        <is>
          <t>2025-12</t>
        </is>
      </c>
      <c r="B283" s="37" t="n">
        <v>35</v>
      </c>
      <c r="C283" s="38" t="n">
        <v>0.3159</v>
      </c>
      <c r="D283" s="38">
        <f>PARAM!$E$13/(1+EXP(-PARAM!$E$17*(B283-PARAM!$E$21)))</f>
        <v/>
      </c>
      <c r="E283" s="39" t="n"/>
      <c r="F283" s="39" t="n"/>
      <c r="G283" s="40" t="n"/>
    </row>
    <row r="284" ht="15" customHeight="1">
      <c r="A284" s="37" t="inlineStr">
        <is>
          <t>2026-01</t>
        </is>
      </c>
      <c r="B284" s="37" t="n">
        <v>36</v>
      </c>
      <c r="C284" s="38" t="n">
        <v>0.3721</v>
      </c>
      <c r="D284" s="38">
        <f>PARAM!$E$13/(1+EXP(-PARAM!$E$17*(B284-PARAM!$E$21)))</f>
        <v/>
      </c>
      <c r="E284" s="39" t="n"/>
      <c r="F284" s="39" t="n"/>
      <c r="G284" s="40" t="n"/>
    </row>
    <row r="285" ht="15" customHeight="1">
      <c r="A285" s="37" t="inlineStr">
        <is>
          <t>2026-02</t>
        </is>
      </c>
      <c r="B285" s="37" t="n">
        <v>37</v>
      </c>
      <c r="C285" s="38" t="n">
        <v>0.3652</v>
      </c>
      <c r="D285" s="38">
        <f>PARAM!$E$13/(1+EXP(-PARAM!$E$17*(B285-PARAM!$E$21)))</f>
        <v/>
      </c>
      <c r="E285" s="39" t="n"/>
      <c r="F285" s="39" t="n"/>
      <c r="G285" s="40" t="n"/>
    </row>
    <row r="286" ht="15" customHeight="1">
      <c r="A286" s="37" t="inlineStr">
        <is>
          <t>2026-03</t>
        </is>
      </c>
      <c r="B286" s="37" t="n">
        <v>38</v>
      </c>
      <c r="C286" s="38" t="n">
        <v>0.3616</v>
      </c>
      <c r="D286" s="38">
        <f>PARAM!$E$13/(1+EXP(-PARAM!$E$17*(B286-PARAM!$E$21)))</f>
        <v/>
      </c>
      <c r="E286" s="39" t="n"/>
      <c r="F286" s="39" t="n"/>
      <c r="G286" s="40" t="n"/>
    </row>
    <row r="287" ht="15" customHeight="1">
      <c r="A287" s="37" t="inlineStr">
        <is>
          <t>2026-04</t>
        </is>
      </c>
      <c r="B287" s="37" t="n">
        <v>39</v>
      </c>
      <c r="C287" s="38" t="n">
        <v>0.3799</v>
      </c>
      <c r="D287" s="38">
        <f>PARAM!$E$13/(1+EXP(-PARAM!$E$17*(B287-PARAM!$E$21)))</f>
        <v/>
      </c>
      <c r="E287" s="39" t="n"/>
      <c r="F287" s="39" t="n"/>
      <c r="G287" s="40" t="n"/>
    </row>
    <row r="288" ht="15" customHeight="1">
      <c r="A288" s="37" t="inlineStr">
        <is>
          <t>2026-05</t>
        </is>
      </c>
      <c r="B288" s="37" t="n">
        <v>40</v>
      </c>
      <c r="C288" s="38" t="n">
        <v>0.3825</v>
      </c>
      <c r="D288" s="38">
        <f>PARAM!$E$13/(1+EXP(-PARAM!$E$17*(B288-PARAM!$E$21)))</f>
        <v/>
      </c>
      <c r="E288" s="39" t="n"/>
      <c r="F288" s="39" t="n"/>
      <c r="G288" s="40" t="n"/>
    </row>
    <row r="289" ht="15" customHeight="1">
      <c r="A289" s="41" t="inlineStr">
        <is>
          <t>2026-06</t>
        </is>
      </c>
      <c r="B289" s="41" t="n">
        <v>41</v>
      </c>
      <c r="C289" s="42" t="n"/>
      <c r="D289" s="43">
        <f>PARAM!$E$13/(1+EXP(-PARAM!$E$17*(B289-PARAM!$E$21)))</f>
        <v/>
      </c>
      <c r="E289" s="43">
        <f>PARAM!$E$13/(1+EXP(-PARAM!$E$17*(B289-PARAM!$E$21)))</f>
        <v/>
      </c>
      <c r="F289" s="43">
        <f>(PARAM!$E$13+0.05*MIN(MAX((B289-41)/3,0),1))/(1+EXP(-(PARAM!$E$17+0.02*MIN(MAX((B289-41)/3,0),1))*(B289-PARAM!$E$21)))</f>
        <v/>
      </c>
      <c r="G289" s="44" t="inlineStr">
        <is>
          <t>← 予測開始 (month_index=41, 2026-06)</t>
        </is>
      </c>
    </row>
    <row r="290" ht="15" customHeight="1">
      <c r="A290" s="41" t="inlineStr">
        <is>
          <t>2026-07</t>
        </is>
      </c>
      <c r="B290" s="41" t="n">
        <v>42</v>
      </c>
      <c r="C290" s="42" t="n"/>
      <c r="D290" s="43">
        <f>PARAM!$E$13/(1+EXP(-PARAM!$E$17*(B290-PARAM!$E$21)))</f>
        <v/>
      </c>
      <c r="E290" s="43">
        <f>PARAM!$E$13/(1+EXP(-PARAM!$E$17*(B290-PARAM!$E$21)))</f>
        <v/>
      </c>
      <c r="F290" s="43">
        <f>(PARAM!$E$13+0.05*MIN(MAX((B290-41)/3,0),1))/(1+EXP(-(PARAM!$E$17+0.02*MIN(MAX((B290-41)/3,0),1))*(B290-PARAM!$E$21)))</f>
        <v/>
      </c>
      <c r="G290" s="44" t="n"/>
    </row>
    <row r="291" ht="15" customHeight="1">
      <c r="A291" s="41" t="inlineStr">
        <is>
          <t>2026-08</t>
        </is>
      </c>
      <c r="B291" s="41" t="n">
        <v>43</v>
      </c>
      <c r="C291" s="42" t="n"/>
      <c r="D291" s="43">
        <f>PARAM!$E$13/(1+EXP(-PARAM!$E$17*(B291-PARAM!$E$21)))</f>
        <v/>
      </c>
      <c r="E291" s="43">
        <f>PARAM!$E$13/(1+EXP(-PARAM!$E$17*(B291-PARAM!$E$21)))</f>
        <v/>
      </c>
      <c r="F291" s="43">
        <f>(PARAM!$E$13+0.05*MIN(MAX((B291-41)/3,0),1))/(1+EXP(-(PARAM!$E$17+0.02*MIN(MAX((B291-41)/3,0),1))*(B291-PARAM!$E$21)))</f>
        <v/>
      </c>
      <c r="G291" s="44" t="n"/>
    </row>
    <row r="292" ht="15" customHeight="1">
      <c r="A292" s="41" t="inlineStr">
        <is>
          <t>2026-09</t>
        </is>
      </c>
      <c r="B292" s="41" t="n">
        <v>44</v>
      </c>
      <c r="C292" s="42" t="n"/>
      <c r="D292" s="43">
        <f>PARAM!$E$13/(1+EXP(-PARAM!$E$17*(B292-PARAM!$E$21)))</f>
        <v/>
      </c>
      <c r="E292" s="43">
        <f>PARAM!$E$13/(1+EXP(-PARAM!$E$17*(B292-PARAM!$E$21)))</f>
        <v/>
      </c>
      <c r="F292" s="43">
        <f>(PARAM!$E$13+0.05*MIN(MAX((B292-41)/3,0),1))/(1+EXP(-(PARAM!$E$17+0.02*MIN(MAX((B292-41)/3,0),1))*(B292-PARAM!$E$21)))</f>
        <v/>
      </c>
      <c r="G292" s="44" t="inlineStr">
        <is>
          <t>← 制度イベント 全効果発効 (month_index=44, 2026-09)</t>
        </is>
      </c>
    </row>
    <row r="293" ht="15" customHeight="1">
      <c r="A293" s="41" t="inlineStr">
        <is>
          <t>2026-10</t>
        </is>
      </c>
      <c r="B293" s="41" t="n">
        <v>45</v>
      </c>
      <c r="C293" s="42" t="n"/>
      <c r="D293" s="43">
        <f>PARAM!$E$13/(1+EXP(-PARAM!$E$17*(B293-PARAM!$E$21)))</f>
        <v/>
      </c>
      <c r="E293" s="43">
        <f>PARAM!$E$13/(1+EXP(-PARAM!$E$17*(B293-PARAM!$E$21)))</f>
        <v/>
      </c>
      <c r="F293" s="43">
        <f>(PARAM!$E$13+0.05*MIN(MAX((B293-41)/3,0),1))/(1+EXP(-(PARAM!$E$17+0.02*MIN(MAX((B293-41)/3,0),1))*(B293-PARAM!$E$21)))</f>
        <v/>
      </c>
      <c r="G293" s="44" t="n"/>
    </row>
    <row r="294" ht="15" customHeight="1">
      <c r="A294" s="41" t="inlineStr">
        <is>
          <t>2026-11</t>
        </is>
      </c>
      <c r="B294" s="41" t="n">
        <v>46</v>
      </c>
      <c r="C294" s="42" t="n"/>
      <c r="D294" s="43">
        <f>PARAM!$E$13/(1+EXP(-PARAM!$E$17*(B294-PARAM!$E$21)))</f>
        <v/>
      </c>
      <c r="E294" s="43">
        <f>PARAM!$E$13/(1+EXP(-PARAM!$E$17*(B294-PARAM!$E$21)))</f>
        <v/>
      </c>
      <c r="F294" s="43">
        <f>(PARAM!$E$13+0.05*MIN(MAX((B294-41)/3,0),1))/(1+EXP(-(PARAM!$E$17+0.02*MIN(MAX((B294-41)/3,0),1))*(B294-PARAM!$E$21)))</f>
        <v/>
      </c>
      <c r="G294" s="44" t="n"/>
    </row>
    <row r="295" ht="15" customHeight="1">
      <c r="A295" s="41" t="inlineStr">
        <is>
          <t>2026-12</t>
        </is>
      </c>
      <c r="B295" s="41" t="n">
        <v>47</v>
      </c>
      <c r="C295" s="42" t="n"/>
      <c r="D295" s="43">
        <f>PARAM!$E$13/(1+EXP(-PARAM!$E$17*(B295-PARAM!$E$21)))</f>
        <v/>
      </c>
      <c r="E295" s="43">
        <f>PARAM!$E$13/(1+EXP(-PARAM!$E$17*(B295-PARAM!$E$21)))</f>
        <v/>
      </c>
      <c r="F295" s="43">
        <f>(PARAM!$E$13+0.05*MIN(MAX((B295-41)/3,0),1))/(1+EXP(-(PARAM!$E$17+0.02*MIN(MAX((B295-41)/3,0),1))*(B295-PARAM!$E$21)))</f>
        <v/>
      </c>
      <c r="G295" s="44" t="n"/>
    </row>
    <row r="296" ht="15" customHeight="1">
      <c r="A296" s="41" t="inlineStr">
        <is>
          <t>2027-01</t>
        </is>
      </c>
      <c r="B296" s="41" t="n">
        <v>48</v>
      </c>
      <c r="C296" s="42" t="n"/>
      <c r="D296" s="43">
        <f>PARAM!$E$13/(1+EXP(-PARAM!$E$17*(B296-PARAM!$E$21)))</f>
        <v/>
      </c>
      <c r="E296" s="43">
        <f>PARAM!$E$13/(1+EXP(-PARAM!$E$17*(B296-PARAM!$E$21)))</f>
        <v/>
      </c>
      <c r="F296" s="43">
        <f>(PARAM!$E$13+0.05*MIN(MAX((B296-41)/3,0),1))/(1+EXP(-(PARAM!$E$17+0.02*MIN(MAX((B296-41)/3,0),1))*(B296-PARAM!$E$21)))</f>
        <v/>
      </c>
      <c r="G296" s="44" t="n"/>
    </row>
    <row r="297" ht="15" customHeight="1">
      <c r="A297" s="41" t="inlineStr">
        <is>
          <t>2027-02</t>
        </is>
      </c>
      <c r="B297" s="41" t="n">
        <v>49</v>
      </c>
      <c r="C297" s="42" t="n"/>
      <c r="D297" s="43">
        <f>PARAM!$E$13/(1+EXP(-PARAM!$E$17*(B297-PARAM!$E$21)))</f>
        <v/>
      </c>
      <c r="E297" s="43">
        <f>PARAM!$E$13/(1+EXP(-PARAM!$E$17*(B297-PARAM!$E$21)))</f>
        <v/>
      </c>
      <c r="F297" s="43">
        <f>(PARAM!$E$13+0.05*MIN(MAX((B297-41)/3,0),1))/(1+EXP(-(PARAM!$E$17+0.02*MIN(MAX((B297-41)/3,0),1))*(B297-PARAM!$E$21)))</f>
        <v/>
      </c>
      <c r="G297" s="44" t="n"/>
    </row>
    <row r="298" ht="15" customHeight="1">
      <c r="A298" s="41" t="inlineStr">
        <is>
          <t>2027-03</t>
        </is>
      </c>
      <c r="B298" s="41" t="n">
        <v>50</v>
      </c>
      <c r="C298" s="42" t="n"/>
      <c r="D298" s="43">
        <f>PARAM!$E$13/(1+EXP(-PARAM!$E$17*(B298-PARAM!$E$21)))</f>
        <v/>
      </c>
      <c r="E298" s="43">
        <f>PARAM!$E$13/(1+EXP(-PARAM!$E$17*(B298-PARAM!$E$21)))</f>
        <v/>
      </c>
      <c r="F298" s="43">
        <f>(PARAM!$E$13+0.05*MIN(MAX((B298-41)/3,0),1))/(1+EXP(-(PARAM!$E$17+0.02*MIN(MAX((B298-41)/3,0),1))*(B298-PARAM!$E$21)))</f>
        <v/>
      </c>
      <c r="G298" s="44" t="n"/>
    </row>
    <row r="299" ht="15" customHeight="1">
      <c r="A299" s="41" t="inlineStr">
        <is>
          <t>2027-04</t>
        </is>
      </c>
      <c r="B299" s="41" t="n">
        <v>51</v>
      </c>
      <c r="C299" s="42" t="n"/>
      <c r="D299" s="43">
        <f>PARAM!$E$13/(1+EXP(-PARAM!$E$17*(B299-PARAM!$E$21)))</f>
        <v/>
      </c>
      <c r="E299" s="43">
        <f>PARAM!$E$13/(1+EXP(-PARAM!$E$17*(B299-PARAM!$E$21)))</f>
        <v/>
      </c>
      <c r="F299" s="43">
        <f>(PARAM!$E$13+0.05*MIN(MAX((B299-41)/3,0),1))/(1+EXP(-(PARAM!$E$17+0.02*MIN(MAX((B299-41)/3,0),1))*(B299-PARAM!$E$21)))</f>
        <v/>
      </c>
      <c r="G299" s="44" t="n"/>
    </row>
    <row r="300" ht="15" customHeight="1">
      <c r="A300" s="41" t="inlineStr">
        <is>
          <t>2027-05</t>
        </is>
      </c>
      <c r="B300" s="41" t="n">
        <v>52</v>
      </c>
      <c r="C300" s="42" t="n"/>
      <c r="D300" s="43">
        <f>PARAM!$E$13/(1+EXP(-PARAM!$E$17*(B300-PARAM!$E$21)))</f>
        <v/>
      </c>
      <c r="E300" s="43">
        <f>PARAM!$E$13/(1+EXP(-PARAM!$E$17*(B300-PARAM!$E$21)))</f>
        <v/>
      </c>
      <c r="F300" s="43">
        <f>(PARAM!$E$13+0.05*MIN(MAX((B300-41)/3,0),1))/(1+EXP(-(PARAM!$E$17+0.02*MIN(MAX((B300-41)/3,0),1))*(B300-PARAM!$E$21)))</f>
        <v/>
      </c>
      <c r="G300" s="44" t="n"/>
    </row>
    <row r="301" ht="15" customHeight="1">
      <c r="A301" s="41" t="inlineStr">
        <is>
          <t>2027-06</t>
        </is>
      </c>
      <c r="B301" s="41" t="n">
        <v>53</v>
      </c>
      <c r="C301" s="42" t="n"/>
      <c r="D301" s="43">
        <f>PARAM!$E$13/(1+EXP(-PARAM!$E$17*(B301-PARAM!$E$21)))</f>
        <v/>
      </c>
      <c r="E301" s="43">
        <f>PARAM!$E$13/(1+EXP(-PARAM!$E$17*(B301-PARAM!$E$21)))</f>
        <v/>
      </c>
      <c r="F301" s="43">
        <f>(PARAM!$E$13+0.05*MIN(MAX((B301-41)/3,0),1))/(1+EXP(-(PARAM!$E$17+0.02*MIN(MAX((B301-41)/3,0),1))*(B301-PARAM!$E$21)))</f>
        <v/>
      </c>
      <c r="G301" s="44" t="n"/>
    </row>
    <row r="302" ht="15" customHeight="1">
      <c r="A302" s="41" t="inlineStr">
        <is>
          <t>2027-07</t>
        </is>
      </c>
      <c r="B302" s="41" t="n">
        <v>54</v>
      </c>
      <c r="C302" s="42" t="n"/>
      <c r="D302" s="43">
        <f>PARAM!$E$13/(1+EXP(-PARAM!$E$17*(B302-PARAM!$E$21)))</f>
        <v/>
      </c>
      <c r="E302" s="43">
        <f>PARAM!$E$13/(1+EXP(-PARAM!$E$17*(B302-PARAM!$E$21)))</f>
        <v/>
      </c>
      <c r="F302" s="43">
        <f>(PARAM!$E$13+0.05*MIN(MAX((B302-41)/3,0),1))/(1+EXP(-(PARAM!$E$17+0.02*MIN(MAX((B302-41)/3,0),1))*(B302-PARAM!$E$21)))</f>
        <v/>
      </c>
      <c r="G302" s="44" t="n"/>
    </row>
    <row r="303" ht="15" customHeight="1">
      <c r="A303" s="41" t="inlineStr">
        <is>
          <t>2027-08</t>
        </is>
      </c>
      <c r="B303" s="41" t="n">
        <v>55</v>
      </c>
      <c r="C303" s="42" t="n"/>
      <c r="D303" s="43">
        <f>PARAM!$E$13/(1+EXP(-PARAM!$E$17*(B303-PARAM!$E$21)))</f>
        <v/>
      </c>
      <c r="E303" s="43">
        <f>PARAM!$E$13/(1+EXP(-PARAM!$E$17*(B303-PARAM!$E$21)))</f>
        <v/>
      </c>
      <c r="F303" s="43">
        <f>(PARAM!$E$13+0.05*MIN(MAX((B303-41)/3,0),1))/(1+EXP(-(PARAM!$E$17+0.02*MIN(MAX((B303-41)/3,0),1))*(B303-PARAM!$E$21)))</f>
        <v/>
      </c>
      <c r="G303" s="44" t="n"/>
    </row>
    <row r="304" ht="15" customHeight="1">
      <c r="A304" s="41" t="inlineStr">
        <is>
          <t>2027-09</t>
        </is>
      </c>
      <c r="B304" s="41" t="n">
        <v>56</v>
      </c>
      <c r="C304" s="42" t="n"/>
      <c r="D304" s="43">
        <f>PARAM!$E$13/(1+EXP(-PARAM!$E$17*(B304-PARAM!$E$21)))</f>
        <v/>
      </c>
      <c r="E304" s="43">
        <f>PARAM!$E$13/(1+EXP(-PARAM!$E$17*(B304-PARAM!$E$21)))</f>
        <v/>
      </c>
      <c r="F304" s="43">
        <f>(PARAM!$E$13+0.05*MIN(MAX((B304-41)/3,0),1))/(1+EXP(-(PARAM!$E$17+0.02*MIN(MAX((B304-41)/3,0),1))*(B304-PARAM!$E$21)))</f>
        <v/>
      </c>
      <c r="G304" s="44" t="n"/>
    </row>
    <row r="305" ht="15" customHeight="1">
      <c r="A305" s="41" t="inlineStr">
        <is>
          <t>2027-10</t>
        </is>
      </c>
      <c r="B305" s="41" t="n">
        <v>57</v>
      </c>
      <c r="C305" s="42" t="n"/>
      <c r="D305" s="43">
        <f>PARAM!$E$13/(1+EXP(-PARAM!$E$17*(B305-PARAM!$E$21)))</f>
        <v/>
      </c>
      <c r="E305" s="43">
        <f>PARAM!$E$13/(1+EXP(-PARAM!$E$17*(B305-PARAM!$E$21)))</f>
        <v/>
      </c>
      <c r="F305" s="43">
        <f>(PARAM!$E$13+0.05*MIN(MAX((B305-41)/3,0),1))/(1+EXP(-(PARAM!$E$17+0.02*MIN(MAX((B305-41)/3,0),1))*(B305-PARAM!$E$21)))</f>
        <v/>
      </c>
      <c r="G305" s="44" t="n"/>
    </row>
    <row r="306" ht="15" customHeight="1">
      <c r="A306" s="41" t="inlineStr">
        <is>
          <t>2027-11</t>
        </is>
      </c>
      <c r="B306" s="41" t="n">
        <v>58</v>
      </c>
      <c r="C306" s="42" t="n"/>
      <c r="D306" s="43">
        <f>PARAM!$E$13/(1+EXP(-PARAM!$E$17*(B306-PARAM!$E$21)))</f>
        <v/>
      </c>
      <c r="E306" s="43">
        <f>PARAM!$E$13/(1+EXP(-PARAM!$E$17*(B306-PARAM!$E$21)))</f>
        <v/>
      </c>
      <c r="F306" s="43">
        <f>(PARAM!$E$13+0.05*MIN(MAX((B306-41)/3,0),1))/(1+EXP(-(PARAM!$E$17+0.02*MIN(MAX((B306-41)/3,0),1))*(B306-PARAM!$E$21)))</f>
        <v/>
      </c>
      <c r="G306" s="44" t="n"/>
    </row>
    <row r="307" ht="15" customHeight="1">
      <c r="A307" s="41" t="inlineStr">
        <is>
          <t>2027-12</t>
        </is>
      </c>
      <c r="B307" s="41" t="n">
        <v>59</v>
      </c>
      <c r="C307" s="42" t="n"/>
      <c r="D307" s="43">
        <f>PARAM!$E$13/(1+EXP(-PARAM!$E$17*(B307-PARAM!$E$21)))</f>
        <v/>
      </c>
      <c r="E307" s="43">
        <f>PARAM!$E$13/(1+EXP(-PARAM!$E$17*(B307-PARAM!$E$21)))</f>
        <v/>
      </c>
      <c r="F307" s="43">
        <f>(PARAM!$E$13+0.05*MIN(MAX((B307-41)/3,0),1))/(1+EXP(-(PARAM!$E$17+0.02*MIN(MAX((B307-41)/3,0),1))*(B307-PARAM!$E$21)))</f>
        <v/>
      </c>
      <c r="G307" s="44" t="n"/>
    </row>
    <row r="308" ht="15" customHeight="1">
      <c r="A308" s="41" t="inlineStr">
        <is>
          <t>2028-01</t>
        </is>
      </c>
      <c r="B308" s="41" t="n">
        <v>60</v>
      </c>
      <c r="C308" s="42" t="n"/>
      <c r="D308" s="43">
        <f>PARAM!$E$13/(1+EXP(-PARAM!$E$17*(B308-PARAM!$E$21)))</f>
        <v/>
      </c>
      <c r="E308" s="43">
        <f>PARAM!$E$13/(1+EXP(-PARAM!$E$17*(B308-PARAM!$E$21)))</f>
        <v/>
      </c>
      <c r="F308" s="43">
        <f>(PARAM!$E$13+0.05*MIN(MAX((B308-41)/3,0),1))/(1+EXP(-(PARAM!$E$17+0.02*MIN(MAX((B308-41)/3,0),1))*(B308-PARAM!$E$21)))</f>
        <v/>
      </c>
      <c r="G308" s="44" t="n"/>
    </row>
    <row r="309" ht="15" customHeight="1">
      <c r="A309" s="41" t="inlineStr">
        <is>
          <t>2028-02</t>
        </is>
      </c>
      <c r="B309" s="41" t="n">
        <v>61</v>
      </c>
      <c r="C309" s="42" t="n"/>
      <c r="D309" s="43">
        <f>PARAM!$E$13/(1+EXP(-PARAM!$E$17*(B309-PARAM!$E$21)))</f>
        <v/>
      </c>
      <c r="E309" s="43">
        <f>PARAM!$E$13/(1+EXP(-PARAM!$E$17*(B309-PARAM!$E$21)))</f>
        <v/>
      </c>
      <c r="F309" s="43">
        <f>(PARAM!$E$13+0.05*MIN(MAX((B309-41)/3,0),1))/(1+EXP(-(PARAM!$E$17+0.02*MIN(MAX((B309-41)/3,0),1))*(B309-PARAM!$E$21)))</f>
        <v/>
      </c>
      <c r="G309" s="44" t="n"/>
    </row>
    <row r="310" ht="15" customHeight="1">
      <c r="A310" s="41" t="inlineStr">
        <is>
          <t>2028-03</t>
        </is>
      </c>
      <c r="B310" s="41" t="n">
        <v>62</v>
      </c>
      <c r="C310" s="42" t="n"/>
      <c r="D310" s="43">
        <f>PARAM!$E$13/(1+EXP(-PARAM!$E$17*(B310-PARAM!$E$21)))</f>
        <v/>
      </c>
      <c r="E310" s="43">
        <f>PARAM!$E$13/(1+EXP(-PARAM!$E$17*(B310-PARAM!$E$21)))</f>
        <v/>
      </c>
      <c r="F310" s="43">
        <f>(PARAM!$E$13+0.05*MIN(MAX((B310-41)/3,0),1))/(1+EXP(-(PARAM!$E$17+0.02*MIN(MAX((B310-41)/3,0),1))*(B310-PARAM!$E$21)))</f>
        <v/>
      </c>
      <c r="G310" s="44" t="n"/>
    </row>
    <row r="311" ht="15" customHeight="1">
      <c r="A311" s="41" t="inlineStr">
        <is>
          <t>2028-04</t>
        </is>
      </c>
      <c r="B311" s="41" t="n">
        <v>63</v>
      </c>
      <c r="C311" s="42" t="n"/>
      <c r="D311" s="43">
        <f>PARAM!$E$13/(1+EXP(-PARAM!$E$17*(B311-PARAM!$E$21)))</f>
        <v/>
      </c>
      <c r="E311" s="43">
        <f>PARAM!$E$13/(1+EXP(-PARAM!$E$17*(B311-PARAM!$E$21)))</f>
        <v/>
      </c>
      <c r="F311" s="43">
        <f>(PARAM!$E$13+0.05*MIN(MAX((B311-41)/3,0),1))/(1+EXP(-(PARAM!$E$17+0.02*MIN(MAX((B311-41)/3,0),1))*(B311-PARAM!$E$21)))</f>
        <v/>
      </c>
      <c r="G311" s="44" t="n"/>
    </row>
    <row r="312" ht="15" customHeight="1">
      <c r="A312" s="41" t="inlineStr">
        <is>
          <t>2028-05</t>
        </is>
      </c>
      <c r="B312" s="41" t="n">
        <v>64</v>
      </c>
      <c r="C312" s="42" t="n"/>
      <c r="D312" s="43">
        <f>PARAM!$E$13/(1+EXP(-PARAM!$E$17*(B312-PARAM!$E$21)))</f>
        <v/>
      </c>
      <c r="E312" s="43">
        <f>PARAM!$E$13/(1+EXP(-PARAM!$E$17*(B312-PARAM!$E$21)))</f>
        <v/>
      </c>
      <c r="F312" s="43">
        <f>(PARAM!$E$13+0.05*MIN(MAX((B312-41)/3,0),1))/(1+EXP(-(PARAM!$E$17+0.02*MIN(MAX((B312-41)/3,0),1))*(B312-PARAM!$E$21)))</f>
        <v/>
      </c>
      <c r="G312" s="44" t="n"/>
    </row>
    <row r="313" ht="15" customHeight="1">
      <c r="A313" s="41" t="inlineStr">
        <is>
          <t>2028-06</t>
        </is>
      </c>
      <c r="B313" s="41" t="n">
        <v>65</v>
      </c>
      <c r="C313" s="42" t="n"/>
      <c r="D313" s="43">
        <f>PARAM!$E$13/(1+EXP(-PARAM!$E$17*(B313-PARAM!$E$21)))</f>
        <v/>
      </c>
      <c r="E313" s="43">
        <f>PARAM!$E$13/(1+EXP(-PARAM!$E$17*(B313-PARAM!$E$21)))</f>
        <v/>
      </c>
      <c r="F313" s="43">
        <f>(PARAM!$E$13+0.05*MIN(MAX((B313-41)/3,0),1))/(1+EXP(-(PARAM!$E$17+0.02*MIN(MAX((B313-41)/3,0),1))*(B313-PARAM!$E$21)))</f>
        <v/>
      </c>
      <c r="G313" s="44" t="n"/>
    </row>
    <row r="314" ht="15" customHeight="1">
      <c r="A314" s="41" t="inlineStr">
        <is>
          <t>2028-07</t>
        </is>
      </c>
      <c r="B314" s="41" t="n">
        <v>66</v>
      </c>
      <c r="C314" s="42" t="n"/>
      <c r="D314" s="43">
        <f>PARAM!$E$13/(1+EXP(-PARAM!$E$17*(B314-PARAM!$E$21)))</f>
        <v/>
      </c>
      <c r="E314" s="43">
        <f>PARAM!$E$13/(1+EXP(-PARAM!$E$17*(B314-PARAM!$E$21)))</f>
        <v/>
      </c>
      <c r="F314" s="43">
        <f>(PARAM!$E$13+0.05*MIN(MAX((B314-41)/3,0),1))/(1+EXP(-(PARAM!$E$17+0.02*MIN(MAX((B314-41)/3,0),1))*(B314-PARAM!$E$21)))</f>
        <v/>
      </c>
      <c r="G314" s="44" t="n"/>
    </row>
    <row r="315" ht="15" customHeight="1">
      <c r="A315" s="41" t="inlineStr">
        <is>
          <t>2028-08</t>
        </is>
      </c>
      <c r="B315" s="41" t="n">
        <v>67</v>
      </c>
      <c r="C315" s="42" t="n"/>
      <c r="D315" s="43">
        <f>PARAM!$E$13/(1+EXP(-PARAM!$E$17*(B315-PARAM!$E$21)))</f>
        <v/>
      </c>
      <c r="E315" s="43">
        <f>PARAM!$E$13/(1+EXP(-PARAM!$E$17*(B315-PARAM!$E$21)))</f>
        <v/>
      </c>
      <c r="F315" s="43">
        <f>(PARAM!$E$13+0.05*MIN(MAX((B315-41)/3,0),1))/(1+EXP(-(PARAM!$E$17+0.02*MIN(MAX((B315-41)/3,0),1))*(B315-PARAM!$E$21)))</f>
        <v/>
      </c>
      <c r="G315" s="44" t="n"/>
    </row>
    <row r="316" ht="15" customHeight="1">
      <c r="A316" s="41" t="inlineStr">
        <is>
          <t>2028-09</t>
        </is>
      </c>
      <c r="B316" s="41" t="n">
        <v>68</v>
      </c>
      <c r="C316" s="42" t="n"/>
      <c r="D316" s="43">
        <f>PARAM!$E$13/(1+EXP(-PARAM!$E$17*(B316-PARAM!$E$21)))</f>
        <v/>
      </c>
      <c r="E316" s="43">
        <f>PARAM!$E$13/(1+EXP(-PARAM!$E$17*(B316-PARAM!$E$21)))</f>
        <v/>
      </c>
      <c r="F316" s="43">
        <f>(PARAM!$E$13+0.05*MIN(MAX((B316-41)/3,0),1))/(1+EXP(-(PARAM!$E$17+0.02*MIN(MAX((B316-41)/3,0),1))*(B316-PARAM!$E$21)))</f>
        <v/>
      </c>
      <c r="G316" s="44" t="n"/>
    </row>
    <row r="317" ht="15" customHeight="1">
      <c r="A317" s="41" t="inlineStr">
        <is>
          <t>2028-10</t>
        </is>
      </c>
      <c r="B317" s="41" t="n">
        <v>69</v>
      </c>
      <c r="C317" s="42" t="n"/>
      <c r="D317" s="43">
        <f>PARAM!$E$13/(1+EXP(-PARAM!$E$17*(B317-PARAM!$E$21)))</f>
        <v/>
      </c>
      <c r="E317" s="43">
        <f>PARAM!$E$13/(1+EXP(-PARAM!$E$17*(B317-PARAM!$E$21)))</f>
        <v/>
      </c>
      <c r="F317" s="43">
        <f>(PARAM!$E$13+0.05*MIN(MAX((B317-41)/3,0),1))/(1+EXP(-(PARAM!$E$17+0.02*MIN(MAX((B317-41)/3,0),1))*(B317-PARAM!$E$21)))</f>
        <v/>
      </c>
      <c r="G317" s="44" t="n"/>
    </row>
    <row r="318" ht="15" customHeight="1">
      <c r="A318" s="41" t="inlineStr">
        <is>
          <t>2028-11</t>
        </is>
      </c>
      <c r="B318" s="41" t="n">
        <v>70</v>
      </c>
      <c r="C318" s="42" t="n"/>
      <c r="D318" s="43">
        <f>PARAM!$E$13/(1+EXP(-PARAM!$E$17*(B318-PARAM!$E$21)))</f>
        <v/>
      </c>
      <c r="E318" s="43">
        <f>PARAM!$E$13/(1+EXP(-PARAM!$E$17*(B318-PARAM!$E$21)))</f>
        <v/>
      </c>
      <c r="F318" s="43">
        <f>(PARAM!$E$13+0.05*MIN(MAX((B318-41)/3,0),1))/(1+EXP(-(PARAM!$E$17+0.02*MIN(MAX((B318-41)/3,0),1))*(B318-PARAM!$E$21)))</f>
        <v/>
      </c>
      <c r="G318" s="44" t="n"/>
    </row>
    <row r="319" ht="15" customHeight="1">
      <c r="A319" s="41" t="inlineStr">
        <is>
          <t>2028-12</t>
        </is>
      </c>
      <c r="B319" s="41" t="n">
        <v>71</v>
      </c>
      <c r="C319" s="42" t="n"/>
      <c r="D319" s="43">
        <f>PARAM!$E$13/(1+EXP(-PARAM!$E$17*(B319-PARAM!$E$21)))</f>
        <v/>
      </c>
      <c r="E319" s="43">
        <f>PARAM!$E$13/(1+EXP(-PARAM!$E$17*(B319-PARAM!$E$21)))</f>
        <v/>
      </c>
      <c r="F319" s="43">
        <f>(PARAM!$E$13+0.05*MIN(MAX((B319-41)/3,0),1))/(1+EXP(-(PARAM!$E$17+0.02*MIN(MAX((B319-41)/3,0),1))*(B319-PARAM!$E$21)))</f>
        <v/>
      </c>
      <c r="G319" s="44" t="n"/>
    </row>
    <row r="320" ht="15" customHeight="1">
      <c r="A320" s="41" t="inlineStr">
        <is>
          <t>2029-01</t>
        </is>
      </c>
      <c r="B320" s="41" t="n">
        <v>72</v>
      </c>
      <c r="C320" s="42" t="n"/>
      <c r="D320" s="43">
        <f>PARAM!$E$13/(1+EXP(-PARAM!$E$17*(B320-PARAM!$E$21)))</f>
        <v/>
      </c>
      <c r="E320" s="43">
        <f>PARAM!$E$13/(1+EXP(-PARAM!$E$17*(B320-PARAM!$E$21)))</f>
        <v/>
      </c>
      <c r="F320" s="43">
        <f>(PARAM!$E$13+0.05*MIN(MAX((B320-41)/3,0),1))/(1+EXP(-(PARAM!$E$17+0.02*MIN(MAX((B320-41)/3,0),1))*(B320-PARAM!$E$21)))</f>
        <v/>
      </c>
      <c r="G320" s="44" t="n"/>
    </row>
    <row r="321" ht="15" customHeight="1">
      <c r="A321" s="41" t="inlineStr">
        <is>
          <t>2029-02</t>
        </is>
      </c>
      <c r="B321" s="41" t="n">
        <v>73</v>
      </c>
      <c r="C321" s="42" t="n"/>
      <c r="D321" s="43">
        <f>PARAM!$E$13/(1+EXP(-PARAM!$E$17*(B321-PARAM!$E$21)))</f>
        <v/>
      </c>
      <c r="E321" s="43">
        <f>PARAM!$E$13/(1+EXP(-PARAM!$E$17*(B321-PARAM!$E$21)))</f>
        <v/>
      </c>
      <c r="F321" s="43">
        <f>(PARAM!$E$13+0.05*MIN(MAX((B321-41)/3,0),1))/(1+EXP(-(PARAM!$E$17+0.02*MIN(MAX((B321-41)/3,0),1))*(B321-PARAM!$E$21)))</f>
        <v/>
      </c>
      <c r="G321" s="44" t="n"/>
    </row>
    <row r="322" ht="15" customHeight="1">
      <c r="A322" s="41" t="inlineStr">
        <is>
          <t>2029-03</t>
        </is>
      </c>
      <c r="B322" s="41" t="n">
        <v>74</v>
      </c>
      <c r="C322" s="42" t="n"/>
      <c r="D322" s="43">
        <f>PARAM!$E$13/(1+EXP(-PARAM!$E$17*(B322-PARAM!$E$21)))</f>
        <v/>
      </c>
      <c r="E322" s="43">
        <f>PARAM!$E$13/(1+EXP(-PARAM!$E$17*(B322-PARAM!$E$21)))</f>
        <v/>
      </c>
      <c r="F322" s="43">
        <f>(PARAM!$E$13+0.05*MIN(MAX((B322-41)/3,0),1))/(1+EXP(-(PARAM!$E$17+0.02*MIN(MAX((B322-41)/3,0),1))*(B322-PARAM!$E$21)))</f>
        <v/>
      </c>
      <c r="G322" s="44" t="n"/>
    </row>
    <row r="323" ht="15" customHeight="1">
      <c r="A323" s="41" t="inlineStr">
        <is>
          <t>2029-04</t>
        </is>
      </c>
      <c r="B323" s="41" t="n">
        <v>75</v>
      </c>
      <c r="C323" s="42" t="n"/>
      <c r="D323" s="43">
        <f>PARAM!$E$13/(1+EXP(-PARAM!$E$17*(B323-PARAM!$E$21)))</f>
        <v/>
      </c>
      <c r="E323" s="43">
        <f>PARAM!$E$13/(1+EXP(-PARAM!$E$17*(B323-PARAM!$E$21)))</f>
        <v/>
      </c>
      <c r="F323" s="43">
        <f>(PARAM!$E$13+0.05*MIN(MAX((B323-41)/3,0),1))/(1+EXP(-(PARAM!$E$17+0.02*MIN(MAX((B323-41)/3,0),1))*(B323-PARAM!$E$21)))</f>
        <v/>
      </c>
      <c r="G323" s="44" t="n"/>
    </row>
    <row r="324" ht="15" customHeight="1">
      <c r="A324" s="41" t="inlineStr">
        <is>
          <t>2029-05</t>
        </is>
      </c>
      <c r="B324" s="41" t="n">
        <v>76</v>
      </c>
      <c r="C324" s="42" t="n"/>
      <c r="D324" s="43">
        <f>PARAM!$E$13/(1+EXP(-PARAM!$E$17*(B324-PARAM!$E$21)))</f>
        <v/>
      </c>
      <c r="E324" s="43">
        <f>PARAM!$E$13/(1+EXP(-PARAM!$E$17*(B324-PARAM!$E$21)))</f>
        <v/>
      </c>
      <c r="F324" s="43">
        <f>(PARAM!$E$13+0.05*MIN(MAX((B324-41)/3,0),1))/(1+EXP(-(PARAM!$E$17+0.02*MIN(MAX((B324-41)/3,0),1))*(B324-PARAM!$E$21)))</f>
        <v/>
      </c>
      <c r="G324" s="44" t="n"/>
    </row>
  </sheetData>
  <mergeCells count="7">
    <mergeCell ref="A84:G84"/>
    <mergeCell ref="A1:G1"/>
    <mergeCell ref="A3:G3"/>
    <mergeCell ref="A1:F1"/>
    <mergeCell ref="A2:G2"/>
    <mergeCell ref="A165:G165"/>
    <mergeCell ref="A246:G246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004A235A"/>
    <outlinePr summaryBelow="1" summaryRight="1"/>
    <pageSetUpPr/>
  </sheetPr>
  <dimension ref="A1:F3"/>
  <sheetViews>
    <sheetView showGridLines="0" workbookViewId="0">
      <selection activeCell="A1" sqref="A1"/>
    </sheetView>
  </sheetViews>
  <sheetFormatPr baseColWidth="8" defaultRowHeight="15"/>
  <sheetData>
    <row r="1" ht="24" customHeight="1">
      <c r="A1" s="28" t="inlineStr">
        <is>
          <t>C_ShareForecast  ―  Step3: 自社製品シェア予測（TREND + 競合パラメータ）</t>
        </is>
      </c>
    </row>
    <row r="3">
      <c r="A3" s="29" t="inlineStr">
        <is>
          <t>※ このシートは Phase 1-2 以降で数式・Python in Excel を実装します。</t>
        </is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4A235A"/>
    <outlinePr summaryBelow="1" summaryRight="1"/>
    <pageSetUpPr/>
  </sheetPr>
  <dimension ref="A1:F3"/>
  <sheetViews>
    <sheetView showGridLines="0" workbookViewId="0">
      <selection activeCell="A1" sqref="A1"/>
    </sheetView>
  </sheetViews>
  <sheetFormatPr baseColWidth="8" defaultRowHeight="15"/>
  <sheetData>
    <row r="1" ht="24" customHeight="1">
      <c r="A1" s="28" t="inlineStr">
        <is>
          <t>C_SKUMix  ―  Step4: SKU構成比トレンド予測（TREND + 正規化）</t>
        </is>
      </c>
    </row>
    <row r="3">
      <c r="A3" s="29" t="inlineStr">
        <is>
          <t>※ このシートは Phase 1-2 以降で数式・Python in Excel を実装します。</t>
        </is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4A235A"/>
    <outlinePr summaryBelow="1" summaryRight="1"/>
    <pageSetUpPr/>
  </sheetPr>
  <dimension ref="A1:F3"/>
  <sheetViews>
    <sheetView showGridLines="0" workbookViewId="0">
      <selection activeCell="A1" sqref="A1"/>
    </sheetView>
  </sheetViews>
  <sheetFormatPr baseColWidth="8" defaultRowHeight="15"/>
  <sheetData>
    <row r="1" ht="24" customHeight="1">
      <c r="A1" s="28" t="inlineStr">
        <is>
          <t>C_Integrated  ―  Step5: 統合予測（シナリオ別 SKU×月次）</t>
        </is>
      </c>
    </row>
    <row r="3">
      <c r="A3" s="29" t="inlineStr">
        <is>
          <t>※ このシートは Phase 1-2 以降で数式・Python in Excel を実装します。</t>
        </is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7B241C"/>
    <outlinePr summaryBelow="1" summaryRight="1"/>
    <pageSetUpPr/>
  </sheetPr>
  <dimension ref="A1:L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18" customWidth="1" min="5" max="5"/>
    <col width="18" customWidth="1" min="6" max="6"/>
    <col width="26" customWidth="1" min="7" max="7"/>
    <col width="24" customWidth="1" min="8" max="8"/>
    <col width="24" customWidth="1" min="9" max="9"/>
    <col width="25" customWidth="1" min="10" max="10"/>
    <col width="23" customWidth="1" min="11" max="11"/>
    <col width="23" customWidth="1" min="12" max="12"/>
  </cols>
  <sheetData>
    <row r="1">
      <c r="A1" s="30" t="inlineStr">
        <is>
          <t>period</t>
        </is>
      </c>
      <c r="B1" s="30" t="inlineStr">
        <is>
          <t>sku_id</t>
        </is>
      </c>
      <c r="C1" s="30" t="inlineStr">
        <is>
          <t>ingredient_id</t>
        </is>
      </c>
      <c r="D1" s="30" t="inlineStr">
        <is>
          <t>product_id</t>
        </is>
      </c>
      <c r="E1" s="30" t="inlineStr">
        <is>
          <t>scenario_axis1</t>
        </is>
      </c>
      <c r="F1" s="30" t="inlineStr">
        <is>
          <t>scenario_axis2</t>
        </is>
      </c>
      <c r="G1" s="30" t="inlineStr">
        <is>
          <t>sellout_forecast_units</t>
        </is>
      </c>
      <c r="H1" s="30" t="inlineStr">
        <is>
          <t>sellout_forecast_jpy</t>
        </is>
      </c>
      <c r="I1" s="30" t="inlineStr">
        <is>
          <t>sellout_forecast_usd</t>
        </is>
      </c>
      <c r="J1" s="30" t="inlineStr">
        <is>
          <t>sellin_forecast_units</t>
        </is>
      </c>
      <c r="K1" s="30" t="inlineStr">
        <is>
          <t>sellin_forecast_jpy</t>
        </is>
      </c>
      <c r="L1" s="30" t="inlineStr">
        <is>
          <t>sellin_forecast_usd</t>
        </is>
      </c>
    </row>
    <row r="3">
      <c r="A3" s="31" t="inlineStr">
        <is>
          <t>※ C_Integrated シート（Phase 1-5）の数式により自動生成されます。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7B241C"/>
    <outlinePr summaryBelow="1" summaryRight="1"/>
    <pageSetUpPr/>
  </sheetPr>
  <dimension ref="A1:L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18" customWidth="1" min="5" max="5"/>
    <col width="18" customWidth="1" min="6" max="6"/>
    <col width="26" customWidth="1" min="7" max="7"/>
    <col width="24" customWidth="1" min="8" max="8"/>
    <col width="24" customWidth="1" min="9" max="9"/>
    <col width="25" customWidth="1" min="10" max="10"/>
    <col width="23" customWidth="1" min="11" max="11"/>
    <col width="23" customWidth="1" min="12" max="12"/>
  </cols>
  <sheetData>
    <row r="1">
      <c r="A1" s="30" t="inlineStr">
        <is>
          <t>period</t>
        </is>
      </c>
      <c r="B1" s="30" t="inlineStr">
        <is>
          <t>sku_id</t>
        </is>
      </c>
      <c r="C1" s="30" t="inlineStr">
        <is>
          <t>ingredient_id</t>
        </is>
      </c>
      <c r="D1" s="30" t="inlineStr">
        <is>
          <t>product_id</t>
        </is>
      </c>
      <c r="E1" s="30" t="inlineStr">
        <is>
          <t>scenario_axis1</t>
        </is>
      </c>
      <c r="F1" s="30" t="inlineStr">
        <is>
          <t>scenario_axis2</t>
        </is>
      </c>
      <c r="G1" s="30" t="inlineStr">
        <is>
          <t>sellout_forecast_units</t>
        </is>
      </c>
      <c r="H1" s="30" t="inlineStr">
        <is>
          <t>sellout_forecast_jpy</t>
        </is>
      </c>
      <c r="I1" s="30" t="inlineStr">
        <is>
          <t>sellout_forecast_usd</t>
        </is>
      </c>
      <c r="J1" s="30" t="inlineStr">
        <is>
          <t>sellin_forecast_units</t>
        </is>
      </c>
      <c r="K1" s="30" t="inlineStr">
        <is>
          <t>sellin_forecast_jpy</t>
        </is>
      </c>
      <c r="L1" s="30" t="inlineStr">
        <is>
          <t>sellin_forecast_usd</t>
        </is>
      </c>
    </row>
    <row r="3">
      <c r="A3" s="31" t="inlineStr">
        <is>
          <t>※ C_Integrated シート（Phase 1-5）の数式により自動生成されます。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5D5D5D"/>
    <outlinePr summaryBelow="1" summaryRight="1"/>
    <pageSetUpPr/>
  </sheetPr>
  <dimension ref="A1:G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6" customWidth="1" min="4" max="4"/>
    <col width="18" customWidth="1" min="5" max="5"/>
    <col width="13" customWidth="1" min="6" max="6"/>
    <col width="13" customWidth="1" min="7" max="7"/>
  </cols>
  <sheetData>
    <row r="1">
      <c r="A1" s="32" t="inlineStr">
        <is>
          <t>timestamp</t>
        </is>
      </c>
      <c r="B1" s="32" t="inlineStr">
        <is>
          <t>user</t>
        </is>
      </c>
      <c r="C1" s="32" t="inlineStr">
        <is>
          <t>sheet</t>
        </is>
      </c>
      <c r="D1" s="32" t="inlineStr">
        <is>
          <t>cell_address</t>
        </is>
      </c>
      <c r="E1" s="32" t="inlineStr">
        <is>
          <t>parameter_name</t>
        </is>
      </c>
      <c r="F1" s="32" t="inlineStr">
        <is>
          <t>old_value</t>
        </is>
      </c>
      <c r="G1" s="32" t="inlineStr">
        <is>
          <t>new_value</t>
        </is>
      </c>
    </row>
    <row r="3">
      <c r="A3" s="31" t="inlineStr">
        <is>
          <t>※ PARAM シートへの入力変更は VBA（Worksheet_Change）で自動記録されます。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2026-06-20T03:19:16Z</dcterms:created>
  <dcterms:modified xmlns:dcterms="http://purl.org/dc/terms/" xmlns:xsi="http://www.w3.org/2001/XMLSchema-instance" xsi:type="dcterms:W3CDTF">2026-06-20T09:34:54Z</dcterms:modified>
</cp:coreProperties>
</file>